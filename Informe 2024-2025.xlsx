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sanchez\Desktop\"/>
    </mc:Choice>
  </mc:AlternateContent>
  <xr:revisionPtr revIDLastSave="0" documentId="8_{398FE435-EC49-4049-9D1C-0BD0BB010E52}" xr6:coauthVersionLast="47" xr6:coauthVersionMax="47" xr10:uidLastSave="{00000000-0000-0000-0000-000000000000}"/>
  <bookViews>
    <workbookView xWindow="1884" yWindow="1884" windowWidth="17280" windowHeight="8880" xr2:uid="{35EF0A57-C291-4FB4-B2B7-6935D9D92535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17" i="1" l="1"/>
  <c r="B216" i="1"/>
  <c r="B199" i="1"/>
  <c r="B198" i="1"/>
  <c r="B185" i="1"/>
  <c r="B184" i="1"/>
  <c r="B183" i="1"/>
  <c r="B182" i="1"/>
  <c r="B181" i="1"/>
  <c r="B180" i="1"/>
  <c r="B167" i="1"/>
  <c r="C167" i="1" s="1"/>
  <c r="B166" i="1"/>
  <c r="C166" i="1" s="1"/>
  <c r="B165" i="1"/>
  <c r="C165" i="1" s="1"/>
  <c r="B164" i="1"/>
  <c r="C164" i="1" s="1"/>
  <c r="B163" i="1"/>
  <c r="C163" i="1" s="1"/>
  <c r="B162" i="1"/>
  <c r="C162" i="1" s="1"/>
  <c r="C147" i="1"/>
  <c r="B147" i="1"/>
  <c r="C146" i="1"/>
  <c r="B146" i="1"/>
  <c r="C145" i="1"/>
  <c r="B145" i="1"/>
  <c r="C144" i="1"/>
  <c r="B144" i="1"/>
  <c r="C143" i="1"/>
  <c r="B143" i="1"/>
  <c r="C142" i="1"/>
  <c r="B142" i="1"/>
  <c r="B120" i="1"/>
  <c r="C120" i="1" s="1"/>
  <c r="B119" i="1"/>
  <c r="C119" i="1" s="1"/>
  <c r="B118" i="1"/>
  <c r="C118" i="1" s="1"/>
  <c r="B117" i="1"/>
  <c r="C117" i="1" s="1"/>
  <c r="B116" i="1"/>
  <c r="C116" i="1" s="1"/>
  <c r="B103" i="1"/>
  <c r="C103" i="1" s="1"/>
  <c r="B102" i="1"/>
  <c r="C102" i="1" s="1"/>
  <c r="B101" i="1"/>
  <c r="C101" i="1" s="1"/>
  <c r="B100" i="1"/>
  <c r="C100" i="1" s="1"/>
  <c r="B99" i="1"/>
  <c r="C99" i="1" s="1"/>
  <c r="B98" i="1"/>
  <c r="C98" i="1" s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203" i="1" s="1"/>
  <c r="B51" i="1"/>
  <c r="B50" i="1"/>
  <c r="B39" i="1"/>
  <c r="B38" i="1"/>
  <c r="B37" i="1"/>
  <c r="B36" i="1"/>
  <c r="B35" i="1"/>
  <c r="B34" i="1"/>
  <c r="B33" i="1"/>
  <c r="B32" i="1"/>
  <c r="B31" i="1"/>
  <c r="B30" i="1"/>
  <c r="B14" i="1"/>
  <c r="B13" i="1"/>
  <c r="B15" i="1" s="1"/>
  <c r="C15" i="1" s="1"/>
  <c r="G8" i="1"/>
  <c r="D8" i="1"/>
  <c r="A8" i="1"/>
  <c r="J5" i="1" a="1"/>
  <c r="J5" i="1" s="1"/>
  <c r="G5" i="1"/>
  <c r="D5" i="1"/>
  <c r="A5" i="1"/>
  <c r="B201" i="1" s="1"/>
  <c r="C31" i="1" l="1"/>
  <c r="C36" i="1"/>
  <c r="C37" i="1"/>
  <c r="C14" i="1"/>
  <c r="B202" i="1"/>
  <c r="B40" i="1"/>
  <c r="C40" i="1" s="1"/>
  <c r="B200" i="1"/>
  <c r="C13" i="1"/>
  <c r="C38" i="1" l="1"/>
  <c r="C35" i="1"/>
  <c r="C34" i="1"/>
  <c r="C33" i="1"/>
  <c r="C32" i="1"/>
  <c r="C30" i="1"/>
  <c r="C39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<sst xmlns="http://schemas.openxmlformats.org/spreadsheetml/2006/main" count="152" uniqueCount="109">
  <si>
    <t>Informe Cienciométrico — Producción Científica UFT</t>
  </si>
  <si>
    <t>Base de datos: hoja «Publicaciones unificadas» · Período 2024–2025 · Análisis bibliométrico de producción, fuentes, autoría y colaboración</t>
  </si>
  <si>
    <t>Publicaciones totales</t>
  </si>
  <si>
    <t>Publicaciones 2025</t>
  </si>
  <si>
    <t>Publicaciones 2024</t>
  </si>
  <si>
    <t>Fuentes / revistas distintas</t>
  </si>
  <si>
    <t>% participación UFT (promedio)</t>
  </si>
  <si>
    <t>Autores por publicación (prom.)</t>
  </si>
  <si>
    <t>Autores UFT por publicación (prom.)</t>
  </si>
  <si>
    <t>Investigadores UFT distintos (aprox.)</t>
  </si>
  <si>
    <t>1.  Producción anual</t>
  </si>
  <si>
    <t>Año</t>
  </si>
  <si>
    <t>Publicaciones</t>
  </si>
  <si>
    <t>% del total</t>
  </si>
  <si>
    <t>2024</t>
  </si>
  <si>
    <t>2025</t>
  </si>
  <si>
    <t>Total</t>
  </si>
  <si>
    <t>2.  Tipología documental</t>
  </si>
  <si>
    <t>Tipo de documento</t>
  </si>
  <si>
    <t>Article</t>
  </si>
  <si>
    <t>Review</t>
  </si>
  <si>
    <t>Letter</t>
  </si>
  <si>
    <t>Conference Paper</t>
  </si>
  <si>
    <t>Note</t>
  </si>
  <si>
    <t>Editorial</t>
  </si>
  <si>
    <t>Chapter</t>
  </si>
  <si>
    <t>Short Survey</t>
  </si>
  <si>
    <t>Erratum</t>
  </si>
  <si>
    <t>Book</t>
  </si>
  <si>
    <t>3.  Fuentes más productivas (Top 15 revistas)</t>
  </si>
  <si>
    <t>Revista</t>
  </si>
  <si>
    <t>Revista Medica Clinica Las Condes</t>
  </si>
  <si>
    <t>Diagnostics</t>
  </si>
  <si>
    <t>Revista Chilena de Nutricion</t>
  </si>
  <si>
    <t>International Journal of Sports Physiology and Performance</t>
  </si>
  <si>
    <t>Antioxidants</t>
  </si>
  <si>
    <t>Andes Pediatrica</t>
  </si>
  <si>
    <t>International Journal of Molecular Sciences</t>
  </si>
  <si>
    <t>Journal of Clinical Medicine</t>
  </si>
  <si>
    <t>Piel</t>
  </si>
  <si>
    <t>Obesity Surgery</t>
  </si>
  <si>
    <t>Critical Care</t>
  </si>
  <si>
    <t>Scientific Reports</t>
  </si>
  <si>
    <t>Revista Medica de Chile</t>
  </si>
  <si>
    <t>Retos</t>
  </si>
  <si>
    <t>Frontiers in Psychology</t>
  </si>
  <si>
    <t>4.  Investigadores UFT más productivos (Top 15)</t>
  </si>
  <si>
    <t>Investigador/a UFT</t>
  </si>
  <si>
    <t>Buscar en Scopus</t>
  </si>
  <si>
    <t>Orellana-Donoso M.</t>
  </si>
  <si>
    <t>🔍 Buscar autor</t>
  </si>
  <si>
    <t>Yanine F.F.</t>
  </si>
  <si>
    <t>Ferre A.</t>
  </si>
  <si>
    <t>Mujika I.</t>
  </si>
  <si>
    <t>Giglio A.</t>
  </si>
  <si>
    <t>Strauss F.J.</t>
  </si>
  <si>
    <t>Díaz F.</t>
  </si>
  <si>
    <t>Henríquez-Olguín C.</t>
  </si>
  <si>
    <t>López-Arana S.</t>
  </si>
  <si>
    <t>Mariotti-Celis M.S.</t>
  </si>
  <si>
    <t>Fernández-Verdejo R.</t>
  </si>
  <si>
    <t>Cancino-López J.</t>
  </si>
  <si>
    <t>Dreyse J.</t>
  </si>
  <si>
    <t>Hidalgo M.</t>
  </si>
  <si>
    <t>Bustos-Arriagada E.</t>
  </si>
  <si>
    <t>5.  Colaboración interna (n° de autores UFT por publicación)</t>
  </si>
  <si>
    <t>N° autores UFT</t>
  </si>
  <si>
    <t>1 autor</t>
  </si>
  <si>
    <t>2 autores</t>
  </si>
  <si>
    <t>3 autores</t>
  </si>
  <si>
    <t>4 autores</t>
  </si>
  <si>
    <t>5 autores</t>
  </si>
  <si>
    <t>6 o más</t>
  </si>
  <si>
    <t>6.  Intensidad de participación UFT (% de autores UFT sobre el total)</t>
  </si>
  <si>
    <t>Rango de participación</t>
  </si>
  <si>
    <t>100% (autoría íntegra UFT)</t>
  </si>
  <si>
    <t>50% – 99%</t>
  </si>
  <si>
    <t>25% – 49%</t>
  </si>
  <si>
    <t>10% – 24%</t>
  </si>
  <si>
    <t>&lt; 10%</t>
  </si>
  <si>
    <t>Nota metodológica y fuentes</t>
  </si>
  <si>
    <t>• Fuente de datos: hoja «Publicaciones unificadas» (tabla PublicacionesUnicas). Todas las cifras se calculan con fórmulas vinculadas a dicha tabla y se actualizan automáticamente.</t>
  </si>
  <si>
    <t>• Universo: 589 publicaciones únicas de 2024–2025. El conteo de investigadores UFT distintos (≈397) se deriva del análisis de la columna «Autores UFT (autoría / coautoría)» separando los nombres por «|».</t>
  </si>
  <si>
    <t>• «Fuentes distintas» incluye ~20 registros cuya revista no fue resuelta en el origen (aparecen como «System.Xml.XmlElement»); estos no afectan los rankings de revistas mostrados.</t>
  </si>
  <si>
    <t>• % participación UFT = n° de autores UFT / n° total de autores de cada publicación. Colaboración interna = n° de autores UFT firmantes por publicación.</t>
  </si>
  <si>
    <t>ANÁLISIS COMPLEMENTARIOS</t>
  </si>
  <si>
    <t>7.  Tipología documental por año</t>
  </si>
  <si>
    <t>8.  Tamaño de los equipos de investigación (n° total de autores)</t>
  </si>
  <si>
    <t>N° total de autores</t>
  </si>
  <si>
    <t>1 (individual)</t>
  </si>
  <si>
    <t>2 – 3</t>
  </si>
  <si>
    <t>4 – 6</t>
  </si>
  <si>
    <t>7 – 10</t>
  </si>
  <si>
    <t>11 – 20</t>
  </si>
  <si>
    <t>Más de 20</t>
  </si>
  <si>
    <t>9.  Participación UFT media por tipo documental</t>
  </si>
  <si>
    <t>% participación UFT (prom.)</t>
  </si>
  <si>
    <t>10.  Indicadores de colaboración y visibilidad</t>
  </si>
  <si>
    <t>Indicador</t>
  </si>
  <si>
    <t>Valor</t>
  </si>
  <si>
    <t>Publicaciones con DOI</t>
  </si>
  <si>
    <t>Autoría íntegra UFT (100%)</t>
  </si>
  <si>
    <t>Con colaboración externa (&lt;100%)</t>
  </si>
  <si>
    <t>Gran colaboración (&gt;10 autores)</t>
  </si>
  <si>
    <t>Concentración en Top 5 revistas</t>
  </si>
  <si>
    <t>Concentración en Top 10 revistas</t>
  </si>
  <si>
    <t>11.  Perfil de autoría UFT</t>
  </si>
  <si>
    <t>Perfil</t>
  </si>
  <si>
    <t>En colaboración externa (&lt;100%)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</si>
</sst>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20"/>
      <color rgb="FFFFFFFF"/>
      <name val="Calibri"/>
      <scheme val="minor"/>
    </font>
    <font>
      <i/>
      <sz val="10"/>
      <color rgb="FFFFFFFF"/>
      <name val="Calibri"/>
      <scheme val="minor"/>
    </font>
    <font>
      <b/>
      <sz val="9"/>
      <color rgb="FFFFFFFF"/>
      <name val="Calibri"/>
      <family val="2"/>
      <scheme val="minor"/>
    </font>
    <font>
      <b/>
      <sz val="20"/>
      <color rgb="FF1F4E79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1"/>
      <color rgb="FF0563C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9"/>
      <color rgb="FF404040"/>
      <name val="Calibri"/>
      <family val="2"/>
      <scheme val="minor"/>
    </font>
    <font>
      <b/>
      <sz val="13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AF1F8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153D6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1F4E79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3" fillId="2" borderId="0" xfId="0" applyFont="1" applyFill="1"/>
    <xf numFmtId="0" fontId="4" fillId="3" borderId="0" xfId="0" applyFont="1" applyFill="1"/>
    <xf numFmtId="0" fontId="5" fillId="2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164" fontId="6" fillId="4" borderId="0" xfId="0" applyNumberFormat="1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8" fillId="5" borderId="1" xfId="0" applyFont="1" applyFill="1" applyBorder="1"/>
    <xf numFmtId="49" fontId="0" fillId="0" borderId="0" xfId="0" applyNumberFormat="1" applyAlignment="1">
      <alignment horizontal="left"/>
    </xf>
    <xf numFmtId="3" fontId="0" fillId="0" borderId="0" xfId="0" applyNumberFormat="1"/>
    <xf numFmtId="164" fontId="0" fillId="0" borderId="0" xfId="0" applyNumberFormat="1"/>
    <xf numFmtId="0" fontId="1" fillId="0" borderId="2" xfId="0" applyFont="1" applyBorder="1" applyAlignment="1">
      <alignment horizontal="left"/>
    </xf>
    <xf numFmtId="3" fontId="1" fillId="0" borderId="2" xfId="0" applyNumberFormat="1" applyFont="1" applyBorder="1"/>
    <xf numFmtId="164" fontId="1" fillId="0" borderId="2" xfId="0" applyNumberFormat="1" applyFont="1" applyBorder="1"/>
    <xf numFmtId="0" fontId="0" fillId="0" borderId="0" xfId="0" applyAlignment="1">
      <alignment horizontal="left"/>
    </xf>
    <xf numFmtId="0" fontId="7" fillId="2" borderId="0" xfId="0" applyFont="1" applyFill="1" applyAlignment="1">
      <alignment horizontal="left" vertical="center"/>
    </xf>
    <xf numFmtId="0" fontId="8" fillId="5" borderId="1" xfId="0" applyFont="1" applyFill="1" applyBorder="1" applyAlignment="1">
      <alignment horizontal="left"/>
    </xf>
    <xf numFmtId="0" fontId="8" fillId="5" borderId="0" xfId="0" applyFont="1" applyFill="1" applyAlignment="1">
      <alignment horizontal="left"/>
    </xf>
    <xf numFmtId="0" fontId="9" fillId="0" borderId="0" xfId="1" applyFont="1" applyAlignment="1">
      <alignment horizontal="left"/>
    </xf>
    <xf numFmtId="0" fontId="10" fillId="2" borderId="0" xfId="0" applyFont="1" applyFill="1" applyAlignment="1">
      <alignment vertical="center"/>
    </xf>
    <xf numFmtId="0" fontId="11" fillId="0" borderId="0" xfId="0" applyFont="1" applyAlignment="1">
      <alignment vertical="center"/>
    </xf>
    <xf numFmtId="0" fontId="12" fillId="6" borderId="0" xfId="0" applyFont="1" applyFill="1" applyAlignment="1">
      <alignment horizontal="center" vertical="center"/>
    </xf>
    <xf numFmtId="49" fontId="8" fillId="5" borderId="1" xfId="0" applyNumberFormat="1" applyFont="1" applyFill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Publicaciones por tipo documental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E75B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'[1]Informe Cienciométrico'!$A$30:$A$39</c:f>
              <c:strCache>
                <c:ptCount val="10"/>
                <c:pt idx="0">
                  <c:v>Article</c:v>
                </c:pt>
                <c:pt idx="1">
                  <c:v>Review</c:v>
                </c:pt>
                <c:pt idx="2">
                  <c:v>Letter</c:v>
                </c:pt>
                <c:pt idx="3">
                  <c:v>Conference Paper</c:v>
                </c:pt>
                <c:pt idx="4">
                  <c:v>Note</c:v>
                </c:pt>
                <c:pt idx="5">
                  <c:v>Editorial</c:v>
                </c:pt>
                <c:pt idx="6">
                  <c:v>Chapter</c:v>
                </c:pt>
                <c:pt idx="7">
                  <c:v>Short Survey</c:v>
                </c:pt>
                <c:pt idx="8">
                  <c:v>Erratum</c:v>
                </c:pt>
                <c:pt idx="9">
                  <c:v>Book</c:v>
                </c:pt>
              </c:strCache>
            </c:strRef>
          </c:cat>
          <c:val>
            <c:numRef>
              <c:f>'[1]Informe Cienciométrico'!$B$30:$B$39</c:f>
              <c:numCache>
                <c:formatCode>#,##0</c:formatCode>
                <c:ptCount val="10"/>
                <c:pt idx="0">
                  <c:v>412</c:v>
                </c:pt>
                <c:pt idx="1">
                  <c:v>103</c:v>
                </c:pt>
                <c:pt idx="2">
                  <c:v>21</c:v>
                </c:pt>
                <c:pt idx="3">
                  <c:v>14</c:v>
                </c:pt>
                <c:pt idx="4">
                  <c:v>6</c:v>
                </c:pt>
                <c:pt idx="5">
                  <c:v>7</c:v>
                </c:pt>
                <c:pt idx="6">
                  <c:v>17</c:v>
                </c:pt>
                <c:pt idx="7">
                  <c:v>3</c:v>
                </c:pt>
                <c:pt idx="8">
                  <c:v>4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1A-4AFD-AA3B-B846231664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79115391"/>
        <c:axId val="1628448815"/>
      </c:barChart>
      <c:catAx>
        <c:axId val="127911539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28448815"/>
        <c:crosses val="autoZero"/>
        <c:auto val="1"/>
        <c:lblAlgn val="ctr"/>
        <c:lblOffset val="100"/>
        <c:noMultiLvlLbl val="0"/>
      </c:catAx>
      <c:valAx>
        <c:axId val="1628448815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279115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15 revistas por número de publicaciones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E75B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'[1]Informe Cienciométrico'!$A$50:$A$64</c:f>
              <c:strCache>
                <c:ptCount val="15"/>
                <c:pt idx="0">
                  <c:v>Revista Medica Clinica Las Condes</c:v>
                </c:pt>
                <c:pt idx="1">
                  <c:v>Diagnostics</c:v>
                </c:pt>
                <c:pt idx="2">
                  <c:v>Revista Chilena de Nutricion</c:v>
                </c:pt>
                <c:pt idx="3">
                  <c:v>International Journal of Sports Physiology and Performance</c:v>
                </c:pt>
                <c:pt idx="4">
                  <c:v>Antioxidants</c:v>
                </c:pt>
                <c:pt idx="5">
                  <c:v>Andes Pediatrica</c:v>
                </c:pt>
                <c:pt idx="6">
                  <c:v>International Journal of Molecular Sciences</c:v>
                </c:pt>
                <c:pt idx="7">
                  <c:v>Journal of Clinical Medicine</c:v>
                </c:pt>
                <c:pt idx="8">
                  <c:v>Piel</c:v>
                </c:pt>
                <c:pt idx="9">
                  <c:v>Obesity Surgery</c:v>
                </c:pt>
                <c:pt idx="10">
                  <c:v>Critical Care</c:v>
                </c:pt>
                <c:pt idx="11">
                  <c:v>Scientific Reports</c:v>
                </c:pt>
                <c:pt idx="12">
                  <c:v>Revista Medica de Chile</c:v>
                </c:pt>
                <c:pt idx="13">
                  <c:v>Retos</c:v>
                </c:pt>
                <c:pt idx="14">
                  <c:v>Frontiers in Psychology</c:v>
                </c:pt>
              </c:strCache>
            </c:strRef>
          </c:cat>
          <c:val>
            <c:numRef>
              <c:f>'[1]Informe Cienciométrico'!$B$50:$B$64</c:f>
              <c:numCache>
                <c:formatCode>#,##0</c:formatCode>
                <c:ptCount val="15"/>
                <c:pt idx="0">
                  <c:v>35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9</c:v>
                </c:pt>
                <c:pt idx="5">
                  <c:v>8</c:v>
                </c:pt>
                <c:pt idx="6">
                  <c:v>7</c:v>
                </c:pt>
                <c:pt idx="7">
                  <c:v>7</c:v>
                </c:pt>
                <c:pt idx="8">
                  <c:v>6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4</c:v>
                </c:pt>
                <c:pt idx="1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0E-456B-BB0D-6AF71E199C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28446319"/>
        <c:axId val="1628447151"/>
      </c:barChart>
      <c:catAx>
        <c:axId val="1628446319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28447151"/>
        <c:crosses val="autoZero"/>
        <c:auto val="1"/>
        <c:lblAlgn val="ctr"/>
        <c:lblOffset val="100"/>
        <c:noMultiLvlLbl val="0"/>
      </c:catAx>
      <c:valAx>
        <c:axId val="1628447151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284463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15 investigadores UFT por número de publicaciones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E75B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'[1]Informe Cienciométrico'!$A$74:$A$88</c:f>
              <c:strCache>
                <c:ptCount val="15"/>
                <c:pt idx="0">
                  <c:v>Orellana-Donoso M.</c:v>
                </c:pt>
                <c:pt idx="1">
                  <c:v>Yanine F.F.</c:v>
                </c:pt>
                <c:pt idx="2">
                  <c:v>Ferre A.</c:v>
                </c:pt>
                <c:pt idx="3">
                  <c:v>Mujika I.</c:v>
                </c:pt>
                <c:pt idx="4">
                  <c:v>Giglio A.</c:v>
                </c:pt>
                <c:pt idx="5">
                  <c:v>Strauss F.J.</c:v>
                </c:pt>
                <c:pt idx="6">
                  <c:v>Díaz F.</c:v>
                </c:pt>
                <c:pt idx="7">
                  <c:v>Henríquez-Olguín C.</c:v>
                </c:pt>
                <c:pt idx="8">
                  <c:v>López-Arana S.</c:v>
                </c:pt>
                <c:pt idx="9">
                  <c:v>Mariotti-Celis M.S.</c:v>
                </c:pt>
                <c:pt idx="10">
                  <c:v>Fernández-Verdejo R.</c:v>
                </c:pt>
                <c:pt idx="11">
                  <c:v>Cancino-López J.</c:v>
                </c:pt>
                <c:pt idx="12">
                  <c:v>Dreyse J.</c:v>
                </c:pt>
                <c:pt idx="13">
                  <c:v>Hidalgo M.</c:v>
                </c:pt>
                <c:pt idx="14">
                  <c:v>Bustos-Arriagada E.</c:v>
                </c:pt>
              </c:strCache>
            </c:strRef>
          </c:cat>
          <c:val>
            <c:numRef>
              <c:f>'[1]Informe Cienciométrico'!$B$74:$B$88</c:f>
              <c:numCache>
                <c:formatCode>#,##0</c:formatCode>
                <c:ptCount val="15"/>
                <c:pt idx="0">
                  <c:v>32</c:v>
                </c:pt>
                <c:pt idx="1">
                  <c:v>22</c:v>
                </c:pt>
                <c:pt idx="2">
                  <c:v>21</c:v>
                </c:pt>
                <c:pt idx="3">
                  <c:v>21</c:v>
                </c:pt>
                <c:pt idx="4">
                  <c:v>19</c:v>
                </c:pt>
                <c:pt idx="5">
                  <c:v>17</c:v>
                </c:pt>
                <c:pt idx="6">
                  <c:v>15</c:v>
                </c:pt>
                <c:pt idx="7">
                  <c:v>13</c:v>
                </c:pt>
                <c:pt idx="8">
                  <c:v>13</c:v>
                </c:pt>
                <c:pt idx="9">
                  <c:v>12</c:v>
                </c:pt>
                <c:pt idx="10">
                  <c:v>12</c:v>
                </c:pt>
                <c:pt idx="11">
                  <c:v>11</c:v>
                </c:pt>
                <c:pt idx="12">
                  <c:v>11</c:v>
                </c:pt>
                <c:pt idx="13">
                  <c:v>9</c:v>
                </c:pt>
                <c:pt idx="1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0E-4ED1-BFE8-218115B68F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628455887"/>
        <c:axId val="1628449231"/>
      </c:barChart>
      <c:catAx>
        <c:axId val="162845588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28449231"/>
        <c:crosses val="autoZero"/>
        <c:auto val="1"/>
        <c:lblAlgn val="ctr"/>
        <c:lblOffset val="100"/>
        <c:noMultiLvlLbl val="0"/>
      </c:catAx>
      <c:valAx>
        <c:axId val="1628449231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28455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Distribución por n° de autores UFT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E75B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'[1]Informe Cienciométrico'!$A$98:$A$103</c:f>
              <c:strCache>
                <c:ptCount val="6"/>
                <c:pt idx="0">
                  <c:v>1 autor</c:v>
                </c:pt>
                <c:pt idx="1">
                  <c:v>2 autores</c:v>
                </c:pt>
                <c:pt idx="2">
                  <c:v>3 autores</c:v>
                </c:pt>
                <c:pt idx="3">
                  <c:v>4 autores</c:v>
                </c:pt>
                <c:pt idx="4">
                  <c:v>5 autores</c:v>
                </c:pt>
                <c:pt idx="5">
                  <c:v>6 o más</c:v>
                </c:pt>
              </c:strCache>
            </c:strRef>
          </c:cat>
          <c:val>
            <c:numRef>
              <c:f>'[1]Informe Cienciométrico'!$B$98:$B$103</c:f>
              <c:numCache>
                <c:formatCode>#,##0</c:formatCode>
                <c:ptCount val="6"/>
                <c:pt idx="0">
                  <c:v>451</c:v>
                </c:pt>
                <c:pt idx="1">
                  <c:v>68</c:v>
                </c:pt>
                <c:pt idx="2">
                  <c:v>31</c:v>
                </c:pt>
                <c:pt idx="3">
                  <c:v>21</c:v>
                </c:pt>
                <c:pt idx="4">
                  <c:v>4</c:v>
                </c:pt>
                <c:pt idx="5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C9-4D57-8AAC-EE4227CC9B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8445071"/>
        <c:axId val="1628449647"/>
      </c:barChart>
      <c:catAx>
        <c:axId val="1628445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28449647"/>
        <c:crosses val="autoZero"/>
        <c:auto val="1"/>
        <c:lblAlgn val="ctr"/>
        <c:lblOffset val="100"/>
        <c:noMultiLvlLbl val="0"/>
      </c:catAx>
      <c:valAx>
        <c:axId val="1628449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284450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Intensidad de participación UFT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E75B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'[1]Informe Cienciométrico'!$A$116:$A$120</c:f>
              <c:strCache>
                <c:ptCount val="5"/>
                <c:pt idx="0">
                  <c:v>100% (autoría íntegra UFT)</c:v>
                </c:pt>
                <c:pt idx="1">
                  <c:v>50% – 99%</c:v>
                </c:pt>
                <c:pt idx="2">
                  <c:v>25% – 49%</c:v>
                </c:pt>
                <c:pt idx="3">
                  <c:v>10% – 24%</c:v>
                </c:pt>
                <c:pt idx="4">
                  <c:v>&lt; 10%</c:v>
                </c:pt>
              </c:strCache>
            </c:strRef>
          </c:cat>
          <c:val>
            <c:numRef>
              <c:f>'[1]Informe Cienciométrico'!$B$116:$B$120</c:f>
              <c:numCache>
                <c:formatCode>#,##0</c:formatCode>
                <c:ptCount val="5"/>
                <c:pt idx="0">
                  <c:v>93</c:v>
                </c:pt>
                <c:pt idx="1">
                  <c:v>100</c:v>
                </c:pt>
                <c:pt idx="2">
                  <c:v>144</c:v>
                </c:pt>
                <c:pt idx="3">
                  <c:v>169</c:v>
                </c:pt>
                <c:pt idx="4">
                  <c:v>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94-4311-8C6C-E2BA3389A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8441743"/>
        <c:axId val="1628452975"/>
      </c:barChart>
      <c:catAx>
        <c:axId val="16284417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28452975"/>
        <c:crosses val="autoZero"/>
        <c:auto val="1"/>
        <c:lblAlgn val="ctr"/>
        <c:lblOffset val="100"/>
        <c:noMultiLvlLbl val="0"/>
      </c:catAx>
      <c:valAx>
        <c:axId val="1628452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284417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Producción por año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E75B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'[1]Informe Cienciométrico'!$A$13:$A$14</c:f>
              <c:strCache>
                <c:ptCount val="2"/>
                <c:pt idx="0">
                  <c:v>2024</c:v>
                </c:pt>
                <c:pt idx="1">
                  <c:v>2025</c:v>
                </c:pt>
              </c:strCache>
            </c:strRef>
          </c:cat>
          <c:val>
            <c:numRef>
              <c:f>'[1]Informe Cienciométrico'!$B$13:$B$14</c:f>
              <c:numCache>
                <c:formatCode>#,##0</c:formatCode>
                <c:ptCount val="2"/>
                <c:pt idx="0">
                  <c:v>271</c:v>
                </c:pt>
                <c:pt idx="1">
                  <c:v>317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9B-4F0E-94B4-62B04AB4B1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23771327"/>
        <c:axId val="1623771743"/>
      </c:barChart>
      <c:catAx>
        <c:axId val="1623771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23771743"/>
        <c:crosses val="autoZero"/>
        <c:auto val="1"/>
        <c:lblAlgn val="ctr"/>
        <c:lblOffset val="100"/>
        <c:noMultiLvlLbl val="0"/>
      </c:catAx>
      <c:valAx>
        <c:axId val="1623771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237713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Tamaño de los equipos de investigación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2E75B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'[1]Informe Cienciométrico'!$A$162:$A$167</c:f>
              <c:strCache>
                <c:ptCount val="6"/>
                <c:pt idx="0">
                  <c:v>1 (individual)</c:v>
                </c:pt>
                <c:pt idx="1">
                  <c:v>2 – 3</c:v>
                </c:pt>
                <c:pt idx="2">
                  <c:v>4 – 6</c:v>
                </c:pt>
                <c:pt idx="3">
                  <c:v>7 – 10</c:v>
                </c:pt>
                <c:pt idx="4">
                  <c:v>11 – 20</c:v>
                </c:pt>
                <c:pt idx="5">
                  <c:v>Más de 20</c:v>
                </c:pt>
              </c:strCache>
            </c:strRef>
          </c:cat>
          <c:val>
            <c:numRef>
              <c:f>'[1]Informe Cienciométrico'!$B$162:$B$167</c:f>
              <c:numCache>
                <c:formatCode>#,##0</c:formatCode>
                <c:ptCount val="6"/>
                <c:pt idx="0">
                  <c:v>49</c:v>
                </c:pt>
                <c:pt idx="1">
                  <c:v>162</c:v>
                </c:pt>
                <c:pt idx="2">
                  <c:v>180</c:v>
                </c:pt>
                <c:pt idx="3">
                  <c:v>105</c:v>
                </c:pt>
                <c:pt idx="4">
                  <c:v>74</c:v>
                </c:pt>
                <c:pt idx="5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71-45B6-A61C-CEE12EB239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2441599"/>
        <c:axId val="1362439103"/>
      </c:barChart>
      <c:catAx>
        <c:axId val="1362441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62439103"/>
        <c:crosses val="autoZero"/>
        <c:auto val="1"/>
        <c:lblAlgn val="ctr"/>
        <c:lblOffset val="100"/>
        <c:noMultiLvlLbl val="0"/>
      </c:catAx>
      <c:valAx>
        <c:axId val="136243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62441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Participación UFT media por tipo documental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E75B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'[1]Informe Cienciométrico'!$A$180:$A$185</c:f>
              <c:strCache>
                <c:ptCount val="6"/>
                <c:pt idx="0">
                  <c:v>Article</c:v>
                </c:pt>
                <c:pt idx="1">
                  <c:v>Review</c:v>
                </c:pt>
                <c:pt idx="2">
                  <c:v>Letter</c:v>
                </c:pt>
                <c:pt idx="3">
                  <c:v>Chapter</c:v>
                </c:pt>
                <c:pt idx="4">
                  <c:v>Conference Paper</c:v>
                </c:pt>
                <c:pt idx="5">
                  <c:v>Editorial</c:v>
                </c:pt>
              </c:strCache>
            </c:strRef>
          </c:cat>
          <c:val>
            <c:numRef>
              <c:f>'[1]Informe Cienciométrico'!$B$180:$B$185</c:f>
              <c:numCache>
                <c:formatCode>0.0%</c:formatCode>
                <c:ptCount val="6"/>
                <c:pt idx="0">
                  <c:v>0.38610970392001459</c:v>
                </c:pt>
                <c:pt idx="1">
                  <c:v>0.32647644175933432</c:v>
                </c:pt>
                <c:pt idx="2">
                  <c:v>0.5955404383975812</c:v>
                </c:pt>
                <c:pt idx="3">
                  <c:v>0.47408963585434166</c:v>
                </c:pt>
                <c:pt idx="4">
                  <c:v>0.39234693877551025</c:v>
                </c:pt>
                <c:pt idx="5">
                  <c:v>0.51262083780880774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BA-4612-91D3-DC65549C82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72945343"/>
        <c:axId val="1372944927"/>
      </c:barChart>
      <c:catAx>
        <c:axId val="137294534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72944927"/>
        <c:crosses val="autoZero"/>
        <c:auto val="1"/>
        <c:lblAlgn val="ctr"/>
        <c:lblOffset val="100"/>
        <c:noMultiLvlLbl val="0"/>
      </c:catAx>
      <c:valAx>
        <c:axId val="1372944927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72945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Indicadores de colaboración y visibilidad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2E75B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'[1]Informe Cienciométrico'!$A$198:$A$203</c:f>
              <c:strCache>
                <c:ptCount val="6"/>
                <c:pt idx="0">
                  <c:v>Publicaciones con DOI</c:v>
                </c:pt>
                <c:pt idx="1">
                  <c:v>Autoría íntegra UFT (100%)</c:v>
                </c:pt>
                <c:pt idx="2">
                  <c:v>Con colaboración externa (&lt;100%)</c:v>
                </c:pt>
                <c:pt idx="3">
                  <c:v>Gran colaboración (&gt;10 autores)</c:v>
                </c:pt>
                <c:pt idx="4">
                  <c:v>Concentración en Top 5 revistas</c:v>
                </c:pt>
                <c:pt idx="5">
                  <c:v>Concentración en Top 10 revistas</c:v>
                </c:pt>
              </c:strCache>
            </c:strRef>
          </c:cat>
          <c:val>
            <c:numRef>
              <c:f>'[1]Informe Cienciométrico'!$B$198:$B$203</c:f>
              <c:numCache>
                <c:formatCode>0.0%</c:formatCode>
                <c:ptCount val="6"/>
                <c:pt idx="0">
                  <c:v>1</c:v>
                </c:pt>
                <c:pt idx="1">
                  <c:v>0.15789473684210525</c:v>
                </c:pt>
                <c:pt idx="2">
                  <c:v>0.83701188455008491</c:v>
                </c:pt>
                <c:pt idx="3">
                  <c:v>0.15619694397283532</c:v>
                </c:pt>
                <c:pt idx="4">
                  <c:v>0.12563667232597622</c:v>
                </c:pt>
                <c:pt idx="5">
                  <c:v>0.18166383701188454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5C-4832-917E-FF16A79C35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72947007"/>
        <c:axId val="1372945759"/>
      </c:barChart>
      <c:catAx>
        <c:axId val="137294700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72945759"/>
        <c:crosses val="autoZero"/>
        <c:auto val="1"/>
        <c:lblAlgn val="ctr"/>
        <c:lblOffset val="100"/>
        <c:noMultiLvlLbl val="0"/>
      </c:catAx>
      <c:valAx>
        <c:axId val="1372945759"/>
        <c:scaling>
          <c:orientation val="minMax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372947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Perfil de autoría UFT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54A-4634-A11A-379843AC242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54A-4634-A11A-379843AC242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'[1]Informe Cienciométrico'!$A$216:$A$217</c:f>
              <c:strCache>
                <c:ptCount val="2"/>
                <c:pt idx="0">
                  <c:v>Autoría íntegra UFT (100%)</c:v>
                </c:pt>
                <c:pt idx="1">
                  <c:v>En colaboración externa (&lt;100%)</c:v>
                </c:pt>
              </c:strCache>
            </c:strRef>
          </c:cat>
          <c:val>
            <c:numRef>
              <c:f>'[1]Informe Cienciométrico'!$B$216:$B$217</c:f>
              <c:numCache>
                <c:formatCode>#,##0</c:formatCode>
                <c:ptCount val="2"/>
                <c:pt idx="0">
                  <c:v>93</c:v>
                </c:pt>
                <c:pt idx="1">
                  <c:v>493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54A-4634-A11A-379843AC24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1F4E79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Tipología documental por año (2024 vs 2025)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1F4E79"/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'[1]Informe Cienciométrico'!$B$141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9DC3E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'[1]Informe Cienciométrico'!$A$142:$A$147</c:f>
              <c:strCache>
                <c:ptCount val="6"/>
                <c:pt idx="0">
                  <c:v>Article</c:v>
                </c:pt>
                <c:pt idx="1">
                  <c:v>Review</c:v>
                </c:pt>
                <c:pt idx="2">
                  <c:v>Letter</c:v>
                </c:pt>
                <c:pt idx="3">
                  <c:v>Chapter</c:v>
                </c:pt>
                <c:pt idx="4">
                  <c:v>Conference Paper</c:v>
                </c:pt>
                <c:pt idx="5">
                  <c:v>Editorial</c:v>
                </c:pt>
              </c:strCache>
            </c:strRef>
          </c:cat>
          <c:val>
            <c:numRef>
              <c:f>'[1]Informe Cienciométrico'!$B$142:$B$147</c:f>
              <c:numCache>
                <c:formatCode>#,##0</c:formatCode>
                <c:ptCount val="6"/>
                <c:pt idx="0">
                  <c:v>197</c:v>
                </c:pt>
                <c:pt idx="1">
                  <c:v>39</c:v>
                </c:pt>
                <c:pt idx="2">
                  <c:v>9</c:v>
                </c:pt>
                <c:pt idx="3">
                  <c:v>14</c:v>
                </c:pt>
                <c:pt idx="4">
                  <c:v>4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92-4B97-9863-168FB2B7FE99}"/>
            </c:ext>
          </c:extLst>
        </c:ser>
        <c:ser>
          <c:idx val="1"/>
          <c:order val="1"/>
          <c:tx>
            <c:strRef>
              <c:f>'[1]Informe Cienciométrico'!$C$141</c:f>
              <c:strCache>
                <c:ptCount val="1"/>
                <c:pt idx="0">
                  <c:v>2025</c:v>
                </c:pt>
              </c:strCache>
            </c:strRef>
          </c:tx>
          <c:spPr>
            <a:solidFill>
              <a:srgbClr val="1F4E7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'[1]Informe Cienciométrico'!$A$142:$A$147</c:f>
              <c:strCache>
                <c:ptCount val="6"/>
                <c:pt idx="0">
                  <c:v>Article</c:v>
                </c:pt>
                <c:pt idx="1">
                  <c:v>Review</c:v>
                </c:pt>
                <c:pt idx="2">
                  <c:v>Letter</c:v>
                </c:pt>
                <c:pt idx="3">
                  <c:v>Chapter</c:v>
                </c:pt>
                <c:pt idx="4">
                  <c:v>Conference Paper</c:v>
                </c:pt>
                <c:pt idx="5">
                  <c:v>Editorial</c:v>
                </c:pt>
              </c:strCache>
            </c:strRef>
          </c:cat>
          <c:val>
            <c:numRef>
              <c:f>'[1]Informe Cienciométrico'!$C$142:$C$147</c:f>
              <c:numCache>
                <c:formatCode>#,##0</c:formatCode>
                <c:ptCount val="6"/>
                <c:pt idx="0">
                  <c:v>215</c:v>
                </c:pt>
                <c:pt idx="1">
                  <c:v>64</c:v>
                </c:pt>
                <c:pt idx="2">
                  <c:v>12</c:v>
                </c:pt>
                <c:pt idx="3">
                  <c:v>3</c:v>
                </c:pt>
                <c:pt idx="4">
                  <c:v>10</c:v>
                </c:pt>
                <c:pt idx="5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92-4B97-9863-168FB2B7FE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30617663"/>
        <c:axId val="1630618079"/>
      </c:barChart>
      <c:catAx>
        <c:axId val="1630617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30618079"/>
        <c:crosses val="autoZero"/>
        <c:auto val="1"/>
        <c:lblAlgn val="ctr"/>
        <c:lblOffset val="100"/>
        <c:noMultiLvlLbl val="0"/>
      </c:catAx>
      <c:valAx>
        <c:axId val="1630618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16306176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27</xdr:row>
      <xdr:rowOff>0</xdr:rowOff>
    </xdr:from>
    <xdr:to>
      <xdr:col>13</xdr:col>
      <xdr:colOff>0</xdr:colOff>
      <xdr:row>46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7F83EA4-57FC-461C-B33E-9BD7BA92A50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0</xdr:colOff>
      <xdr:row>47</xdr:row>
      <xdr:rowOff>0</xdr:rowOff>
    </xdr:from>
    <xdr:to>
      <xdr:col>13</xdr:col>
      <xdr:colOff>0</xdr:colOff>
      <xdr:row>70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22D8214-DB2A-4628-A18D-02C1DF8028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0</xdr:colOff>
      <xdr:row>71</xdr:row>
      <xdr:rowOff>0</xdr:rowOff>
    </xdr:from>
    <xdr:to>
      <xdr:col>13</xdr:col>
      <xdr:colOff>0</xdr:colOff>
      <xdr:row>94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791C9BA-A7A5-4701-895E-2D4DF690A5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0</xdr:colOff>
      <xdr:row>95</xdr:row>
      <xdr:rowOff>0</xdr:rowOff>
    </xdr:from>
    <xdr:to>
      <xdr:col>13</xdr:col>
      <xdr:colOff>0</xdr:colOff>
      <xdr:row>112</xdr:row>
      <xdr:rowOff>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BA02F265-BE46-4349-8FA8-4CE6FE0A34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0</xdr:colOff>
      <xdr:row>113</xdr:row>
      <xdr:rowOff>0</xdr:rowOff>
    </xdr:from>
    <xdr:to>
      <xdr:col>13</xdr:col>
      <xdr:colOff>0</xdr:colOff>
      <xdr:row>130</xdr:row>
      <xdr:rowOff>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5A7ECFBE-49AC-46DF-BD78-BF59FC4859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0</xdr:colOff>
      <xdr:row>10</xdr:row>
      <xdr:rowOff>0</xdr:rowOff>
    </xdr:from>
    <xdr:to>
      <xdr:col>13</xdr:col>
      <xdr:colOff>0</xdr:colOff>
      <xdr:row>26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39711B48-4E28-428C-8877-579535F9BA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4</xdr:col>
      <xdr:colOff>0</xdr:colOff>
      <xdr:row>159</xdr:row>
      <xdr:rowOff>1</xdr:rowOff>
    </xdr:from>
    <xdr:to>
      <xdr:col>13</xdr:col>
      <xdr:colOff>0</xdr:colOff>
      <xdr:row>176</xdr:row>
      <xdr:rowOff>1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E02094B8-A75B-4C5E-B8F5-C9CB915836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0</xdr:colOff>
      <xdr:row>176</xdr:row>
      <xdr:rowOff>182879</xdr:rowOff>
    </xdr:from>
    <xdr:to>
      <xdr:col>13</xdr:col>
      <xdr:colOff>0</xdr:colOff>
      <xdr:row>193</xdr:row>
      <xdr:rowOff>182879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4CF29770-A43C-4B95-9140-F06DB0A804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0</xdr:colOff>
      <xdr:row>194</xdr:row>
      <xdr:rowOff>182879</xdr:rowOff>
    </xdr:from>
    <xdr:to>
      <xdr:col>13</xdr:col>
      <xdr:colOff>0</xdr:colOff>
      <xdr:row>211</xdr:row>
      <xdr:rowOff>182879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2C3CDEF3-2378-4C8C-827B-81823E8940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4</xdr:col>
      <xdr:colOff>0</xdr:colOff>
      <xdr:row>213</xdr:row>
      <xdr:rowOff>0</xdr:rowOff>
    </xdr:from>
    <xdr:to>
      <xdr:col>13</xdr:col>
      <xdr:colOff>0</xdr:colOff>
      <xdr:row>230</xdr:row>
      <xdr:rowOff>0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F8A9E93F-2675-4B97-870D-689E6F1B7B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4</xdr:col>
      <xdr:colOff>0</xdr:colOff>
      <xdr:row>139</xdr:row>
      <xdr:rowOff>0</xdr:rowOff>
    </xdr:from>
    <xdr:to>
      <xdr:col>13</xdr:col>
      <xdr:colOff>0</xdr:colOff>
      <xdr:row>158</xdr:row>
      <xdr:rowOff>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B2D6DCE7-DB22-4BBC-B278-F7D4978440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6_Reporte-UF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ada"/>
      <sheetName val="Investigadores"/>
      <sheetName val="Resumen y gráficos"/>
      <sheetName val="Publicaciones unificadas"/>
      <sheetName val="Informe Cienciométrico (2)"/>
      <sheetName val="Informe Cienciométrico"/>
      <sheetName val="Publicaciones_UFT_detalle (2)"/>
      <sheetName val="Publicaciones_UFT_detalle"/>
    </sheetNames>
    <sheetDataSet>
      <sheetData sheetId="0"/>
      <sheetData sheetId="1"/>
      <sheetData sheetId="2"/>
      <sheetData sheetId="3"/>
      <sheetData sheetId="4"/>
      <sheetData sheetId="5">
        <row r="13">
          <cell r="A13" t="str">
            <v>2024</v>
          </cell>
          <cell r="B13">
            <v>271</v>
          </cell>
        </row>
        <row r="14">
          <cell r="A14" t="str">
            <v>2025</v>
          </cell>
          <cell r="B14">
            <v>317</v>
          </cell>
        </row>
        <row r="30">
          <cell r="A30" t="str">
            <v>Article</v>
          </cell>
          <cell r="B30">
            <v>412</v>
          </cell>
        </row>
        <row r="31">
          <cell r="A31" t="str">
            <v>Review</v>
          </cell>
          <cell r="B31">
            <v>103</v>
          </cell>
        </row>
        <row r="32">
          <cell r="A32" t="str">
            <v>Letter</v>
          </cell>
          <cell r="B32">
            <v>21</v>
          </cell>
        </row>
        <row r="33">
          <cell r="A33" t="str">
            <v>Conference Paper</v>
          </cell>
          <cell r="B33">
            <v>14</v>
          </cell>
        </row>
        <row r="34">
          <cell r="A34" t="str">
            <v>Note</v>
          </cell>
          <cell r="B34">
            <v>6</v>
          </cell>
        </row>
        <row r="35">
          <cell r="A35" t="str">
            <v>Editorial</v>
          </cell>
          <cell r="B35">
            <v>7</v>
          </cell>
        </row>
        <row r="36">
          <cell r="A36" t="str">
            <v>Chapter</v>
          </cell>
          <cell r="B36">
            <v>17</v>
          </cell>
        </row>
        <row r="37">
          <cell r="A37" t="str">
            <v>Short Survey</v>
          </cell>
          <cell r="B37">
            <v>3</v>
          </cell>
        </row>
        <row r="38">
          <cell r="A38" t="str">
            <v>Erratum</v>
          </cell>
          <cell r="B38">
            <v>4</v>
          </cell>
        </row>
        <row r="39">
          <cell r="A39" t="str">
            <v>Book</v>
          </cell>
          <cell r="B39">
            <v>1</v>
          </cell>
        </row>
        <row r="50">
          <cell r="A50" t="str">
            <v>Revista Medica Clinica Las Condes</v>
          </cell>
          <cell r="B50">
            <v>35</v>
          </cell>
        </row>
        <row r="51">
          <cell r="A51" t="str">
            <v>Diagnostics</v>
          </cell>
          <cell r="B51">
            <v>10</v>
          </cell>
        </row>
        <row r="52">
          <cell r="A52" t="str">
            <v>Revista Chilena de Nutricion</v>
          </cell>
          <cell r="B52">
            <v>10</v>
          </cell>
        </row>
        <row r="53">
          <cell r="A53" t="str">
            <v>International Journal of Sports Physiology and Performance</v>
          </cell>
          <cell r="B53">
            <v>10</v>
          </cell>
        </row>
        <row r="54">
          <cell r="A54" t="str">
            <v>Antioxidants</v>
          </cell>
          <cell r="B54">
            <v>9</v>
          </cell>
        </row>
        <row r="55">
          <cell r="A55" t="str">
            <v>Andes Pediatrica</v>
          </cell>
          <cell r="B55">
            <v>8</v>
          </cell>
        </row>
        <row r="56">
          <cell r="A56" t="str">
            <v>International Journal of Molecular Sciences</v>
          </cell>
          <cell r="B56">
            <v>7</v>
          </cell>
        </row>
        <row r="57">
          <cell r="A57" t="str">
            <v>Journal of Clinical Medicine</v>
          </cell>
          <cell r="B57">
            <v>7</v>
          </cell>
        </row>
        <row r="58">
          <cell r="A58" t="str">
            <v>Piel</v>
          </cell>
          <cell r="B58">
            <v>6</v>
          </cell>
        </row>
        <row r="59">
          <cell r="A59" t="str">
            <v>Obesity Surgery</v>
          </cell>
          <cell r="B59">
            <v>5</v>
          </cell>
        </row>
        <row r="60">
          <cell r="A60" t="str">
            <v>Critical Care</v>
          </cell>
          <cell r="B60">
            <v>5</v>
          </cell>
        </row>
        <row r="61">
          <cell r="A61" t="str">
            <v>Scientific Reports</v>
          </cell>
          <cell r="B61">
            <v>5</v>
          </cell>
        </row>
        <row r="62">
          <cell r="A62" t="str">
            <v>Revista Medica de Chile</v>
          </cell>
          <cell r="B62">
            <v>5</v>
          </cell>
        </row>
        <row r="63">
          <cell r="A63" t="str">
            <v>Retos</v>
          </cell>
          <cell r="B63">
            <v>4</v>
          </cell>
        </row>
        <row r="64">
          <cell r="A64" t="str">
            <v>Frontiers in Psychology</v>
          </cell>
          <cell r="B64">
            <v>4</v>
          </cell>
        </row>
        <row r="74">
          <cell r="A74" t="str">
            <v>Orellana-Donoso M.</v>
          </cell>
          <cell r="B74">
            <v>32</v>
          </cell>
        </row>
        <row r="75">
          <cell r="A75" t="str">
            <v>Yanine F.F.</v>
          </cell>
          <cell r="B75">
            <v>22</v>
          </cell>
        </row>
        <row r="76">
          <cell r="A76" t="str">
            <v>Ferre A.</v>
          </cell>
          <cell r="B76">
            <v>21</v>
          </cell>
        </row>
        <row r="77">
          <cell r="A77" t="str">
            <v>Mujika I.</v>
          </cell>
          <cell r="B77">
            <v>21</v>
          </cell>
        </row>
        <row r="78">
          <cell r="A78" t="str">
            <v>Giglio A.</v>
          </cell>
          <cell r="B78">
            <v>19</v>
          </cell>
        </row>
        <row r="79">
          <cell r="A79" t="str">
            <v>Strauss F.J.</v>
          </cell>
          <cell r="B79">
            <v>17</v>
          </cell>
        </row>
        <row r="80">
          <cell r="A80" t="str">
            <v>Díaz F.</v>
          </cell>
          <cell r="B80">
            <v>15</v>
          </cell>
        </row>
        <row r="81">
          <cell r="A81" t="str">
            <v>Henríquez-Olguín C.</v>
          </cell>
          <cell r="B81">
            <v>13</v>
          </cell>
        </row>
        <row r="82">
          <cell r="A82" t="str">
            <v>López-Arana S.</v>
          </cell>
          <cell r="B82">
            <v>13</v>
          </cell>
        </row>
        <row r="83">
          <cell r="A83" t="str">
            <v>Mariotti-Celis M.S.</v>
          </cell>
          <cell r="B83">
            <v>12</v>
          </cell>
        </row>
        <row r="84">
          <cell r="A84" t="str">
            <v>Fernández-Verdejo R.</v>
          </cell>
          <cell r="B84">
            <v>12</v>
          </cell>
        </row>
        <row r="85">
          <cell r="A85" t="str">
            <v>Cancino-López J.</v>
          </cell>
          <cell r="B85">
            <v>11</v>
          </cell>
        </row>
        <row r="86">
          <cell r="A86" t="str">
            <v>Dreyse J.</v>
          </cell>
          <cell r="B86">
            <v>11</v>
          </cell>
        </row>
        <row r="87">
          <cell r="A87" t="str">
            <v>Hidalgo M.</v>
          </cell>
          <cell r="B87">
            <v>9</v>
          </cell>
        </row>
        <row r="88">
          <cell r="A88" t="str">
            <v>Bustos-Arriagada E.</v>
          </cell>
          <cell r="B88">
            <v>9</v>
          </cell>
        </row>
        <row r="98">
          <cell r="A98" t="str">
            <v>1 autor</v>
          </cell>
          <cell r="B98">
            <v>451</v>
          </cell>
        </row>
        <row r="99">
          <cell r="A99" t="str">
            <v>2 autores</v>
          </cell>
          <cell r="B99">
            <v>68</v>
          </cell>
        </row>
        <row r="100">
          <cell r="A100" t="str">
            <v>3 autores</v>
          </cell>
          <cell r="B100">
            <v>31</v>
          </cell>
        </row>
        <row r="101">
          <cell r="A101" t="str">
            <v>4 autores</v>
          </cell>
          <cell r="B101">
            <v>21</v>
          </cell>
        </row>
        <row r="102">
          <cell r="A102" t="str">
            <v>5 autores</v>
          </cell>
          <cell r="B102">
            <v>4</v>
          </cell>
        </row>
        <row r="103">
          <cell r="A103" t="str">
            <v>6 o más</v>
          </cell>
          <cell r="B103">
            <v>12</v>
          </cell>
        </row>
        <row r="116">
          <cell r="A116" t="str">
            <v>100% (autoría íntegra UFT)</v>
          </cell>
          <cell r="B116">
            <v>93</v>
          </cell>
        </row>
        <row r="117">
          <cell r="A117" t="str">
            <v>50% – 99%</v>
          </cell>
          <cell r="B117">
            <v>100</v>
          </cell>
        </row>
        <row r="118">
          <cell r="A118" t="str">
            <v>25% – 49%</v>
          </cell>
          <cell r="B118">
            <v>144</v>
          </cell>
        </row>
        <row r="119">
          <cell r="A119" t="str">
            <v>10% – 24%</v>
          </cell>
          <cell r="B119">
            <v>169</v>
          </cell>
        </row>
        <row r="120">
          <cell r="A120" t="str">
            <v>&lt; 10%</v>
          </cell>
          <cell r="B120">
            <v>80</v>
          </cell>
        </row>
        <row r="141">
          <cell r="B141" t="str">
            <v>2024</v>
          </cell>
          <cell r="C141" t="str">
            <v>2025</v>
          </cell>
        </row>
        <row r="142">
          <cell r="A142" t="str">
            <v>Article</v>
          </cell>
          <cell r="B142">
            <v>197</v>
          </cell>
          <cell r="C142">
            <v>215</v>
          </cell>
        </row>
        <row r="143">
          <cell r="A143" t="str">
            <v>Review</v>
          </cell>
          <cell r="B143">
            <v>39</v>
          </cell>
          <cell r="C143">
            <v>64</v>
          </cell>
        </row>
        <row r="144">
          <cell r="A144" t="str">
            <v>Letter</v>
          </cell>
          <cell r="B144">
            <v>9</v>
          </cell>
          <cell r="C144">
            <v>12</v>
          </cell>
        </row>
        <row r="145">
          <cell r="A145" t="str">
            <v>Chapter</v>
          </cell>
          <cell r="B145">
            <v>14</v>
          </cell>
          <cell r="C145">
            <v>3</v>
          </cell>
        </row>
        <row r="146">
          <cell r="A146" t="str">
            <v>Conference Paper</v>
          </cell>
          <cell r="B146">
            <v>4</v>
          </cell>
          <cell r="C146">
            <v>10</v>
          </cell>
        </row>
        <row r="147">
          <cell r="A147" t="str">
            <v>Editorial</v>
          </cell>
          <cell r="B147">
            <v>1</v>
          </cell>
          <cell r="C147">
            <v>6</v>
          </cell>
        </row>
        <row r="162">
          <cell r="A162" t="str">
            <v>1 (individual)</v>
          </cell>
          <cell r="B162">
            <v>49</v>
          </cell>
        </row>
        <row r="163">
          <cell r="A163" t="str">
            <v>2 – 3</v>
          </cell>
          <cell r="B163">
            <v>162</v>
          </cell>
        </row>
        <row r="164">
          <cell r="A164" t="str">
            <v>4 – 6</v>
          </cell>
          <cell r="B164">
            <v>180</v>
          </cell>
        </row>
        <row r="165">
          <cell r="A165" t="str">
            <v>7 – 10</v>
          </cell>
          <cell r="B165">
            <v>105</v>
          </cell>
        </row>
        <row r="166">
          <cell r="A166" t="str">
            <v>11 – 20</v>
          </cell>
          <cell r="B166">
            <v>74</v>
          </cell>
        </row>
        <row r="167">
          <cell r="A167" t="str">
            <v>Más de 20</v>
          </cell>
          <cell r="B167">
            <v>18</v>
          </cell>
        </row>
        <row r="180">
          <cell r="A180" t="str">
            <v>Article</v>
          </cell>
          <cell r="B180">
            <v>0.38610970392001459</v>
          </cell>
        </row>
        <row r="181">
          <cell r="A181" t="str">
            <v>Review</v>
          </cell>
          <cell r="B181">
            <v>0.32647644175933432</v>
          </cell>
        </row>
        <row r="182">
          <cell r="A182" t="str">
            <v>Letter</v>
          </cell>
          <cell r="B182">
            <v>0.5955404383975812</v>
          </cell>
        </row>
        <row r="183">
          <cell r="A183" t="str">
            <v>Chapter</v>
          </cell>
          <cell r="B183">
            <v>0.47408963585434166</v>
          </cell>
        </row>
        <row r="184">
          <cell r="A184" t="str">
            <v>Conference Paper</v>
          </cell>
          <cell r="B184">
            <v>0.39234693877551025</v>
          </cell>
        </row>
        <row r="185">
          <cell r="A185" t="str">
            <v>Editorial</v>
          </cell>
          <cell r="B185">
            <v>0.51262083780880774</v>
          </cell>
        </row>
        <row r="198">
          <cell r="A198" t="str">
            <v>Publicaciones con DOI</v>
          </cell>
          <cell r="B198">
            <v>1</v>
          </cell>
        </row>
        <row r="199">
          <cell r="A199" t="str">
            <v>Autoría íntegra UFT (100%)</v>
          </cell>
          <cell r="B199">
            <v>0.15789473684210525</v>
          </cell>
        </row>
        <row r="200">
          <cell r="A200" t="str">
            <v>Con colaboración externa (&lt;100%)</v>
          </cell>
          <cell r="B200">
            <v>0.83701188455008491</v>
          </cell>
        </row>
        <row r="201">
          <cell r="A201" t="str">
            <v>Gran colaboración (&gt;10 autores)</v>
          </cell>
          <cell r="B201">
            <v>0.15619694397283532</v>
          </cell>
        </row>
        <row r="202">
          <cell r="A202" t="str">
            <v>Concentración en Top 5 revistas</v>
          </cell>
          <cell r="B202">
            <v>0.12563667232597622</v>
          </cell>
        </row>
        <row r="203">
          <cell r="A203" t="str">
            <v>Concentración en Top 10 revistas</v>
          </cell>
          <cell r="B203">
            <v>0.18166383701188454</v>
          </cell>
        </row>
        <row r="216">
          <cell r="A216" t="str">
            <v>Autoría íntegra UFT (100%)</v>
          </cell>
          <cell r="B216">
            <v>93</v>
          </cell>
        </row>
        <row r="217">
          <cell r="A217" t="str">
            <v>En colaboración externa (&lt;100%)</v>
          </cell>
          <cell r="B217">
            <v>493</v>
          </cell>
        </row>
      </sheetData>
      <sheetData sheetId="6"/>
      <sheetData sheetId="7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opus.com/results/authorNamesList.uri?st1=Henr%C3%ADquez-Olgu%C3%ADn&amp;st2=C" TargetMode="External"/><Relationship Id="rId13" Type="http://schemas.openxmlformats.org/officeDocument/2006/relationships/hyperlink" Target="https://www.scopus.com/results/authorNamesList.uri?st1=Dreyse&amp;st2=J" TargetMode="External"/><Relationship Id="rId3" Type="http://schemas.openxmlformats.org/officeDocument/2006/relationships/hyperlink" Target="https://www.scopus.com/results/authorNamesList.uri?st1=Ferre&amp;st2=A" TargetMode="External"/><Relationship Id="rId7" Type="http://schemas.openxmlformats.org/officeDocument/2006/relationships/hyperlink" Target="https://www.scopus.com/results/authorNamesList.uri?st1=D%C3%ADaz&amp;st2=F" TargetMode="External"/><Relationship Id="rId12" Type="http://schemas.openxmlformats.org/officeDocument/2006/relationships/hyperlink" Target="https://www.scopus.com/results/authorNamesList.uri?st1=Cancino-L%C3%B3pez&amp;st2=J" TargetMode="External"/><Relationship Id="rId2" Type="http://schemas.openxmlformats.org/officeDocument/2006/relationships/hyperlink" Target="https://www.scopus.com/results/authorNamesList.uri?st1=Yanine&amp;st2=F" TargetMode="External"/><Relationship Id="rId16" Type="http://schemas.openxmlformats.org/officeDocument/2006/relationships/drawing" Target="../drawings/drawing1.xml"/><Relationship Id="rId1" Type="http://schemas.openxmlformats.org/officeDocument/2006/relationships/hyperlink" Target="https://www.scopus.com/results/authorNamesList.uri?st1=Orellana-Donoso&amp;st2=M" TargetMode="External"/><Relationship Id="rId6" Type="http://schemas.openxmlformats.org/officeDocument/2006/relationships/hyperlink" Target="https://www.scopus.com/results/authorNamesList.uri?st1=Strauss&amp;st2=F" TargetMode="External"/><Relationship Id="rId11" Type="http://schemas.openxmlformats.org/officeDocument/2006/relationships/hyperlink" Target="https://www.scopus.com/results/authorNamesList.uri?st1=Fern%C3%A1ndez-Verdejo&amp;st2=R" TargetMode="External"/><Relationship Id="rId5" Type="http://schemas.openxmlformats.org/officeDocument/2006/relationships/hyperlink" Target="https://www.scopus.com/results/authorNamesList.uri?st1=Giglio&amp;st2=A" TargetMode="External"/><Relationship Id="rId15" Type="http://schemas.openxmlformats.org/officeDocument/2006/relationships/hyperlink" Target="https://www.scopus.com/results/authorNamesList.uri?st1=Bustos-Arriagada&amp;st2=E" TargetMode="External"/><Relationship Id="rId10" Type="http://schemas.openxmlformats.org/officeDocument/2006/relationships/hyperlink" Target="https://www.scopus.com/results/authorNamesList.uri?st1=Mariotti-Celis&amp;st2=M" TargetMode="External"/><Relationship Id="rId4" Type="http://schemas.openxmlformats.org/officeDocument/2006/relationships/hyperlink" Target="https://www.scopus.com/results/authorNamesList.uri?st1=Mujika&amp;st2=I" TargetMode="External"/><Relationship Id="rId9" Type="http://schemas.openxmlformats.org/officeDocument/2006/relationships/hyperlink" Target="https://www.scopus.com/results/authorNamesList.uri?st1=L%C3%B3pez-Arana&amp;st2=S" TargetMode="External"/><Relationship Id="rId14" Type="http://schemas.openxmlformats.org/officeDocument/2006/relationships/hyperlink" Target="https://www.scopus.com/results/authorNamesList.uri?st1=Hidalgo&amp;st2=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51021-F811-44EF-BFFC-A8DCF405CDCB}">
  <dimension ref="A1:M217"/>
  <sheetViews>
    <sheetView tabSelected="1" workbookViewId="0">
      <selection sqref="A1:XFD1048576"/>
    </sheetView>
  </sheetViews>
  <sheetFormatPr baseColWidth="10" defaultRowHeight="14.4" x14ac:dyDescent="0.3"/>
  <cols>
    <col min="1" max="1" width="27.77734375" customWidth="1"/>
    <col min="2" max="2" width="14.77734375" customWidth="1"/>
    <col min="3" max="3" width="13" customWidth="1"/>
    <col min="4" max="13" width="17" customWidth="1"/>
  </cols>
  <sheetData>
    <row r="1" spans="1:13" ht="34.049999999999997" customHeight="1" x14ac:dyDescent="0.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ht="19.95" customHeight="1" x14ac:dyDescent="0.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spans="1:13" ht="18" customHeight="1" x14ac:dyDescent="0.3">
      <c r="A4" s="3" t="s">
        <v>2</v>
      </c>
      <c r="B4" s="3"/>
      <c r="C4" s="3"/>
      <c r="D4" s="3" t="s">
        <v>3</v>
      </c>
      <c r="E4" s="3"/>
      <c r="F4" s="3"/>
      <c r="G4" s="3" t="s">
        <v>4</v>
      </c>
      <c r="H4" s="3"/>
      <c r="I4" s="3"/>
      <c r="J4" s="3" t="s">
        <v>5</v>
      </c>
      <c r="K4" s="3"/>
      <c r="L4" s="3"/>
    </row>
    <row r="5" spans="1:13" ht="34.049999999999997" customHeight="1" x14ac:dyDescent="0.3">
      <c r="A5" s="4">
        <f>COUNTA([1]!PublicacionesUnicas[Título])</f>
        <v>589</v>
      </c>
      <c r="B5" s="4"/>
      <c r="C5" s="4"/>
      <c r="D5" s="4">
        <f>COUNTIF([1]!PublicacionesUnicas[Año],2025)</f>
        <v>317</v>
      </c>
      <c r="E5" s="5"/>
      <c r="F5" s="5"/>
      <c r="G5" s="4">
        <f>COUNTIF([1]!PublicacionesUnicas[Año],2024)</f>
        <v>271</v>
      </c>
      <c r="H5" s="5"/>
      <c r="I5" s="5"/>
      <c r="J5" s="4" cm="1">
        <f t="array" ref="J5">SUMPRODUCT(([1]!PublicacionesUnicas[Revista]&lt;&gt;"")/COUNTIF([1]!PublicacionesUnicas[Revista],[1]!PublicacionesUnicas[Revista]&amp;""))</f>
        <v>367.99999999999983</v>
      </c>
      <c r="K5" s="5"/>
      <c r="L5" s="5"/>
    </row>
    <row r="7" spans="1:13" ht="18" customHeight="1" x14ac:dyDescent="0.3">
      <c r="A7" s="3" t="s">
        <v>6</v>
      </c>
      <c r="B7" s="3"/>
      <c r="C7" s="3"/>
      <c r="D7" s="3" t="s">
        <v>7</v>
      </c>
      <c r="E7" s="3"/>
      <c r="F7" s="3"/>
      <c r="G7" s="3" t="s">
        <v>8</v>
      </c>
      <c r="H7" s="3"/>
      <c r="I7" s="3"/>
      <c r="J7" s="3" t="s">
        <v>9</v>
      </c>
      <c r="K7" s="3"/>
      <c r="L7" s="3"/>
    </row>
    <row r="8" spans="1:13" ht="34.049999999999997" customHeight="1" x14ac:dyDescent="0.3">
      <c r="A8" s="6">
        <f>AVERAGE([1]!PublicacionesUnicas[% part. UFT])</f>
        <v>0.386861570329256</v>
      </c>
      <c r="B8" s="5"/>
      <c r="C8" s="5"/>
      <c r="D8" s="7">
        <f>AVERAGE([1]!PublicacionesUnicas[N° autores (total)])</f>
        <v>6.8095238095238093</v>
      </c>
      <c r="E8" s="5"/>
      <c r="F8" s="5"/>
      <c r="G8" s="7">
        <f>AVERAGE([1]!PublicacionesUnicas[N° autores UFT])</f>
        <v>1.4601018675721562</v>
      </c>
      <c r="H8" s="5"/>
      <c r="I8" s="5"/>
      <c r="J8" s="4">
        <v>397</v>
      </c>
      <c r="K8" s="5"/>
      <c r="L8" s="5"/>
    </row>
    <row r="11" spans="1:13" ht="24" customHeight="1" x14ac:dyDescent="0.3">
      <c r="A11" s="8" t="s">
        <v>10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</row>
    <row r="12" spans="1:13" x14ac:dyDescent="0.3">
      <c r="A12" s="9" t="s">
        <v>11</v>
      </c>
      <c r="B12" s="9" t="s">
        <v>12</v>
      </c>
      <c r="C12" s="9" t="s">
        <v>13</v>
      </c>
    </row>
    <row r="13" spans="1:13" x14ac:dyDescent="0.3">
      <c r="A13" s="10" t="s">
        <v>14</v>
      </c>
      <c r="B13" s="11">
        <f>COUNTIF([1]!PublicacionesUnicas[Año],2024)</f>
        <v>271</v>
      </c>
      <c r="C13" s="12">
        <f>B13/$B$15</f>
        <v>0.46088435374149661</v>
      </c>
    </row>
    <row r="14" spans="1:13" x14ac:dyDescent="0.3">
      <c r="A14" s="10" t="s">
        <v>15</v>
      </c>
      <c r="B14" s="11">
        <f>COUNTIF([1]!PublicacionesUnicas[Año],2025)</f>
        <v>317</v>
      </c>
      <c r="C14" s="12">
        <f>B14/$B$15</f>
        <v>0.53911564625850339</v>
      </c>
    </row>
    <row r="15" spans="1:13" x14ac:dyDescent="0.3">
      <c r="A15" s="13" t="s">
        <v>16</v>
      </c>
      <c r="B15" s="14">
        <f>SUM(B13:B14)</f>
        <v>588</v>
      </c>
      <c r="C15" s="15">
        <f>B15/$B$15</f>
        <v>1</v>
      </c>
    </row>
    <row r="16" spans="1:13" x14ac:dyDescent="0.3">
      <c r="A16" s="16"/>
    </row>
    <row r="17" spans="1:13" x14ac:dyDescent="0.3">
      <c r="A17" s="16"/>
    </row>
    <row r="18" spans="1:13" x14ac:dyDescent="0.3">
      <c r="A18" s="16"/>
    </row>
    <row r="19" spans="1:13" x14ac:dyDescent="0.3">
      <c r="A19" s="16"/>
    </row>
    <row r="20" spans="1:13" x14ac:dyDescent="0.3">
      <c r="A20" s="16"/>
    </row>
    <row r="21" spans="1:13" x14ac:dyDescent="0.3">
      <c r="A21" s="16"/>
    </row>
    <row r="22" spans="1:13" x14ac:dyDescent="0.3">
      <c r="A22" s="16"/>
    </row>
    <row r="23" spans="1:13" x14ac:dyDescent="0.3">
      <c r="A23" s="16"/>
    </row>
    <row r="24" spans="1:13" x14ac:dyDescent="0.3">
      <c r="A24" s="16"/>
    </row>
    <row r="25" spans="1:13" x14ac:dyDescent="0.3">
      <c r="A25" s="16"/>
    </row>
    <row r="26" spans="1:13" x14ac:dyDescent="0.3">
      <c r="A26" s="16"/>
    </row>
    <row r="27" spans="1:13" x14ac:dyDescent="0.3">
      <c r="A27" s="16"/>
    </row>
    <row r="28" spans="1:13" ht="24" customHeight="1" x14ac:dyDescent="0.3">
      <c r="A28" s="17" t="s">
        <v>17</v>
      </c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</row>
    <row r="29" spans="1:13" x14ac:dyDescent="0.3">
      <c r="A29" s="18" t="s">
        <v>18</v>
      </c>
      <c r="B29" s="9" t="s">
        <v>12</v>
      </c>
      <c r="C29" s="9" t="s">
        <v>13</v>
      </c>
    </row>
    <row r="30" spans="1:13" x14ac:dyDescent="0.3">
      <c r="A30" s="16" t="s">
        <v>19</v>
      </c>
      <c r="B30" s="11">
        <f>COUNTIF([1]!PublicacionesUnicas[Tipo],A30)</f>
        <v>412</v>
      </c>
      <c r="C30" s="12">
        <f>B30/$B$40</f>
        <v>0.70068027210884354</v>
      </c>
    </row>
    <row r="31" spans="1:13" x14ac:dyDescent="0.3">
      <c r="A31" s="16" t="s">
        <v>20</v>
      </c>
      <c r="B31" s="11">
        <f>COUNTIF([1]!PublicacionesUnicas[Tipo],A31)</f>
        <v>103</v>
      </c>
      <c r="C31" s="12">
        <f t="shared" ref="C31:C39" si="0">B31/$B$40</f>
        <v>0.17517006802721088</v>
      </c>
    </row>
    <row r="32" spans="1:13" x14ac:dyDescent="0.3">
      <c r="A32" s="16" t="s">
        <v>21</v>
      </c>
      <c r="B32" s="11">
        <f>COUNTIF([1]!PublicacionesUnicas[Tipo],A32)</f>
        <v>21</v>
      </c>
      <c r="C32" s="12">
        <f t="shared" si="0"/>
        <v>3.5714285714285712E-2</v>
      </c>
    </row>
    <row r="33" spans="1:13" x14ac:dyDescent="0.3">
      <c r="A33" s="16" t="s">
        <v>22</v>
      </c>
      <c r="B33" s="11">
        <f>COUNTIF([1]!PublicacionesUnicas[Tipo],A33)</f>
        <v>14</v>
      </c>
      <c r="C33" s="12">
        <f t="shared" si="0"/>
        <v>2.3809523809523808E-2</v>
      </c>
    </row>
    <row r="34" spans="1:13" x14ac:dyDescent="0.3">
      <c r="A34" s="16" t="s">
        <v>23</v>
      </c>
      <c r="B34" s="11">
        <f>COUNTIF([1]!PublicacionesUnicas[Tipo],A34)</f>
        <v>6</v>
      </c>
      <c r="C34" s="12">
        <f t="shared" si="0"/>
        <v>1.020408163265306E-2</v>
      </c>
    </row>
    <row r="35" spans="1:13" x14ac:dyDescent="0.3">
      <c r="A35" s="16" t="s">
        <v>24</v>
      </c>
      <c r="B35" s="11">
        <f>COUNTIF([1]!PublicacionesUnicas[Tipo],A35)</f>
        <v>7</v>
      </c>
      <c r="C35" s="12">
        <f t="shared" si="0"/>
        <v>1.1904761904761904E-2</v>
      </c>
    </row>
    <row r="36" spans="1:13" x14ac:dyDescent="0.3">
      <c r="A36" s="16" t="s">
        <v>25</v>
      </c>
      <c r="B36" s="11">
        <f>COUNTIF([1]!PublicacionesUnicas[Tipo],A36)</f>
        <v>17</v>
      </c>
      <c r="C36" s="12">
        <f t="shared" si="0"/>
        <v>2.8911564625850341E-2</v>
      </c>
    </row>
    <row r="37" spans="1:13" x14ac:dyDescent="0.3">
      <c r="A37" s="16" t="s">
        <v>26</v>
      </c>
      <c r="B37" s="11">
        <f>COUNTIF([1]!PublicacionesUnicas[Tipo],A37)</f>
        <v>3</v>
      </c>
      <c r="C37" s="12">
        <f t="shared" si="0"/>
        <v>5.1020408163265302E-3</v>
      </c>
    </row>
    <row r="38" spans="1:13" x14ac:dyDescent="0.3">
      <c r="A38" s="16" t="s">
        <v>27</v>
      </c>
      <c r="B38" s="11">
        <f>COUNTIF([1]!PublicacionesUnicas[Tipo],A38)</f>
        <v>4</v>
      </c>
      <c r="C38" s="12">
        <f t="shared" si="0"/>
        <v>6.8027210884353739E-3</v>
      </c>
    </row>
    <row r="39" spans="1:13" x14ac:dyDescent="0.3">
      <c r="A39" s="16" t="s">
        <v>28</v>
      </c>
      <c r="B39" s="11">
        <f>COUNTIF([1]!PublicacionesUnicas[Tipo],A39)</f>
        <v>1</v>
      </c>
      <c r="C39" s="12">
        <f t="shared" si="0"/>
        <v>1.7006802721088435E-3</v>
      </c>
    </row>
    <row r="40" spans="1:13" x14ac:dyDescent="0.3">
      <c r="A40" s="13" t="s">
        <v>16</v>
      </c>
      <c r="B40" s="14">
        <f>SUM(B30:B39)</f>
        <v>588</v>
      </c>
      <c r="C40" s="15">
        <f>B40/$B$40</f>
        <v>1</v>
      </c>
    </row>
    <row r="41" spans="1:13" x14ac:dyDescent="0.3">
      <c r="A41" s="16"/>
    </row>
    <row r="42" spans="1:13" x14ac:dyDescent="0.3">
      <c r="A42" s="16"/>
    </row>
    <row r="43" spans="1:13" x14ac:dyDescent="0.3">
      <c r="A43" s="16"/>
    </row>
    <row r="44" spans="1:13" x14ac:dyDescent="0.3">
      <c r="A44" s="16"/>
    </row>
    <row r="45" spans="1:13" x14ac:dyDescent="0.3">
      <c r="A45" s="16"/>
    </row>
    <row r="46" spans="1:13" x14ac:dyDescent="0.3">
      <c r="A46" s="16"/>
    </row>
    <row r="47" spans="1:13" x14ac:dyDescent="0.3">
      <c r="A47" s="16"/>
    </row>
    <row r="48" spans="1:13" ht="24" customHeight="1" x14ac:dyDescent="0.3">
      <c r="A48" s="17" t="s">
        <v>29</v>
      </c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</row>
    <row r="49" spans="1:2" x14ac:dyDescent="0.3">
      <c r="A49" s="18" t="s">
        <v>30</v>
      </c>
      <c r="B49" s="9" t="s">
        <v>12</v>
      </c>
    </row>
    <row r="50" spans="1:2" x14ac:dyDescent="0.3">
      <c r="A50" s="16" t="s">
        <v>31</v>
      </c>
      <c r="B50" s="11">
        <f>COUNTIF([1]!PublicacionesUnicas[Revista],A50)</f>
        <v>35</v>
      </c>
    </row>
    <row r="51" spans="1:2" x14ac:dyDescent="0.3">
      <c r="A51" s="16" t="s">
        <v>32</v>
      </c>
      <c r="B51" s="11">
        <f>COUNTIF([1]!PublicacionesUnicas[Revista],A51)</f>
        <v>10</v>
      </c>
    </row>
    <row r="52" spans="1:2" x14ac:dyDescent="0.3">
      <c r="A52" s="16" t="s">
        <v>33</v>
      </c>
      <c r="B52" s="11">
        <f>COUNTIF([1]!PublicacionesUnicas[Revista],A52)</f>
        <v>10</v>
      </c>
    </row>
    <row r="53" spans="1:2" x14ac:dyDescent="0.3">
      <c r="A53" s="16" t="s">
        <v>34</v>
      </c>
      <c r="B53" s="11">
        <f>COUNTIF([1]!PublicacionesUnicas[Revista],A53)</f>
        <v>10</v>
      </c>
    </row>
    <row r="54" spans="1:2" x14ac:dyDescent="0.3">
      <c r="A54" s="16" t="s">
        <v>35</v>
      </c>
      <c r="B54" s="11">
        <f>COUNTIF([1]!PublicacionesUnicas[Revista],A54)</f>
        <v>9</v>
      </c>
    </row>
    <row r="55" spans="1:2" x14ac:dyDescent="0.3">
      <c r="A55" s="16" t="s">
        <v>36</v>
      </c>
      <c r="B55" s="11">
        <f>COUNTIF([1]!PublicacionesUnicas[Revista],A55)</f>
        <v>8</v>
      </c>
    </row>
    <row r="56" spans="1:2" x14ac:dyDescent="0.3">
      <c r="A56" s="16" t="s">
        <v>37</v>
      </c>
      <c r="B56" s="11">
        <f>COUNTIF([1]!PublicacionesUnicas[Revista],A56)</f>
        <v>7</v>
      </c>
    </row>
    <row r="57" spans="1:2" x14ac:dyDescent="0.3">
      <c r="A57" s="16" t="s">
        <v>38</v>
      </c>
      <c r="B57" s="11">
        <f>COUNTIF([1]!PublicacionesUnicas[Revista],A57)</f>
        <v>7</v>
      </c>
    </row>
    <row r="58" spans="1:2" x14ac:dyDescent="0.3">
      <c r="A58" s="16" t="s">
        <v>39</v>
      </c>
      <c r="B58" s="11">
        <f>COUNTIF([1]!PublicacionesUnicas[Revista],A58)</f>
        <v>6</v>
      </c>
    </row>
    <row r="59" spans="1:2" x14ac:dyDescent="0.3">
      <c r="A59" s="16" t="s">
        <v>40</v>
      </c>
      <c r="B59" s="11">
        <f>COUNTIF([1]!PublicacionesUnicas[Revista],A59)</f>
        <v>5</v>
      </c>
    </row>
    <row r="60" spans="1:2" x14ac:dyDescent="0.3">
      <c r="A60" s="16" t="s">
        <v>41</v>
      </c>
      <c r="B60" s="11">
        <f>COUNTIF([1]!PublicacionesUnicas[Revista],A60)</f>
        <v>5</v>
      </c>
    </row>
    <row r="61" spans="1:2" x14ac:dyDescent="0.3">
      <c r="A61" s="16" t="s">
        <v>42</v>
      </c>
      <c r="B61" s="11">
        <f>COUNTIF([1]!PublicacionesUnicas[Revista],A61)</f>
        <v>5</v>
      </c>
    </row>
    <row r="62" spans="1:2" x14ac:dyDescent="0.3">
      <c r="A62" s="16" t="s">
        <v>43</v>
      </c>
      <c r="B62" s="11">
        <f>COUNTIF([1]!PublicacionesUnicas[Revista],A62)</f>
        <v>5</v>
      </c>
    </row>
    <row r="63" spans="1:2" x14ac:dyDescent="0.3">
      <c r="A63" s="16" t="s">
        <v>44</v>
      </c>
      <c r="B63" s="11">
        <f>COUNTIF([1]!PublicacionesUnicas[Revista],A63)</f>
        <v>4</v>
      </c>
    </row>
    <row r="64" spans="1:2" x14ac:dyDescent="0.3">
      <c r="A64" s="16" t="s">
        <v>45</v>
      </c>
      <c r="B64" s="11">
        <f>COUNTIF([1]!PublicacionesUnicas[Revista],A64)</f>
        <v>4</v>
      </c>
    </row>
    <row r="65" spans="1:13" x14ac:dyDescent="0.3">
      <c r="A65" s="16"/>
    </row>
    <row r="66" spans="1:13" x14ac:dyDescent="0.3">
      <c r="A66" s="16"/>
    </row>
    <row r="67" spans="1:13" x14ac:dyDescent="0.3">
      <c r="A67" s="16"/>
    </row>
    <row r="68" spans="1:13" x14ac:dyDescent="0.3">
      <c r="A68" s="16"/>
    </row>
    <row r="69" spans="1:13" x14ac:dyDescent="0.3">
      <c r="A69" s="16"/>
    </row>
    <row r="70" spans="1:13" x14ac:dyDescent="0.3">
      <c r="A70" s="16"/>
    </row>
    <row r="71" spans="1:13" x14ac:dyDescent="0.3">
      <c r="A71" s="16"/>
    </row>
    <row r="72" spans="1:13" ht="24" customHeight="1" x14ac:dyDescent="0.3">
      <c r="A72" s="17" t="s">
        <v>46</v>
      </c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</row>
    <row r="73" spans="1:13" x14ac:dyDescent="0.3">
      <c r="A73" s="18" t="s">
        <v>47</v>
      </c>
      <c r="B73" s="9" t="s">
        <v>12</v>
      </c>
      <c r="C73" s="19" t="s">
        <v>48</v>
      </c>
    </row>
    <row r="74" spans="1:13" x14ac:dyDescent="0.3">
      <c r="A74" s="16" t="s">
        <v>49</v>
      </c>
      <c r="B74" s="11">
        <f>COUNTIF([1]!PublicacionesUnicas[Autores UFT (autoría / coautoría)],"*"&amp;A74&amp;"*")</f>
        <v>32</v>
      </c>
      <c r="C74" s="20" t="s">
        <v>50</v>
      </c>
    </row>
    <row r="75" spans="1:13" x14ac:dyDescent="0.3">
      <c r="A75" s="16" t="s">
        <v>51</v>
      </c>
      <c r="B75" s="11">
        <f>COUNTIF([1]!PublicacionesUnicas[Autores UFT (autoría / coautoría)],"*"&amp;A75&amp;"*")</f>
        <v>22</v>
      </c>
      <c r="C75" s="20" t="s">
        <v>50</v>
      </c>
    </row>
    <row r="76" spans="1:13" x14ac:dyDescent="0.3">
      <c r="A76" s="16" t="s">
        <v>52</v>
      </c>
      <c r="B76" s="11">
        <f>COUNTIF([1]!PublicacionesUnicas[Autores UFT (autoría / coautoría)],"*"&amp;A76&amp;"*")</f>
        <v>21</v>
      </c>
      <c r="C76" s="20" t="s">
        <v>50</v>
      </c>
    </row>
    <row r="77" spans="1:13" x14ac:dyDescent="0.3">
      <c r="A77" s="16" t="s">
        <v>53</v>
      </c>
      <c r="B77" s="11">
        <f>COUNTIF([1]!PublicacionesUnicas[Autores UFT (autoría / coautoría)],"*"&amp;A77&amp;"*")</f>
        <v>21</v>
      </c>
      <c r="C77" s="20" t="s">
        <v>50</v>
      </c>
    </row>
    <row r="78" spans="1:13" x14ac:dyDescent="0.3">
      <c r="A78" s="16" t="s">
        <v>54</v>
      </c>
      <c r="B78" s="11">
        <f>COUNTIF([1]!PublicacionesUnicas[Autores UFT (autoría / coautoría)],"*"&amp;A78&amp;"*")</f>
        <v>19</v>
      </c>
      <c r="C78" s="20" t="s">
        <v>50</v>
      </c>
    </row>
    <row r="79" spans="1:13" x14ac:dyDescent="0.3">
      <c r="A79" s="16" t="s">
        <v>55</v>
      </c>
      <c r="B79" s="11">
        <f>COUNTIF([1]!PublicacionesUnicas[Autores UFT (autoría / coautoría)],"*"&amp;A79&amp;"*")</f>
        <v>17</v>
      </c>
      <c r="C79" s="20" t="s">
        <v>50</v>
      </c>
    </row>
    <row r="80" spans="1:13" x14ac:dyDescent="0.3">
      <c r="A80" s="16" t="s">
        <v>56</v>
      </c>
      <c r="B80" s="11">
        <f>COUNTIF([1]!PublicacionesUnicas[Autores UFT (autoría / coautoría)],"*"&amp;A80&amp;"*")</f>
        <v>15</v>
      </c>
      <c r="C80" s="20" t="s">
        <v>50</v>
      </c>
    </row>
    <row r="81" spans="1:13" x14ac:dyDescent="0.3">
      <c r="A81" s="16" t="s">
        <v>57</v>
      </c>
      <c r="B81" s="11">
        <f>COUNTIF([1]!PublicacionesUnicas[Autores UFT (autoría / coautoría)],"*"&amp;A81&amp;"*")</f>
        <v>13</v>
      </c>
      <c r="C81" s="20" t="s">
        <v>50</v>
      </c>
    </row>
    <row r="82" spans="1:13" x14ac:dyDescent="0.3">
      <c r="A82" s="16" t="s">
        <v>58</v>
      </c>
      <c r="B82" s="11">
        <f>COUNTIF([1]!PublicacionesUnicas[Autores UFT (autoría / coautoría)],"*"&amp;A82&amp;"*")</f>
        <v>13</v>
      </c>
      <c r="C82" s="20" t="s">
        <v>50</v>
      </c>
    </row>
    <row r="83" spans="1:13" x14ac:dyDescent="0.3">
      <c r="A83" s="16" t="s">
        <v>59</v>
      </c>
      <c r="B83" s="11">
        <f>COUNTIF([1]!PublicacionesUnicas[Autores UFT (autoría / coautoría)],"*"&amp;A83&amp;"*")</f>
        <v>12</v>
      </c>
      <c r="C83" s="20" t="s">
        <v>50</v>
      </c>
    </row>
    <row r="84" spans="1:13" x14ac:dyDescent="0.3">
      <c r="A84" s="16" t="s">
        <v>60</v>
      </c>
      <c r="B84" s="11">
        <f>COUNTIF([1]!PublicacionesUnicas[Autores UFT (autoría / coautoría)],"*"&amp;A84&amp;"*")</f>
        <v>12</v>
      </c>
      <c r="C84" s="20" t="s">
        <v>50</v>
      </c>
    </row>
    <row r="85" spans="1:13" x14ac:dyDescent="0.3">
      <c r="A85" s="16" t="s">
        <v>61</v>
      </c>
      <c r="B85" s="11">
        <f>COUNTIF([1]!PublicacionesUnicas[Autores UFT (autoría / coautoría)],"*"&amp;A85&amp;"*")</f>
        <v>11</v>
      </c>
      <c r="C85" s="20" t="s">
        <v>50</v>
      </c>
    </row>
    <row r="86" spans="1:13" x14ac:dyDescent="0.3">
      <c r="A86" s="16" t="s">
        <v>62</v>
      </c>
      <c r="B86" s="11">
        <f>COUNTIF([1]!PublicacionesUnicas[Autores UFT (autoría / coautoría)],"*"&amp;A86&amp;"*")</f>
        <v>11</v>
      </c>
      <c r="C86" s="20" t="s">
        <v>50</v>
      </c>
    </row>
    <row r="87" spans="1:13" x14ac:dyDescent="0.3">
      <c r="A87" s="16" t="s">
        <v>63</v>
      </c>
      <c r="B87" s="11">
        <f>COUNTIF([1]!PublicacionesUnicas[Autores UFT (autoría / coautoría)],"*"&amp;A87&amp;"*")</f>
        <v>9</v>
      </c>
      <c r="C87" s="20" t="s">
        <v>50</v>
      </c>
    </row>
    <row r="88" spans="1:13" x14ac:dyDescent="0.3">
      <c r="A88" s="16" t="s">
        <v>64</v>
      </c>
      <c r="B88" s="11">
        <f>COUNTIF([1]!PublicacionesUnicas[Autores UFT (autoría / coautoría)],"*"&amp;A88&amp;"*")</f>
        <v>9</v>
      </c>
      <c r="C88" s="20" t="s">
        <v>50</v>
      </c>
    </row>
    <row r="89" spans="1:13" x14ac:dyDescent="0.3">
      <c r="A89" s="16"/>
    </row>
    <row r="90" spans="1:13" x14ac:dyDescent="0.3">
      <c r="A90" s="16"/>
    </row>
    <row r="91" spans="1:13" x14ac:dyDescent="0.3">
      <c r="A91" s="16"/>
    </row>
    <row r="92" spans="1:13" x14ac:dyDescent="0.3">
      <c r="A92" s="16"/>
    </row>
    <row r="93" spans="1:13" x14ac:dyDescent="0.3">
      <c r="A93" s="16"/>
    </row>
    <row r="94" spans="1:13" x14ac:dyDescent="0.3">
      <c r="A94" s="16"/>
    </row>
    <row r="95" spans="1:13" x14ac:dyDescent="0.3">
      <c r="A95" s="16"/>
    </row>
    <row r="96" spans="1:13" ht="24" customHeight="1" x14ac:dyDescent="0.3">
      <c r="A96" s="17" t="s">
        <v>65</v>
      </c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</row>
    <row r="97" spans="1:3" x14ac:dyDescent="0.3">
      <c r="A97" s="18" t="s">
        <v>66</v>
      </c>
      <c r="B97" s="9" t="s">
        <v>12</v>
      </c>
      <c r="C97" s="9" t="s">
        <v>13</v>
      </c>
    </row>
    <row r="98" spans="1:3" x14ac:dyDescent="0.3">
      <c r="A98" s="16" t="s">
        <v>67</v>
      </c>
      <c r="B98" s="11">
        <f>COUNTIF([1]!PublicacionesUnicas[N° autores UFT],1)</f>
        <v>451</v>
      </c>
      <c r="C98" s="12">
        <f>B98/SUM($B$98:$B$103)</f>
        <v>0.76831345826235098</v>
      </c>
    </row>
    <row r="99" spans="1:3" x14ac:dyDescent="0.3">
      <c r="A99" s="16" t="s">
        <v>68</v>
      </c>
      <c r="B99" s="11">
        <f>COUNTIF([1]!PublicacionesUnicas[N° autores UFT],2)</f>
        <v>68</v>
      </c>
      <c r="C99" s="12">
        <f t="shared" ref="C99:C103" si="1">B99/SUM($B$98:$B$103)</f>
        <v>0.11584327086882454</v>
      </c>
    </row>
    <row r="100" spans="1:3" x14ac:dyDescent="0.3">
      <c r="A100" s="16" t="s">
        <v>69</v>
      </c>
      <c r="B100" s="11">
        <f>COUNTIF([1]!PublicacionesUnicas[N° autores UFT],3)</f>
        <v>31</v>
      </c>
      <c r="C100" s="12">
        <f t="shared" si="1"/>
        <v>5.2810902896081771E-2</v>
      </c>
    </row>
    <row r="101" spans="1:3" x14ac:dyDescent="0.3">
      <c r="A101" s="16" t="s">
        <v>70</v>
      </c>
      <c r="B101" s="11">
        <f>COUNTIF([1]!PublicacionesUnicas[N° autores UFT],4)</f>
        <v>21</v>
      </c>
      <c r="C101" s="12">
        <f t="shared" si="1"/>
        <v>3.5775127768313458E-2</v>
      </c>
    </row>
    <row r="102" spans="1:3" x14ac:dyDescent="0.3">
      <c r="A102" s="16" t="s">
        <v>71</v>
      </c>
      <c r="B102" s="11">
        <f>COUNTIF([1]!PublicacionesUnicas[N° autores UFT],5)</f>
        <v>4</v>
      </c>
      <c r="C102" s="12">
        <f t="shared" si="1"/>
        <v>6.8143100511073255E-3</v>
      </c>
    </row>
    <row r="103" spans="1:3" x14ac:dyDescent="0.3">
      <c r="A103" s="16" t="s">
        <v>72</v>
      </c>
      <c r="B103" s="11">
        <f>COUNTIF([1]!PublicacionesUnicas[N° autores UFT],"&gt;=6")</f>
        <v>12</v>
      </c>
      <c r="C103" s="12">
        <f t="shared" si="1"/>
        <v>2.0442930153321975E-2</v>
      </c>
    </row>
    <row r="104" spans="1:3" x14ac:dyDescent="0.3">
      <c r="A104" s="16"/>
    </row>
    <row r="105" spans="1:3" x14ac:dyDescent="0.3">
      <c r="A105" s="16"/>
    </row>
    <row r="106" spans="1:3" x14ac:dyDescent="0.3">
      <c r="A106" s="16"/>
    </row>
    <row r="107" spans="1:3" x14ac:dyDescent="0.3">
      <c r="A107" s="16"/>
    </row>
    <row r="108" spans="1:3" x14ac:dyDescent="0.3">
      <c r="A108" s="16"/>
    </row>
    <row r="109" spans="1:3" x14ac:dyDescent="0.3">
      <c r="A109" s="16"/>
    </row>
    <row r="110" spans="1:3" x14ac:dyDescent="0.3">
      <c r="A110" s="16"/>
    </row>
    <row r="111" spans="1:3" x14ac:dyDescent="0.3">
      <c r="A111" s="16"/>
    </row>
    <row r="112" spans="1:3" x14ac:dyDescent="0.3">
      <c r="A112" s="16"/>
    </row>
    <row r="113" spans="1:13" x14ac:dyDescent="0.3">
      <c r="A113" s="16"/>
    </row>
    <row r="114" spans="1:13" ht="24" customHeight="1" x14ac:dyDescent="0.3">
      <c r="A114" s="17" t="s">
        <v>73</v>
      </c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</row>
    <row r="115" spans="1:13" x14ac:dyDescent="0.3">
      <c r="A115" s="18" t="s">
        <v>74</v>
      </c>
      <c r="B115" s="9" t="s">
        <v>12</v>
      </c>
      <c r="C115" s="9" t="s">
        <v>13</v>
      </c>
    </row>
    <row r="116" spans="1:13" x14ac:dyDescent="0.3">
      <c r="A116" s="16" t="s">
        <v>75</v>
      </c>
      <c r="B116" s="11">
        <f>COUNTIF([1]!PublicacionesUnicas[% part. UFT],1)</f>
        <v>93</v>
      </c>
      <c r="C116" s="12">
        <f>B116/SUM($B$116:$B$120)</f>
        <v>0.15870307167235495</v>
      </c>
    </row>
    <row r="117" spans="1:13" x14ac:dyDescent="0.3">
      <c r="A117" s="16" t="s">
        <v>76</v>
      </c>
      <c r="B117" s="11">
        <f>COUNTIFS([1]!PublicacionesUnicas[% part. UFT],"&gt;="&amp;0.5,[1]!PublicacionesUnicas[% part. UFT],"&lt;"&amp;1)</f>
        <v>100</v>
      </c>
      <c r="C117" s="12">
        <f t="shared" ref="C117:C120" si="2">B117/SUM($B$116:$B$120)</f>
        <v>0.17064846416382254</v>
      </c>
    </row>
    <row r="118" spans="1:13" x14ac:dyDescent="0.3">
      <c r="A118" s="16" t="s">
        <v>77</v>
      </c>
      <c r="B118" s="11">
        <f>COUNTIFS([1]!PublicacionesUnicas[% part. UFT],"&gt;="&amp;0.25,[1]!PublicacionesUnicas[% part. UFT],"&lt;"&amp;0.5)</f>
        <v>144</v>
      </c>
      <c r="C118" s="12">
        <f t="shared" si="2"/>
        <v>0.24573378839590443</v>
      </c>
    </row>
    <row r="119" spans="1:13" x14ac:dyDescent="0.3">
      <c r="A119" s="16" t="s">
        <v>78</v>
      </c>
      <c r="B119" s="11">
        <f>COUNTIFS([1]!PublicacionesUnicas[% part. UFT],"&gt;="&amp;0.1,[1]!PublicacionesUnicas[% part. UFT],"&lt;"&amp;0.25)</f>
        <v>169</v>
      </c>
      <c r="C119" s="12">
        <f t="shared" si="2"/>
        <v>0.28839590443686008</v>
      </c>
    </row>
    <row r="120" spans="1:13" x14ac:dyDescent="0.3">
      <c r="A120" s="16" t="s">
        <v>79</v>
      </c>
      <c r="B120" s="11">
        <f>COUNTIFS([1]!PublicacionesUnicas[% part. UFT],"&gt;"&amp;0,[1]!PublicacionesUnicas[% part. UFT],"&lt;"&amp;0.1)</f>
        <v>80</v>
      </c>
      <c r="C120" s="12">
        <f t="shared" si="2"/>
        <v>0.13651877133105803</v>
      </c>
    </row>
    <row r="132" spans="1:13" ht="22.05" customHeight="1" x14ac:dyDescent="0.3">
      <c r="A132" s="21" t="s">
        <v>80</v>
      </c>
      <c r="B132" s="21"/>
      <c r="C132" s="21"/>
      <c r="D132" s="21"/>
      <c r="E132" s="21"/>
      <c r="F132" s="21"/>
      <c r="G132" s="21"/>
      <c r="H132" s="21"/>
      <c r="I132" s="21"/>
      <c r="J132" s="21"/>
      <c r="K132" s="21"/>
      <c r="L132" s="21"/>
      <c r="M132" s="21"/>
    </row>
    <row r="133" spans="1:13" x14ac:dyDescent="0.3">
      <c r="A133" s="22" t="s">
        <v>81</v>
      </c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</row>
    <row r="134" spans="1:13" x14ac:dyDescent="0.3">
      <c r="A134" s="22" t="s">
        <v>82</v>
      </c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</row>
    <row r="135" spans="1:13" x14ac:dyDescent="0.3">
      <c r="A135" s="22" t="s">
        <v>83</v>
      </c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</row>
    <row r="136" spans="1:13" x14ac:dyDescent="0.3">
      <c r="A136" s="22" t="s">
        <v>84</v>
      </c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</row>
    <row r="138" spans="1:13" ht="25.95" customHeight="1" x14ac:dyDescent="0.3">
      <c r="A138" s="23" t="s">
        <v>85</v>
      </c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</row>
    <row r="140" spans="1:13" ht="24" customHeight="1" x14ac:dyDescent="0.3">
      <c r="A140" s="8" t="s">
        <v>86</v>
      </c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</row>
    <row r="141" spans="1:13" x14ac:dyDescent="0.3">
      <c r="A141" s="9" t="s">
        <v>18</v>
      </c>
      <c r="B141" s="24" t="s">
        <v>14</v>
      </c>
      <c r="C141" s="24" t="s">
        <v>15</v>
      </c>
    </row>
    <row r="142" spans="1:13" x14ac:dyDescent="0.3">
      <c r="A142" s="16" t="s">
        <v>19</v>
      </c>
      <c r="B142" s="11">
        <f>COUNTIFS([1]!PublicacionesUnicas[Tipo],$A142,[1]!PublicacionesUnicas[Año],B$141)</f>
        <v>197</v>
      </c>
      <c r="C142" s="11">
        <f>COUNTIFS([1]!PublicacionesUnicas[Tipo],$A142,[1]!PublicacionesUnicas[Año],C$141)</f>
        <v>215</v>
      </c>
    </row>
    <row r="143" spans="1:13" x14ac:dyDescent="0.3">
      <c r="A143" s="16" t="s">
        <v>20</v>
      </c>
      <c r="B143" s="11">
        <f>COUNTIFS([1]!PublicacionesUnicas[Tipo],$A143,[1]!PublicacionesUnicas[Año],B$141)</f>
        <v>39</v>
      </c>
      <c r="C143" s="11">
        <f>COUNTIFS([1]!PublicacionesUnicas[Tipo],$A143,[1]!PublicacionesUnicas[Año],C$141)</f>
        <v>64</v>
      </c>
    </row>
    <row r="144" spans="1:13" x14ac:dyDescent="0.3">
      <c r="A144" s="16" t="s">
        <v>21</v>
      </c>
      <c r="B144" s="11">
        <f>COUNTIFS([1]!PublicacionesUnicas[Tipo],$A144,[1]!PublicacionesUnicas[Año],B$141)</f>
        <v>9</v>
      </c>
      <c r="C144" s="11">
        <f>COUNTIFS([1]!PublicacionesUnicas[Tipo],$A144,[1]!PublicacionesUnicas[Año],C$141)</f>
        <v>12</v>
      </c>
    </row>
    <row r="145" spans="1:13" x14ac:dyDescent="0.3">
      <c r="A145" s="16" t="s">
        <v>25</v>
      </c>
      <c r="B145" s="11">
        <f>COUNTIFS([1]!PublicacionesUnicas[Tipo],$A145,[1]!PublicacionesUnicas[Año],B$141)</f>
        <v>14</v>
      </c>
      <c r="C145" s="11">
        <f>COUNTIFS([1]!PublicacionesUnicas[Tipo],$A145,[1]!PublicacionesUnicas[Año],C$141)</f>
        <v>3</v>
      </c>
    </row>
    <row r="146" spans="1:13" x14ac:dyDescent="0.3">
      <c r="A146" s="16" t="s">
        <v>22</v>
      </c>
      <c r="B146" s="11">
        <f>COUNTIFS([1]!PublicacionesUnicas[Tipo],$A146,[1]!PublicacionesUnicas[Año],B$141)</f>
        <v>4</v>
      </c>
      <c r="C146" s="11">
        <f>COUNTIFS([1]!PublicacionesUnicas[Tipo],$A146,[1]!PublicacionesUnicas[Año],C$141)</f>
        <v>10</v>
      </c>
    </row>
    <row r="147" spans="1:13" x14ac:dyDescent="0.3">
      <c r="A147" s="16" t="s">
        <v>24</v>
      </c>
      <c r="B147" s="11">
        <f>COUNTIFS([1]!PublicacionesUnicas[Tipo],$A147,[1]!PublicacionesUnicas[Año],B$141)</f>
        <v>1</v>
      </c>
      <c r="C147" s="11">
        <f>COUNTIFS([1]!PublicacionesUnicas[Tipo],$A147,[1]!PublicacionesUnicas[Año],C$141)</f>
        <v>6</v>
      </c>
    </row>
    <row r="148" spans="1:13" x14ac:dyDescent="0.3">
      <c r="A148" s="16"/>
    </row>
    <row r="149" spans="1:13" x14ac:dyDescent="0.3">
      <c r="A149" s="16"/>
    </row>
    <row r="150" spans="1:13" x14ac:dyDescent="0.3">
      <c r="A150" s="16"/>
    </row>
    <row r="151" spans="1:13" x14ac:dyDescent="0.3">
      <c r="A151" s="16"/>
    </row>
    <row r="152" spans="1:13" x14ac:dyDescent="0.3">
      <c r="A152" s="16"/>
    </row>
    <row r="153" spans="1:13" x14ac:dyDescent="0.3">
      <c r="A153" s="16"/>
    </row>
    <row r="154" spans="1:13" x14ac:dyDescent="0.3">
      <c r="A154" s="16"/>
    </row>
    <row r="155" spans="1:13" x14ac:dyDescent="0.3">
      <c r="A155" s="16"/>
    </row>
    <row r="156" spans="1:13" x14ac:dyDescent="0.3">
      <c r="A156" s="16"/>
    </row>
    <row r="157" spans="1:13" x14ac:dyDescent="0.3">
      <c r="A157" s="16"/>
    </row>
    <row r="158" spans="1:13" x14ac:dyDescent="0.3">
      <c r="A158" s="16"/>
    </row>
    <row r="159" spans="1:13" x14ac:dyDescent="0.3">
      <c r="A159" s="16"/>
    </row>
    <row r="160" spans="1:13" ht="24" customHeight="1" x14ac:dyDescent="0.3">
      <c r="A160" s="17" t="s">
        <v>87</v>
      </c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</row>
    <row r="161" spans="1:3" x14ac:dyDescent="0.3">
      <c r="A161" s="18" t="s">
        <v>88</v>
      </c>
      <c r="B161" s="9" t="s">
        <v>12</v>
      </c>
      <c r="C161" s="9" t="s">
        <v>13</v>
      </c>
    </row>
    <row r="162" spans="1:3" x14ac:dyDescent="0.3">
      <c r="A162" s="16" t="s">
        <v>89</v>
      </c>
      <c r="B162" s="11">
        <f>COUNTIF([1]!PublicacionesUnicas[N° autores (total)],1)</f>
        <v>49</v>
      </c>
      <c r="C162" s="12">
        <f>B162/SUM($B$162:$B$167)</f>
        <v>8.3333333333333329E-2</v>
      </c>
    </row>
    <row r="163" spans="1:3" x14ac:dyDescent="0.3">
      <c r="A163" s="16" t="s">
        <v>90</v>
      </c>
      <c r="B163" s="11">
        <f>COUNTIFS([1]!PublicacionesUnicas[N° autores (total)],"&gt;="&amp;2,[1]!PublicacionesUnicas[N° autores (total)],"&lt;="&amp;3)</f>
        <v>162</v>
      </c>
      <c r="C163" s="12">
        <f t="shared" ref="C163:C167" si="3">B163/SUM($B$162:$B$167)</f>
        <v>0.27551020408163263</v>
      </c>
    </row>
    <row r="164" spans="1:3" x14ac:dyDescent="0.3">
      <c r="A164" s="16" t="s">
        <v>91</v>
      </c>
      <c r="B164" s="11">
        <f>COUNTIFS([1]!PublicacionesUnicas[N° autores (total)],"&gt;="&amp;4,[1]!PublicacionesUnicas[N° autores (total)],"&lt;="&amp;6)</f>
        <v>180</v>
      </c>
      <c r="C164" s="12">
        <f t="shared" si="3"/>
        <v>0.30612244897959184</v>
      </c>
    </row>
    <row r="165" spans="1:3" x14ac:dyDescent="0.3">
      <c r="A165" s="16" t="s">
        <v>92</v>
      </c>
      <c r="B165" s="11">
        <f>COUNTIFS([1]!PublicacionesUnicas[N° autores (total)],"&gt;="&amp;7,[1]!PublicacionesUnicas[N° autores (total)],"&lt;="&amp;10)</f>
        <v>105</v>
      </c>
      <c r="C165" s="12">
        <f t="shared" si="3"/>
        <v>0.17857142857142858</v>
      </c>
    </row>
    <row r="166" spans="1:3" x14ac:dyDescent="0.3">
      <c r="A166" s="16" t="s">
        <v>93</v>
      </c>
      <c r="B166" s="11">
        <f>COUNTIFS([1]!PublicacionesUnicas[N° autores (total)],"&gt;="&amp;11,[1]!PublicacionesUnicas[N° autores (total)],"&lt;="&amp;20)</f>
        <v>74</v>
      </c>
      <c r="C166" s="12">
        <f t="shared" si="3"/>
        <v>0.12585034013605442</v>
      </c>
    </row>
    <row r="167" spans="1:3" x14ac:dyDescent="0.3">
      <c r="A167" s="16" t="s">
        <v>94</v>
      </c>
      <c r="B167" s="11">
        <f>COUNTIF([1]!PublicacionesUnicas[N° autores (total)],"&gt;"&amp;20)</f>
        <v>18</v>
      </c>
      <c r="C167" s="12">
        <f t="shared" si="3"/>
        <v>3.0612244897959183E-2</v>
      </c>
    </row>
    <row r="168" spans="1:3" x14ac:dyDescent="0.3">
      <c r="A168" s="16"/>
    </row>
    <row r="169" spans="1:3" x14ac:dyDescent="0.3">
      <c r="A169" s="16"/>
    </row>
    <row r="170" spans="1:3" x14ac:dyDescent="0.3">
      <c r="A170" s="16"/>
    </row>
    <row r="171" spans="1:3" x14ac:dyDescent="0.3">
      <c r="A171" s="16"/>
    </row>
    <row r="172" spans="1:3" x14ac:dyDescent="0.3">
      <c r="A172" s="16"/>
    </row>
    <row r="173" spans="1:3" x14ac:dyDescent="0.3">
      <c r="A173" s="16"/>
    </row>
    <row r="174" spans="1:3" x14ac:dyDescent="0.3">
      <c r="A174" s="16"/>
    </row>
    <row r="175" spans="1:3" x14ac:dyDescent="0.3">
      <c r="A175" s="16"/>
    </row>
    <row r="176" spans="1:3" x14ac:dyDescent="0.3">
      <c r="A176" s="16"/>
    </row>
    <row r="177" spans="1:13" x14ac:dyDescent="0.3">
      <c r="A177" s="16"/>
    </row>
    <row r="178" spans="1:13" ht="24" customHeight="1" x14ac:dyDescent="0.3">
      <c r="A178" s="17" t="s">
        <v>95</v>
      </c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</row>
    <row r="179" spans="1:13" x14ac:dyDescent="0.3">
      <c r="A179" s="18" t="s">
        <v>18</v>
      </c>
      <c r="B179" s="9" t="s">
        <v>96</v>
      </c>
    </row>
    <row r="180" spans="1:13" x14ac:dyDescent="0.3">
      <c r="A180" s="16" t="s">
        <v>19</v>
      </c>
      <c r="B180" s="12">
        <f>AVERAGEIF([1]!PublicacionesUnicas[Tipo],A180,[1]!PublicacionesUnicas[% part. UFT])</f>
        <v>0.38610970392001459</v>
      </c>
    </row>
    <row r="181" spans="1:13" x14ac:dyDescent="0.3">
      <c r="A181" s="16" t="s">
        <v>20</v>
      </c>
      <c r="B181" s="12">
        <f>AVERAGEIF([1]!PublicacionesUnicas[Tipo],A181,[1]!PublicacionesUnicas[% part. UFT])</f>
        <v>0.32647644175933432</v>
      </c>
    </row>
    <row r="182" spans="1:13" x14ac:dyDescent="0.3">
      <c r="A182" s="16" t="s">
        <v>21</v>
      </c>
      <c r="B182" s="12">
        <f>AVERAGEIF([1]!PublicacionesUnicas[Tipo],A182,[1]!PublicacionesUnicas[% part. UFT])</f>
        <v>0.5955404383975812</v>
      </c>
    </row>
    <row r="183" spans="1:13" x14ac:dyDescent="0.3">
      <c r="A183" s="16" t="s">
        <v>25</v>
      </c>
      <c r="B183" s="12">
        <f>AVERAGEIF([1]!PublicacionesUnicas[Tipo],A183,[1]!PublicacionesUnicas[% part. UFT])</f>
        <v>0.47408963585434166</v>
      </c>
    </row>
    <row r="184" spans="1:13" x14ac:dyDescent="0.3">
      <c r="A184" s="16" t="s">
        <v>22</v>
      </c>
      <c r="B184" s="12">
        <f>AVERAGEIF([1]!PublicacionesUnicas[Tipo],A184,[1]!PublicacionesUnicas[% part. UFT])</f>
        <v>0.39234693877551025</v>
      </c>
    </row>
    <row r="185" spans="1:13" x14ac:dyDescent="0.3">
      <c r="A185" s="16" t="s">
        <v>24</v>
      </c>
      <c r="B185" s="12">
        <f>AVERAGEIF([1]!PublicacionesUnicas[Tipo],A185,[1]!PublicacionesUnicas[% part. UFT])</f>
        <v>0.51262083780880774</v>
      </c>
    </row>
    <row r="186" spans="1:13" x14ac:dyDescent="0.3">
      <c r="A186" s="16"/>
    </row>
    <row r="187" spans="1:13" x14ac:dyDescent="0.3">
      <c r="A187" s="16"/>
    </row>
    <row r="188" spans="1:13" x14ac:dyDescent="0.3">
      <c r="A188" s="16"/>
    </row>
    <row r="189" spans="1:13" x14ac:dyDescent="0.3">
      <c r="A189" s="16"/>
    </row>
    <row r="190" spans="1:13" x14ac:dyDescent="0.3">
      <c r="A190" s="16"/>
    </row>
    <row r="191" spans="1:13" x14ac:dyDescent="0.3">
      <c r="A191" s="16"/>
    </row>
    <row r="192" spans="1:13" x14ac:dyDescent="0.3">
      <c r="A192" s="16"/>
    </row>
    <row r="193" spans="1:13" x14ac:dyDescent="0.3">
      <c r="A193" s="16"/>
    </row>
    <row r="194" spans="1:13" x14ac:dyDescent="0.3">
      <c r="A194" s="16"/>
    </row>
    <row r="195" spans="1:13" x14ac:dyDescent="0.3">
      <c r="A195" s="16"/>
    </row>
    <row r="196" spans="1:13" ht="24" customHeight="1" x14ac:dyDescent="0.3">
      <c r="A196" s="17" t="s">
        <v>97</v>
      </c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</row>
    <row r="197" spans="1:13" x14ac:dyDescent="0.3">
      <c r="A197" s="18" t="s">
        <v>98</v>
      </c>
      <c r="B197" s="9" t="s">
        <v>99</v>
      </c>
    </row>
    <row r="198" spans="1:13" x14ac:dyDescent="0.3">
      <c r="A198" s="16" t="s">
        <v>100</v>
      </c>
      <c r="B198" s="12">
        <f>COUNTIF([1]!PublicacionesUnicas[DOI],"?*")/$A$5</f>
        <v>1</v>
      </c>
    </row>
    <row r="199" spans="1:13" x14ac:dyDescent="0.3">
      <c r="A199" s="16" t="s">
        <v>101</v>
      </c>
      <c r="B199" s="12">
        <f>COUNTIF([1]!PublicacionesUnicas[% part. UFT],1)/$A$5</f>
        <v>0.15789473684210525</v>
      </c>
    </row>
    <row r="200" spans="1:13" x14ac:dyDescent="0.3">
      <c r="A200" s="16" t="s">
        <v>102</v>
      </c>
      <c r="B200" s="12">
        <f>COUNTIFS([1]!PublicacionesUnicas[% part. UFT],"&gt;"&amp;0,[1]!PublicacionesUnicas[% part. UFT],"&lt;"&amp;1)/$A$5</f>
        <v>0.83701188455008491</v>
      </c>
    </row>
    <row r="201" spans="1:13" x14ac:dyDescent="0.3">
      <c r="A201" s="16" t="s">
        <v>103</v>
      </c>
      <c r="B201" s="12">
        <f>COUNTIF([1]!PublicacionesUnicas[N° autores (total)],"&gt;"&amp;10)/$A$5</f>
        <v>0.15619694397283532</v>
      </c>
    </row>
    <row r="202" spans="1:13" x14ac:dyDescent="0.3">
      <c r="A202" s="16" t="s">
        <v>104</v>
      </c>
      <c r="B202" s="12">
        <f>SUM($B$50:$B$54)/$A$5</f>
        <v>0.12563667232597622</v>
      </c>
    </row>
    <row r="203" spans="1:13" x14ac:dyDescent="0.3">
      <c r="A203" s="16" t="s">
        <v>105</v>
      </c>
      <c r="B203" s="12">
        <f>SUM($B$50:$B$59)/$A$5</f>
        <v>0.18166383701188454</v>
      </c>
    </row>
    <row r="204" spans="1:13" x14ac:dyDescent="0.3">
      <c r="A204" s="16"/>
    </row>
    <row r="205" spans="1:13" x14ac:dyDescent="0.3">
      <c r="A205" s="16"/>
    </row>
    <row r="206" spans="1:13" x14ac:dyDescent="0.3">
      <c r="A206" s="16"/>
    </row>
    <row r="207" spans="1:13" x14ac:dyDescent="0.3">
      <c r="A207" s="16"/>
    </row>
    <row r="208" spans="1:13" x14ac:dyDescent="0.3">
      <c r="A208" s="16"/>
    </row>
    <row r="209" spans="1:13" x14ac:dyDescent="0.3">
      <c r="A209" s="16"/>
    </row>
    <row r="210" spans="1:13" x14ac:dyDescent="0.3">
      <c r="A210" s="16"/>
    </row>
    <row r="211" spans="1:13" x14ac:dyDescent="0.3">
      <c r="A211" s="16"/>
    </row>
    <row r="212" spans="1:13" x14ac:dyDescent="0.3">
      <c r="A212" s="16"/>
    </row>
    <row r="213" spans="1:13" x14ac:dyDescent="0.3">
      <c r="A213" s="16"/>
    </row>
    <row r="214" spans="1:13" ht="24" customHeight="1" x14ac:dyDescent="0.3">
      <c r="A214" s="17" t="s">
        <v>106</v>
      </c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</row>
    <row r="215" spans="1:13" x14ac:dyDescent="0.3">
      <c r="A215" s="18" t="s">
        <v>107</v>
      </c>
      <c r="B215" s="9" t="s">
        <v>12</v>
      </c>
    </row>
    <row r="216" spans="1:13" x14ac:dyDescent="0.3">
      <c r="A216" s="16" t="s">
        <v>101</v>
      </c>
      <c r="B216" s="11">
        <f>COUNTIF([1]!PublicacionesUnicas[% part. UFT],1)</f>
        <v>93</v>
      </c>
    </row>
    <row r="217" spans="1:13" x14ac:dyDescent="0.3">
      <c r="A217" s="16" t="s">
        <v>108</v>
      </c>
      <c r="B217" s="11">
        <f>COUNTIFS([1]!PublicacionesUnicas[% part. UFT],"&gt;"&amp;0,[1]!PublicacionesUnicas[% part. UFT],"&lt;"&amp;1)</f>
        <v>493</v>
      </c>
    </row>
  </sheetData>
  <mergeCells count="35">
    <mergeCell ref="A178:M178"/>
    <mergeCell ref="A196:M196"/>
    <mergeCell ref="A214:M214"/>
    <mergeCell ref="A134:M134"/>
    <mergeCell ref="A135:M135"/>
    <mergeCell ref="A136:M136"/>
    <mergeCell ref="A138:M138"/>
    <mergeCell ref="A140:M140"/>
    <mergeCell ref="A160:M160"/>
    <mergeCell ref="A48:M48"/>
    <mergeCell ref="A72:M72"/>
    <mergeCell ref="A96:M96"/>
    <mergeCell ref="A114:M114"/>
    <mergeCell ref="A132:M132"/>
    <mergeCell ref="A133:M133"/>
    <mergeCell ref="A8:C8"/>
    <mergeCell ref="D8:F8"/>
    <mergeCell ref="G8:I8"/>
    <mergeCell ref="J8:L8"/>
    <mergeCell ref="A11:M11"/>
    <mergeCell ref="A28:M28"/>
    <mergeCell ref="A5:C5"/>
    <mergeCell ref="D5:F5"/>
    <mergeCell ref="G5:I5"/>
    <mergeCell ref="J5:L5"/>
    <mergeCell ref="A7:C7"/>
    <mergeCell ref="D7:F7"/>
    <mergeCell ref="G7:I7"/>
    <mergeCell ref="J7:L7"/>
    <mergeCell ref="A1:M1"/>
    <mergeCell ref="A2:M2"/>
    <mergeCell ref="A4:C4"/>
    <mergeCell ref="D4:F4"/>
    <mergeCell ref="G4:I4"/>
    <mergeCell ref="J4:L4"/>
  </mergeCells>
  <hyperlinks>
    <hyperlink ref="C74" r:id="rId1" tooltip="Buscar Orellana-Donoso M. en Scopus (afiliación: verificar UFT / Chile)" xr:uid="{0C45B084-3F75-4349-8A92-BB27834979DA}"/>
    <hyperlink ref="C75" r:id="rId2" tooltip="Buscar Yanine F.F. en Scopus (afiliación: verificar UFT / Chile)" xr:uid="{34843C7C-B04D-4831-8D75-DC505C3A083C}"/>
    <hyperlink ref="C76" r:id="rId3" tooltip="Buscar Ferre A. en Scopus (afiliación: verificar UFT / Chile)" xr:uid="{6068413F-B6BA-45CB-A02E-B55AAEE9D3E6}"/>
    <hyperlink ref="C77" r:id="rId4" tooltip="Buscar Mujika I. en Scopus (afiliación: verificar UFT / Chile)" xr:uid="{56198921-EFFA-4A85-906C-CCCF0263D86D}"/>
    <hyperlink ref="C78" r:id="rId5" tooltip="Buscar Giglio A. en Scopus (afiliación: verificar UFT / Chile)" xr:uid="{9B021128-C306-436D-9859-0070B1DBE3A0}"/>
    <hyperlink ref="C79" r:id="rId6" tooltip="Buscar Strauss F.J. en Scopus (afiliación: verificar UFT / Chile)" xr:uid="{1747B7EC-7966-4CE1-8DBF-15DA8570EAF8}"/>
    <hyperlink ref="C80" r:id="rId7" tooltip="Buscar Díaz F. en Scopus (afiliación: verificar UFT / Chile)" xr:uid="{5356EAB9-11A4-43FC-87FF-1DC6DD2B21FC}"/>
    <hyperlink ref="C81" r:id="rId8" tooltip="Buscar Henríquez-Olguín C. en Scopus (afiliación: verificar UFT / Chile)" xr:uid="{C7B83299-A619-4265-BBBD-100A986B2672}"/>
    <hyperlink ref="C82" r:id="rId9" tooltip="Buscar López-Arana S. en Scopus (afiliación: verificar UFT / Chile)" xr:uid="{FABE20B3-93F7-4F87-AB58-D7A6C5FB8CF0}"/>
    <hyperlink ref="C83" r:id="rId10" tooltip="Buscar Mariotti-Celis M.S. en Scopus (afiliación: verificar UFT / Chile)" xr:uid="{932F4613-D4E7-42AF-919A-09E5DF8CCE72}"/>
    <hyperlink ref="C84" r:id="rId11" tooltip="Buscar Fernández-Verdejo R. en Scopus (afiliación: verificar UFT / Chile)" xr:uid="{296CF6FB-A4E1-4BD4-9EFB-8D285AE583A8}"/>
    <hyperlink ref="C85" r:id="rId12" tooltip="Buscar Cancino-López J. en Scopus (afiliación: verificar UFT / Chile)" xr:uid="{30BEFD59-8B02-4F32-AE31-964EF655C8D4}"/>
    <hyperlink ref="C86" r:id="rId13" tooltip="Buscar Dreyse J. en Scopus (afiliación: verificar UFT / Chile)" xr:uid="{0177F195-8884-4544-BE9F-DF2EC33CB9F8}"/>
    <hyperlink ref="C87" r:id="rId14" tooltip="Buscar Hidalgo M. en Scopus (afiliación: verificar UFT / Chile)" xr:uid="{B274C4F9-D107-4E56-A4F8-E6F854B35A88}"/>
    <hyperlink ref="C88" r:id="rId15" tooltip="Buscar Bustos-Arriagada E. en Scopus (afiliación: verificar UFT / Chile)" xr:uid="{B5F8FC2A-D680-42BF-82DD-3A17924237FA}"/>
  </hyperlinks>
  <pageMargins left="0.7" right="0.7" top="0.75" bottom="0.75" header="0.3" footer="0.3"/>
  <drawing r:id="rId1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Sánchez</dc:creator>
  <cp:lastModifiedBy>Pablo Sánchez</cp:lastModifiedBy>
  <dcterms:created xsi:type="dcterms:W3CDTF">2026-07-20T20:12:15Z</dcterms:created>
  <dcterms:modified xsi:type="dcterms:W3CDTF">2026-07-20T20:13:06Z</dcterms:modified>
</cp:coreProperties>
</file>