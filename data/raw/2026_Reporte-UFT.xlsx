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sanchez\Desktop\"/>
    </mc:Choice>
  </mc:AlternateContent>
  <xr:revisionPtr revIDLastSave="0" documentId="13_ncr:1_{43258CDC-459E-4D3D-9293-CEE8F9BEE1C4}" xr6:coauthVersionLast="47" xr6:coauthVersionMax="47" xr10:uidLastSave="{00000000-0000-0000-0000-000000000000}"/>
  <bookViews>
    <workbookView xWindow="-108" yWindow="-108" windowWidth="23256" windowHeight="12456" firstSheet="2" activeTab="5" xr2:uid="{00000000-000D-0000-FFFF-FFFF00000000}"/>
  </bookViews>
  <sheets>
    <sheet name="Portada" sheetId="10" r:id="rId1"/>
    <sheet name="Investigadores" sheetId="11" r:id="rId2"/>
    <sheet name="Resumen y gráficos" sheetId="12" r:id="rId3"/>
    <sheet name="Publicaciones unificadas" sheetId="9" r:id="rId4"/>
    <sheet name="Informe Cienciométrico (2)" sheetId="14" r:id="rId5"/>
    <sheet name="Informe Cienciométrico" sheetId="13" r:id="rId6"/>
    <sheet name="Publicaciones_UFT_detalle (2)" sheetId="6" r:id="rId7"/>
    <sheet name="Publicaciones_UFT_detalle" sheetId="1" r:id="rId8"/>
  </sheets>
  <definedNames>
    <definedName name="_xlnm.Print_Area" localSheetId="1">Investigadores!$A$1:$E$400</definedName>
    <definedName name="_xlnm.Print_Area" localSheetId="0">Portada!$A$1:$N$50</definedName>
    <definedName name="_xlnm.Print_Area" localSheetId="2">'Resumen y gráficos'!$A$1:$Y$47</definedName>
    <definedName name="_xlnm.Print_Titles" localSheetId="1">Investigadores!$1:$4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17" i="14" l="1"/>
  <c r="B216" i="14"/>
  <c r="B185" i="14"/>
  <c r="B184" i="14"/>
  <c r="B183" i="14"/>
  <c r="B182" i="14"/>
  <c r="B181" i="14"/>
  <c r="B180" i="14"/>
  <c r="B167" i="14"/>
  <c r="C167" i="14" s="1"/>
  <c r="B166" i="14"/>
  <c r="C166" i="14" s="1"/>
  <c r="B165" i="14"/>
  <c r="C165" i="14" s="1"/>
  <c r="B164" i="14"/>
  <c r="B163" i="14"/>
  <c r="C163" i="14" s="1"/>
  <c r="B162" i="14"/>
  <c r="C164" i="14" s="1"/>
  <c r="C147" i="14"/>
  <c r="B147" i="14"/>
  <c r="C146" i="14"/>
  <c r="B146" i="14"/>
  <c r="C145" i="14"/>
  <c r="B145" i="14"/>
  <c r="C144" i="14"/>
  <c r="B144" i="14"/>
  <c r="C143" i="14"/>
  <c r="B143" i="14"/>
  <c r="C142" i="14"/>
  <c r="B142" i="14"/>
  <c r="B120" i="14"/>
  <c r="B119" i="14"/>
  <c r="C119" i="14" s="1"/>
  <c r="B118" i="14"/>
  <c r="C117" i="14"/>
  <c r="B117" i="14"/>
  <c r="B116" i="14"/>
  <c r="C120" i="14" s="1"/>
  <c r="B103" i="14"/>
  <c r="C99" i="14" s="1"/>
  <c r="B102" i="14"/>
  <c r="B101" i="14"/>
  <c r="C101" i="14" s="1"/>
  <c r="B100" i="14"/>
  <c r="B99" i="14"/>
  <c r="B98" i="14"/>
  <c r="C102" i="14" s="1"/>
  <c r="B88" i="14"/>
  <c r="B87" i="14"/>
  <c r="B86" i="14"/>
  <c r="B85" i="14"/>
  <c r="B84" i="14"/>
  <c r="B83" i="14"/>
  <c r="B82" i="14"/>
  <c r="B81" i="14"/>
  <c r="B80" i="14"/>
  <c r="B79" i="14"/>
  <c r="B78" i="14"/>
  <c r="B77" i="14"/>
  <c r="B76" i="14"/>
  <c r="B75" i="14"/>
  <c r="B74" i="14"/>
  <c r="B64" i="14"/>
  <c r="B63" i="14"/>
  <c r="B62" i="14"/>
  <c r="B61" i="14"/>
  <c r="B60" i="14"/>
  <c r="B59" i="14"/>
  <c r="B58" i="14"/>
  <c r="B57" i="14"/>
  <c r="B56" i="14"/>
  <c r="B55" i="14"/>
  <c r="B54" i="14"/>
  <c r="B53" i="14"/>
  <c r="B52" i="14"/>
  <c r="B51" i="14"/>
  <c r="B50" i="14"/>
  <c r="B39" i="14"/>
  <c r="B38" i="14"/>
  <c r="C38" i="14" s="1"/>
  <c r="B37" i="14"/>
  <c r="C37" i="14" s="1"/>
  <c r="B36" i="14"/>
  <c r="B35" i="14"/>
  <c r="B34" i="14"/>
  <c r="C34" i="14" s="1"/>
  <c r="B33" i="14"/>
  <c r="B32" i="14"/>
  <c r="B31" i="14"/>
  <c r="B40" i="14" s="1"/>
  <c r="B30" i="14"/>
  <c r="B14" i="14"/>
  <c r="B13" i="14"/>
  <c r="B15" i="14" s="1"/>
  <c r="G8" i="14"/>
  <c r="D8" i="14"/>
  <c r="A8" i="14"/>
  <c r="J5" i="14" a="1"/>
  <c r="J5" i="14" s="1"/>
  <c r="G5" i="14"/>
  <c r="D5" i="14"/>
  <c r="A5" i="14"/>
  <c r="B203" i="14" s="1"/>
  <c r="B217" i="13"/>
  <c r="B216" i="13"/>
  <c r="B203" i="13"/>
  <c r="B202" i="13"/>
  <c r="B201" i="13"/>
  <c r="B200" i="13"/>
  <c r="B199" i="13"/>
  <c r="B198" i="13"/>
  <c r="B185" i="13"/>
  <c r="B184" i="13"/>
  <c r="B183" i="13"/>
  <c r="B182" i="13"/>
  <c r="B181" i="13"/>
  <c r="B180" i="13"/>
  <c r="C167" i="13"/>
  <c r="C166" i="13"/>
  <c r="C165" i="13"/>
  <c r="C164" i="13"/>
  <c r="C163" i="13"/>
  <c r="C162" i="13"/>
  <c r="B167" i="13"/>
  <c r="B166" i="13"/>
  <c r="B165" i="13"/>
  <c r="B164" i="13"/>
  <c r="B163" i="13"/>
  <c r="B162" i="13"/>
  <c r="C147" i="13"/>
  <c r="B147" i="13"/>
  <c r="C146" i="13"/>
  <c r="B146" i="13"/>
  <c r="C145" i="13"/>
  <c r="B145" i="13"/>
  <c r="C144" i="13"/>
  <c r="B144" i="13"/>
  <c r="C143" i="13"/>
  <c r="B143" i="13"/>
  <c r="C142" i="13"/>
  <c r="B142" i="13"/>
  <c r="C120" i="13"/>
  <c r="C119" i="13"/>
  <c r="C118" i="13"/>
  <c r="C117" i="13"/>
  <c r="B120" i="13"/>
  <c r="B119" i="13"/>
  <c r="B118" i="13"/>
  <c r="B117" i="13"/>
  <c r="B116" i="13"/>
  <c r="C103" i="13"/>
  <c r="C102" i="13"/>
  <c r="C101" i="13"/>
  <c r="C100" i="13"/>
  <c r="C99" i="13"/>
  <c r="C98" i="13"/>
  <c r="B103" i="13"/>
  <c r="B102" i="13"/>
  <c r="B101" i="13"/>
  <c r="B100" i="13"/>
  <c r="B99" i="13"/>
  <c r="B98" i="13"/>
  <c r="B88" i="13"/>
  <c r="B87" i="13"/>
  <c r="B86" i="13"/>
  <c r="B85" i="13"/>
  <c r="B84" i="13"/>
  <c r="B83" i="13"/>
  <c r="B82" i="13"/>
  <c r="B81" i="13"/>
  <c r="B80" i="13"/>
  <c r="B79" i="13"/>
  <c r="B78" i="13"/>
  <c r="B77" i="13"/>
  <c r="B76" i="13"/>
  <c r="B75" i="13"/>
  <c r="B74" i="13"/>
  <c r="B64" i="13"/>
  <c r="B63" i="13"/>
  <c r="B62" i="13"/>
  <c r="B61" i="13"/>
  <c r="B60" i="13"/>
  <c r="B59" i="13"/>
  <c r="B58" i="13"/>
  <c r="B57" i="13"/>
  <c r="B56" i="13"/>
  <c r="B55" i="13"/>
  <c r="B54" i="13"/>
  <c r="B53" i="13"/>
  <c r="B52" i="13"/>
  <c r="B51" i="13"/>
  <c r="B50" i="13"/>
  <c r="B39" i="13"/>
  <c r="B38" i="13"/>
  <c r="B37" i="13"/>
  <c r="B36" i="13"/>
  <c r="B35" i="13"/>
  <c r="B34" i="13"/>
  <c r="B33" i="13"/>
  <c r="B32" i="13"/>
  <c r="B31" i="13"/>
  <c r="B30" i="13"/>
  <c r="C15" i="13"/>
  <c r="B15" i="13"/>
  <c r="C14" i="13"/>
  <c r="B14" i="13"/>
  <c r="C13" i="13"/>
  <c r="B13" i="13"/>
  <c r="G8" i="13"/>
  <c r="D8" i="13"/>
  <c r="A8" i="13"/>
  <c r="J5" i="13" a="1"/>
  <c r="J5" i="13" s="1"/>
  <c r="G5" i="13"/>
  <c r="D5" i="13"/>
  <c r="A5" i="13"/>
  <c r="L29" i="12"/>
  <c r="K29" i="12"/>
  <c r="J29" i="12"/>
  <c r="I29" i="12"/>
  <c r="H29" i="12"/>
  <c r="G29" i="12"/>
  <c r="J28" i="12"/>
  <c r="H28" i="12"/>
  <c r="G28" i="12"/>
  <c r="L28" i="12" s="1"/>
  <c r="I27" i="12"/>
  <c r="G27" i="12"/>
  <c r="L27" i="12" s="1"/>
  <c r="I26" i="12"/>
  <c r="H26" i="12"/>
  <c r="G26" i="12"/>
  <c r="K26" i="12" s="1"/>
  <c r="G25" i="12"/>
  <c r="J25" i="12" s="1"/>
  <c r="G24" i="12"/>
  <c r="I24" i="12" s="1"/>
  <c r="L23" i="12"/>
  <c r="J23" i="12"/>
  <c r="I23" i="12"/>
  <c r="G23" i="12"/>
  <c r="H23" i="12" s="1"/>
  <c r="L22" i="12"/>
  <c r="K22" i="12"/>
  <c r="J22" i="12"/>
  <c r="I22" i="12"/>
  <c r="H22" i="12"/>
  <c r="G22" i="12"/>
  <c r="N21" i="12"/>
  <c r="L21" i="12"/>
  <c r="K21" i="12"/>
  <c r="J21" i="12"/>
  <c r="H21" i="12"/>
  <c r="G21" i="12"/>
  <c r="I21" i="12" s="1"/>
  <c r="M21" i="12" s="1"/>
  <c r="L20" i="12"/>
  <c r="K20" i="12"/>
  <c r="J20" i="12"/>
  <c r="I20" i="12"/>
  <c r="G20" i="12"/>
  <c r="H20" i="12" s="1"/>
  <c r="L19" i="12"/>
  <c r="K19" i="12"/>
  <c r="J19" i="12"/>
  <c r="I19" i="12"/>
  <c r="H19" i="12"/>
  <c r="G19" i="12"/>
  <c r="E19" i="12"/>
  <c r="D19" i="12"/>
  <c r="C19" i="12"/>
  <c r="L18" i="12"/>
  <c r="J18" i="12"/>
  <c r="H18" i="12"/>
  <c r="G18" i="12"/>
  <c r="K18" i="12" s="1"/>
  <c r="D18" i="12"/>
  <c r="C18" i="12"/>
  <c r="E18" i="12" s="1"/>
  <c r="D17" i="12"/>
  <c r="C17" i="12"/>
  <c r="E17" i="12" s="1"/>
  <c r="D16" i="12"/>
  <c r="C16" i="12"/>
  <c r="E16" i="12" s="1"/>
  <c r="N29" i="12" s="1"/>
  <c r="M29" i="12" s="1"/>
  <c r="E15" i="12"/>
  <c r="N28" i="12" s="1"/>
  <c r="D15" i="12"/>
  <c r="C15" i="12"/>
  <c r="H14" i="12"/>
  <c r="E14" i="12"/>
  <c r="N27" i="12" s="1"/>
  <c r="D14" i="12"/>
  <c r="C14" i="12"/>
  <c r="H13" i="12"/>
  <c r="D13" i="12"/>
  <c r="C13" i="12"/>
  <c r="E13" i="12" s="1"/>
  <c r="N26" i="12" s="1"/>
  <c r="H12" i="12"/>
  <c r="E12" i="12"/>
  <c r="N25" i="12" s="1"/>
  <c r="D12" i="12"/>
  <c r="C12" i="12"/>
  <c r="H11" i="12"/>
  <c r="E11" i="12"/>
  <c r="N24" i="12" s="1"/>
  <c r="D11" i="12"/>
  <c r="C11" i="12"/>
  <c r="H10" i="12"/>
  <c r="D10" i="12"/>
  <c r="C10" i="12"/>
  <c r="E10" i="12" s="1"/>
  <c r="N23" i="12" s="1"/>
  <c r="H9" i="12"/>
  <c r="E9" i="12"/>
  <c r="N22" i="12" s="1"/>
  <c r="M22" i="12" s="1"/>
  <c r="D9" i="12"/>
  <c r="C9" i="12"/>
  <c r="H8" i="12"/>
  <c r="E8" i="12"/>
  <c r="D8" i="12"/>
  <c r="C8" i="12"/>
  <c r="H7" i="12"/>
  <c r="D7" i="12"/>
  <c r="C7" i="12"/>
  <c r="E7" i="12" s="1"/>
  <c r="N20" i="12" s="1"/>
  <c r="H6" i="12"/>
  <c r="E6" i="12"/>
  <c r="N19" i="12" s="1"/>
  <c r="M19" i="12" s="1"/>
  <c r="D6" i="12"/>
  <c r="C6" i="12"/>
  <c r="H5" i="12"/>
  <c r="H15" i="12" s="1"/>
  <c r="D5" i="12"/>
  <c r="C5" i="12"/>
  <c r="E5" i="12" s="1"/>
  <c r="N18" i="12" s="1"/>
  <c r="D400" i="11"/>
  <c r="C400" i="11"/>
  <c r="E400" i="11" s="1"/>
  <c r="D399" i="11"/>
  <c r="C399" i="11"/>
  <c r="E399" i="11" s="1"/>
  <c r="D398" i="11"/>
  <c r="C398" i="11"/>
  <c r="E398" i="11" s="1"/>
  <c r="D397" i="11"/>
  <c r="C397" i="11"/>
  <c r="E397" i="11" s="1"/>
  <c r="D396" i="11"/>
  <c r="C396" i="11"/>
  <c r="E396" i="11" s="1"/>
  <c r="D395" i="11"/>
  <c r="C395" i="11"/>
  <c r="D394" i="11"/>
  <c r="C394" i="11"/>
  <c r="E394" i="11" s="1"/>
  <c r="D393" i="11"/>
  <c r="C393" i="11"/>
  <c r="E393" i="11" s="1"/>
  <c r="D392" i="11"/>
  <c r="E392" i="11" s="1"/>
  <c r="C392" i="11"/>
  <c r="D391" i="11"/>
  <c r="C391" i="11"/>
  <c r="E391" i="11" s="1"/>
  <c r="D390" i="11"/>
  <c r="C390" i="11"/>
  <c r="D389" i="11"/>
  <c r="C389" i="11"/>
  <c r="E389" i="11" s="1"/>
  <c r="D388" i="11"/>
  <c r="C388" i="11"/>
  <c r="E388" i="11" s="1"/>
  <c r="D387" i="11"/>
  <c r="C387" i="11"/>
  <c r="D386" i="11"/>
  <c r="C386" i="11"/>
  <c r="E386" i="11" s="1"/>
  <c r="D385" i="11"/>
  <c r="C385" i="11"/>
  <c r="E385" i="11" s="1"/>
  <c r="D384" i="11"/>
  <c r="C384" i="11"/>
  <c r="E384" i="11" s="1"/>
  <c r="D383" i="11"/>
  <c r="C383" i="11"/>
  <c r="D382" i="11"/>
  <c r="C382" i="11"/>
  <c r="D381" i="11"/>
  <c r="C381" i="11"/>
  <c r="E381" i="11" s="1"/>
  <c r="D380" i="11"/>
  <c r="C380" i="11"/>
  <c r="E380" i="11" s="1"/>
  <c r="D379" i="11"/>
  <c r="C379" i="11"/>
  <c r="E379" i="11" s="1"/>
  <c r="D378" i="11"/>
  <c r="C378" i="11"/>
  <c r="E377" i="11"/>
  <c r="D377" i="11"/>
  <c r="C377" i="11"/>
  <c r="E376" i="11"/>
  <c r="D376" i="11"/>
  <c r="C376" i="11"/>
  <c r="D375" i="11"/>
  <c r="C375" i="11"/>
  <c r="D374" i="11"/>
  <c r="C374" i="11"/>
  <c r="E374" i="11" s="1"/>
  <c r="D373" i="11"/>
  <c r="C373" i="11"/>
  <c r="E373" i="11" s="1"/>
  <c r="E372" i="11"/>
  <c r="D372" i="11"/>
  <c r="C372" i="11"/>
  <c r="D371" i="11"/>
  <c r="C371" i="11"/>
  <c r="D370" i="11"/>
  <c r="C370" i="11"/>
  <c r="D369" i="11"/>
  <c r="C369" i="11"/>
  <c r="E369" i="11" s="1"/>
  <c r="D368" i="11"/>
  <c r="E368" i="11" s="1"/>
  <c r="C368" i="11"/>
  <c r="D367" i="11"/>
  <c r="C367" i="11"/>
  <c r="E367" i="11" s="1"/>
  <c r="D366" i="11"/>
  <c r="C366" i="11"/>
  <c r="E365" i="11"/>
  <c r="D365" i="11"/>
  <c r="C365" i="11"/>
  <c r="D364" i="11"/>
  <c r="C364" i="11"/>
  <c r="E364" i="11" s="1"/>
  <c r="D363" i="11"/>
  <c r="C363" i="11"/>
  <c r="D362" i="11"/>
  <c r="C362" i="11"/>
  <c r="E362" i="11" s="1"/>
  <c r="D361" i="11"/>
  <c r="C361" i="11"/>
  <c r="E361" i="11" s="1"/>
  <c r="E360" i="11"/>
  <c r="D360" i="11"/>
  <c r="C360" i="11"/>
  <c r="D359" i="11"/>
  <c r="C359" i="11"/>
  <c r="D358" i="11"/>
  <c r="C358" i="11"/>
  <c r="D357" i="11"/>
  <c r="C357" i="11"/>
  <c r="E357" i="11" s="1"/>
  <c r="D356" i="11"/>
  <c r="C356" i="11"/>
  <c r="E356" i="11" s="1"/>
  <c r="D355" i="11"/>
  <c r="C355" i="11"/>
  <c r="E355" i="11" s="1"/>
  <c r="D354" i="11"/>
  <c r="C354" i="11"/>
  <c r="E353" i="11"/>
  <c r="D353" i="11"/>
  <c r="C353" i="11"/>
  <c r="E352" i="11"/>
  <c r="D352" i="11"/>
  <c r="C352" i="11"/>
  <c r="D351" i="11"/>
  <c r="C351" i="11"/>
  <c r="D350" i="11"/>
  <c r="C350" i="11"/>
  <c r="E350" i="11" s="1"/>
  <c r="E349" i="11"/>
  <c r="D349" i="11"/>
  <c r="C349" i="11"/>
  <c r="E348" i="11"/>
  <c r="D348" i="11"/>
  <c r="C348" i="11"/>
  <c r="D347" i="11"/>
  <c r="C347" i="11"/>
  <c r="D346" i="11"/>
  <c r="C346" i="11"/>
  <c r="D345" i="11"/>
  <c r="C345" i="11"/>
  <c r="E345" i="11" s="1"/>
  <c r="D344" i="11"/>
  <c r="E344" i="11" s="1"/>
  <c r="C344" i="11"/>
  <c r="D343" i="11"/>
  <c r="C343" i="11"/>
  <c r="E343" i="11" s="1"/>
  <c r="D342" i="11"/>
  <c r="C342" i="11"/>
  <c r="E341" i="11"/>
  <c r="D341" i="11"/>
  <c r="C341" i="11"/>
  <c r="D340" i="11"/>
  <c r="C340" i="11"/>
  <c r="E340" i="11" s="1"/>
  <c r="D339" i="11"/>
  <c r="C339" i="11"/>
  <c r="D338" i="11"/>
  <c r="C338" i="11"/>
  <c r="E338" i="11" s="1"/>
  <c r="D337" i="11"/>
  <c r="C337" i="11"/>
  <c r="E337" i="11" s="1"/>
  <c r="E336" i="11"/>
  <c r="D336" i="11"/>
  <c r="C336" i="11"/>
  <c r="D335" i="11"/>
  <c r="C335" i="11"/>
  <c r="D334" i="11"/>
  <c r="C334" i="11"/>
  <c r="D333" i="11"/>
  <c r="C333" i="11"/>
  <c r="E333" i="11" s="1"/>
  <c r="D332" i="11"/>
  <c r="C332" i="11"/>
  <c r="E332" i="11" s="1"/>
  <c r="D331" i="11"/>
  <c r="C331" i="11"/>
  <c r="E331" i="11" s="1"/>
  <c r="D330" i="11"/>
  <c r="C330" i="11"/>
  <c r="E329" i="11"/>
  <c r="D329" i="11"/>
  <c r="C329" i="11"/>
  <c r="E328" i="11"/>
  <c r="D328" i="11"/>
  <c r="C328" i="11"/>
  <c r="D327" i="11"/>
  <c r="C327" i="11"/>
  <c r="D326" i="11"/>
  <c r="C326" i="11"/>
  <c r="E326" i="11" s="1"/>
  <c r="E325" i="11"/>
  <c r="D325" i="11"/>
  <c r="C325" i="11"/>
  <c r="E324" i="11"/>
  <c r="D324" i="11"/>
  <c r="C324" i="11"/>
  <c r="D323" i="11"/>
  <c r="C323" i="11"/>
  <c r="D322" i="11"/>
  <c r="C322" i="11"/>
  <c r="D321" i="11"/>
  <c r="C321" i="11"/>
  <c r="E321" i="11" s="1"/>
  <c r="D320" i="11"/>
  <c r="E320" i="11" s="1"/>
  <c r="C320" i="11"/>
  <c r="D319" i="11"/>
  <c r="C319" i="11"/>
  <c r="E319" i="11" s="1"/>
  <c r="D318" i="11"/>
  <c r="C318" i="11"/>
  <c r="E317" i="11"/>
  <c r="D317" i="11"/>
  <c r="C317" i="11"/>
  <c r="D316" i="11"/>
  <c r="C316" i="11"/>
  <c r="E316" i="11" s="1"/>
  <c r="D315" i="11"/>
  <c r="C315" i="11"/>
  <c r="D314" i="11"/>
  <c r="C314" i="11"/>
  <c r="E314" i="11" s="1"/>
  <c r="D313" i="11"/>
  <c r="C313" i="11"/>
  <c r="E313" i="11" s="1"/>
  <c r="E312" i="11"/>
  <c r="D312" i="11"/>
  <c r="C312" i="11"/>
  <c r="D311" i="11"/>
  <c r="C311" i="11"/>
  <c r="D310" i="11"/>
  <c r="C310" i="11"/>
  <c r="D309" i="11"/>
  <c r="C309" i="11"/>
  <c r="E309" i="11" s="1"/>
  <c r="D308" i="11"/>
  <c r="C308" i="11"/>
  <c r="E308" i="11" s="1"/>
  <c r="D307" i="11"/>
  <c r="C307" i="11"/>
  <c r="E307" i="11" s="1"/>
  <c r="D306" i="11"/>
  <c r="C306" i="11"/>
  <c r="E305" i="11"/>
  <c r="D305" i="11"/>
  <c r="C305" i="11"/>
  <c r="E304" i="11"/>
  <c r="D304" i="11"/>
  <c r="C304" i="11"/>
  <c r="D303" i="11"/>
  <c r="C303" i="11"/>
  <c r="D302" i="11"/>
  <c r="C302" i="11"/>
  <c r="E302" i="11" s="1"/>
  <c r="E301" i="11"/>
  <c r="D301" i="11"/>
  <c r="C301" i="11"/>
  <c r="E300" i="11"/>
  <c r="D300" i="11"/>
  <c r="C300" i="11"/>
  <c r="D299" i="11"/>
  <c r="C299" i="11"/>
  <c r="D298" i="11"/>
  <c r="C298" i="11"/>
  <c r="D297" i="11"/>
  <c r="C297" i="11"/>
  <c r="E297" i="11" s="1"/>
  <c r="D296" i="11"/>
  <c r="E296" i="11" s="1"/>
  <c r="C296" i="11"/>
  <c r="D295" i="11"/>
  <c r="C295" i="11"/>
  <c r="E295" i="11" s="1"/>
  <c r="D294" i="11"/>
  <c r="C294" i="11"/>
  <c r="E293" i="11"/>
  <c r="D293" i="11"/>
  <c r="C293" i="11"/>
  <c r="E292" i="11"/>
  <c r="D292" i="11"/>
  <c r="C292" i="11"/>
  <c r="D291" i="11"/>
  <c r="C291" i="11"/>
  <c r="D290" i="11"/>
  <c r="C290" i="11"/>
  <c r="E290" i="11" s="1"/>
  <c r="D289" i="11"/>
  <c r="C289" i="11"/>
  <c r="E289" i="11" s="1"/>
  <c r="D288" i="11"/>
  <c r="C288" i="11"/>
  <c r="E288" i="11" s="1"/>
  <c r="D287" i="11"/>
  <c r="C287" i="11"/>
  <c r="D286" i="11"/>
  <c r="C286" i="11"/>
  <c r="D285" i="11"/>
  <c r="C285" i="11"/>
  <c r="E285" i="11" s="1"/>
  <c r="D284" i="11"/>
  <c r="C284" i="11"/>
  <c r="E284" i="11" s="1"/>
  <c r="D283" i="11"/>
  <c r="C283" i="11"/>
  <c r="E283" i="11" s="1"/>
  <c r="D282" i="11"/>
  <c r="C282" i="11"/>
  <c r="E281" i="11"/>
  <c r="D281" i="11"/>
  <c r="C281" i="11"/>
  <c r="E280" i="11"/>
  <c r="D280" i="11"/>
  <c r="C280" i="11"/>
  <c r="D279" i="11"/>
  <c r="C279" i="11"/>
  <c r="D278" i="11"/>
  <c r="C278" i="11"/>
  <c r="E278" i="11" s="1"/>
  <c r="E277" i="11"/>
  <c r="D277" i="11"/>
  <c r="C277" i="11"/>
  <c r="E276" i="11"/>
  <c r="D276" i="11"/>
  <c r="C276" i="11"/>
  <c r="D275" i="11"/>
  <c r="C275" i="11"/>
  <c r="D274" i="11"/>
  <c r="C274" i="11"/>
  <c r="D273" i="11"/>
  <c r="C273" i="11"/>
  <c r="E273" i="11" s="1"/>
  <c r="D272" i="11"/>
  <c r="C272" i="11"/>
  <c r="E272" i="11" s="1"/>
  <c r="D271" i="11"/>
  <c r="C271" i="11"/>
  <c r="E271" i="11" s="1"/>
  <c r="D270" i="11"/>
  <c r="C270" i="11"/>
  <c r="E269" i="11"/>
  <c r="D269" i="11"/>
  <c r="C269" i="11"/>
  <c r="E268" i="11"/>
  <c r="D268" i="11"/>
  <c r="C268" i="11"/>
  <c r="D267" i="11"/>
  <c r="C267" i="11"/>
  <c r="E267" i="11" s="1"/>
  <c r="D266" i="11"/>
  <c r="C266" i="11"/>
  <c r="E266" i="11" s="1"/>
  <c r="D265" i="11"/>
  <c r="C265" i="11"/>
  <c r="E265" i="11" s="1"/>
  <c r="D264" i="11"/>
  <c r="C264" i="11"/>
  <c r="E264" i="11" s="1"/>
  <c r="D263" i="11"/>
  <c r="C263" i="11"/>
  <c r="D262" i="11"/>
  <c r="C262" i="11"/>
  <c r="E262" i="11" s="1"/>
  <c r="D261" i="11"/>
  <c r="C261" i="11"/>
  <c r="E261" i="11" s="1"/>
  <c r="D260" i="11"/>
  <c r="C260" i="11"/>
  <c r="E260" i="11" s="1"/>
  <c r="D259" i="11"/>
  <c r="C259" i="11"/>
  <c r="E259" i="11" s="1"/>
  <c r="D258" i="11"/>
  <c r="C258" i="11"/>
  <c r="D257" i="11"/>
  <c r="E257" i="11" s="1"/>
  <c r="C257" i="11"/>
  <c r="E256" i="11"/>
  <c r="D256" i="11"/>
  <c r="C256" i="11"/>
  <c r="D255" i="11"/>
  <c r="C255" i="11"/>
  <c r="D254" i="11"/>
  <c r="C254" i="11"/>
  <c r="E254" i="11" s="1"/>
  <c r="E253" i="11"/>
  <c r="D253" i="11"/>
  <c r="C253" i="11"/>
  <c r="E252" i="11"/>
  <c r="D252" i="11"/>
  <c r="C252" i="11"/>
  <c r="D251" i="11"/>
  <c r="C251" i="11"/>
  <c r="D250" i="11"/>
  <c r="C250" i="11"/>
  <c r="D249" i="11"/>
  <c r="C249" i="11"/>
  <c r="E249" i="11" s="1"/>
  <c r="D248" i="11"/>
  <c r="C248" i="11"/>
  <c r="E248" i="11" s="1"/>
  <c r="D247" i="11"/>
  <c r="C247" i="11"/>
  <c r="E247" i="11" s="1"/>
  <c r="D246" i="11"/>
  <c r="C246" i="11"/>
  <c r="E245" i="11"/>
  <c r="D245" i="11"/>
  <c r="C245" i="11"/>
  <c r="E244" i="11"/>
  <c r="D244" i="11"/>
  <c r="C244" i="11"/>
  <c r="D243" i="11"/>
  <c r="C243" i="11"/>
  <c r="E243" i="11" s="1"/>
  <c r="D242" i="11"/>
  <c r="C242" i="11"/>
  <c r="E242" i="11" s="1"/>
  <c r="D241" i="11"/>
  <c r="C241" i="11"/>
  <c r="E241" i="11" s="1"/>
  <c r="D240" i="11"/>
  <c r="C240" i="11"/>
  <c r="E240" i="11" s="1"/>
  <c r="D239" i="11"/>
  <c r="C239" i="11"/>
  <c r="D238" i="11"/>
  <c r="C238" i="11"/>
  <c r="E238" i="11" s="1"/>
  <c r="D237" i="11"/>
  <c r="C237" i="11"/>
  <c r="E237" i="11" s="1"/>
  <c r="D236" i="11"/>
  <c r="C236" i="11"/>
  <c r="E236" i="11" s="1"/>
  <c r="D235" i="11"/>
  <c r="C235" i="11"/>
  <c r="E235" i="11" s="1"/>
  <c r="D234" i="11"/>
  <c r="C234" i="11"/>
  <c r="D233" i="11"/>
  <c r="E233" i="11" s="1"/>
  <c r="C233" i="11"/>
  <c r="E232" i="11"/>
  <c r="D232" i="11"/>
  <c r="C232" i="11"/>
  <c r="D231" i="11"/>
  <c r="C231" i="11"/>
  <c r="D230" i="11"/>
  <c r="C230" i="11"/>
  <c r="E230" i="11" s="1"/>
  <c r="E229" i="11"/>
  <c r="D229" i="11"/>
  <c r="C229" i="11"/>
  <c r="E228" i="11"/>
  <c r="D228" i="11"/>
  <c r="C228" i="11"/>
  <c r="D227" i="11"/>
  <c r="C227" i="11"/>
  <c r="D226" i="11"/>
  <c r="C226" i="11"/>
  <c r="D225" i="11"/>
  <c r="C225" i="11"/>
  <c r="E225" i="11" s="1"/>
  <c r="D224" i="11"/>
  <c r="C224" i="11"/>
  <c r="E224" i="11" s="1"/>
  <c r="D223" i="11"/>
  <c r="C223" i="11"/>
  <c r="E223" i="11" s="1"/>
  <c r="D222" i="11"/>
  <c r="C222" i="11"/>
  <c r="E221" i="11"/>
  <c r="D221" i="11"/>
  <c r="C221" i="11"/>
  <c r="E220" i="11"/>
  <c r="D220" i="11"/>
  <c r="C220" i="11"/>
  <c r="D219" i="11"/>
  <c r="C219" i="11"/>
  <c r="E219" i="11" s="1"/>
  <c r="D218" i="11"/>
  <c r="C218" i="11"/>
  <c r="E218" i="11" s="1"/>
  <c r="D217" i="11"/>
  <c r="C217" i="11"/>
  <c r="E217" i="11" s="1"/>
  <c r="D216" i="11"/>
  <c r="C216" i="11"/>
  <c r="E216" i="11" s="1"/>
  <c r="D215" i="11"/>
  <c r="C215" i="11"/>
  <c r="D214" i="11"/>
  <c r="C214" i="11"/>
  <c r="E214" i="11" s="1"/>
  <c r="D213" i="11"/>
  <c r="C213" i="11"/>
  <c r="E213" i="11" s="1"/>
  <c r="D212" i="11"/>
  <c r="C212" i="11"/>
  <c r="E212" i="11" s="1"/>
  <c r="D211" i="11"/>
  <c r="C211" i="11"/>
  <c r="E211" i="11" s="1"/>
  <c r="D210" i="11"/>
  <c r="C210" i="11"/>
  <c r="D209" i="11"/>
  <c r="E209" i="11" s="1"/>
  <c r="C209" i="11"/>
  <c r="E208" i="11"/>
  <c r="D208" i="11"/>
  <c r="C208" i="11"/>
  <c r="D207" i="11"/>
  <c r="C207" i="11"/>
  <c r="D206" i="11"/>
  <c r="C206" i="11"/>
  <c r="E206" i="11" s="1"/>
  <c r="E205" i="11"/>
  <c r="D205" i="11"/>
  <c r="C205" i="11"/>
  <c r="E204" i="11"/>
  <c r="D204" i="11"/>
  <c r="C204" i="11"/>
  <c r="D203" i="11"/>
  <c r="C203" i="11"/>
  <c r="D202" i="11"/>
  <c r="C202" i="11"/>
  <c r="D201" i="11"/>
  <c r="C201" i="11"/>
  <c r="E201" i="11" s="1"/>
  <c r="D200" i="11"/>
  <c r="C200" i="11"/>
  <c r="E200" i="11" s="1"/>
  <c r="D199" i="11"/>
  <c r="C199" i="11"/>
  <c r="E199" i="11" s="1"/>
  <c r="D198" i="11"/>
  <c r="C198" i="11"/>
  <c r="E197" i="11"/>
  <c r="D197" i="11"/>
  <c r="C197" i="11"/>
  <c r="E196" i="11"/>
  <c r="D196" i="11"/>
  <c r="C196" i="11"/>
  <c r="D195" i="11"/>
  <c r="C195" i="11"/>
  <c r="E195" i="11" s="1"/>
  <c r="D194" i="11"/>
  <c r="C194" i="11"/>
  <c r="E194" i="11" s="1"/>
  <c r="D193" i="11"/>
  <c r="C193" i="11"/>
  <c r="E193" i="11" s="1"/>
  <c r="D192" i="11"/>
  <c r="C192" i="11"/>
  <c r="E192" i="11" s="1"/>
  <c r="D191" i="11"/>
  <c r="C191" i="11"/>
  <c r="D190" i="11"/>
  <c r="C190" i="11"/>
  <c r="E190" i="11" s="1"/>
  <c r="D189" i="11"/>
  <c r="C189" i="11"/>
  <c r="E189" i="11" s="1"/>
  <c r="D188" i="11"/>
  <c r="C188" i="11"/>
  <c r="E188" i="11" s="1"/>
  <c r="D187" i="11"/>
  <c r="C187" i="11"/>
  <c r="E187" i="11" s="1"/>
  <c r="D186" i="11"/>
  <c r="C186" i="11"/>
  <c r="D185" i="11"/>
  <c r="E185" i="11" s="1"/>
  <c r="C185" i="11"/>
  <c r="D184" i="11"/>
  <c r="C184" i="11"/>
  <c r="E184" i="11" s="1"/>
  <c r="D183" i="11"/>
  <c r="C183" i="11"/>
  <c r="D182" i="11"/>
  <c r="C182" i="11"/>
  <c r="E182" i="11" s="1"/>
  <c r="E181" i="11"/>
  <c r="D181" i="11"/>
  <c r="C181" i="11"/>
  <c r="E180" i="11"/>
  <c r="D180" i="11"/>
  <c r="C180" i="11"/>
  <c r="D179" i="11"/>
  <c r="C179" i="11"/>
  <c r="E179" i="11" s="1"/>
  <c r="D178" i="11"/>
  <c r="C178" i="11"/>
  <c r="D177" i="11"/>
  <c r="C177" i="11"/>
  <c r="E177" i="11" s="1"/>
  <c r="D176" i="11"/>
  <c r="C176" i="11"/>
  <c r="E176" i="11" s="1"/>
  <c r="D175" i="11"/>
  <c r="C175" i="11"/>
  <c r="E175" i="11" s="1"/>
  <c r="D174" i="11"/>
  <c r="C174" i="11"/>
  <c r="E174" i="11" s="1"/>
  <c r="E173" i="11"/>
  <c r="D173" i="11"/>
  <c r="C173" i="11"/>
  <c r="E172" i="11"/>
  <c r="D172" i="11"/>
  <c r="C172" i="11"/>
  <c r="D171" i="11"/>
  <c r="C171" i="11"/>
  <c r="E171" i="11" s="1"/>
  <c r="D170" i="11"/>
  <c r="C170" i="11"/>
  <c r="E170" i="11" s="1"/>
  <c r="D169" i="11"/>
  <c r="C169" i="11"/>
  <c r="E169" i="11" s="1"/>
  <c r="D168" i="11"/>
  <c r="C168" i="11"/>
  <c r="E168" i="11" s="1"/>
  <c r="D167" i="11"/>
  <c r="C167" i="11"/>
  <c r="D166" i="11"/>
  <c r="C166" i="11"/>
  <c r="E166" i="11" s="1"/>
  <c r="D165" i="11"/>
  <c r="C165" i="11"/>
  <c r="E165" i="11" s="1"/>
  <c r="D164" i="11"/>
  <c r="E164" i="11" s="1"/>
  <c r="C164" i="11"/>
  <c r="D163" i="11"/>
  <c r="C163" i="11"/>
  <c r="E163" i="11" s="1"/>
  <c r="D162" i="11"/>
  <c r="C162" i="11"/>
  <c r="D161" i="11"/>
  <c r="E161" i="11" s="1"/>
  <c r="C161" i="11"/>
  <c r="D160" i="11"/>
  <c r="C160" i="11"/>
  <c r="E160" i="11" s="1"/>
  <c r="D159" i="11"/>
  <c r="C159" i="11"/>
  <c r="D158" i="11"/>
  <c r="C158" i="11"/>
  <c r="E158" i="11" s="1"/>
  <c r="E157" i="11"/>
  <c r="D157" i="11"/>
  <c r="C157" i="11"/>
  <c r="E156" i="11"/>
  <c r="D156" i="11"/>
  <c r="C156" i="11"/>
  <c r="D155" i="11"/>
  <c r="C155" i="11"/>
  <c r="E155" i="11" s="1"/>
  <c r="D154" i="11"/>
  <c r="C154" i="11"/>
  <c r="D153" i="11"/>
  <c r="C153" i="11"/>
  <c r="E153" i="11" s="1"/>
  <c r="D152" i="11"/>
  <c r="C152" i="11"/>
  <c r="E152" i="11" s="1"/>
  <c r="D151" i="11"/>
  <c r="C151" i="11"/>
  <c r="E151" i="11" s="1"/>
  <c r="D150" i="11"/>
  <c r="C150" i="11"/>
  <c r="E150" i="11" s="1"/>
  <c r="E149" i="11"/>
  <c r="D149" i="11"/>
  <c r="C149" i="11"/>
  <c r="E148" i="11"/>
  <c r="D148" i="11"/>
  <c r="C148" i="11"/>
  <c r="D147" i="11"/>
  <c r="C147" i="11"/>
  <c r="E147" i="11" s="1"/>
  <c r="D146" i="11"/>
  <c r="C146" i="11"/>
  <c r="E146" i="11" s="1"/>
  <c r="D145" i="11"/>
  <c r="C145" i="11"/>
  <c r="E145" i="11" s="1"/>
  <c r="D144" i="11"/>
  <c r="C144" i="11"/>
  <c r="E144" i="11" s="1"/>
  <c r="D143" i="11"/>
  <c r="C143" i="11"/>
  <c r="D142" i="11"/>
  <c r="C142" i="11"/>
  <c r="E142" i="11" s="1"/>
  <c r="D141" i="11"/>
  <c r="C141" i="11"/>
  <c r="E141" i="11" s="1"/>
  <c r="D140" i="11"/>
  <c r="E140" i="11" s="1"/>
  <c r="C140" i="11"/>
  <c r="D139" i="11"/>
  <c r="C139" i="11"/>
  <c r="E139" i="11" s="1"/>
  <c r="D138" i="11"/>
  <c r="C138" i="11"/>
  <c r="D137" i="11"/>
  <c r="E137" i="11" s="1"/>
  <c r="C137" i="11"/>
  <c r="D136" i="11"/>
  <c r="C136" i="11"/>
  <c r="E136" i="11" s="1"/>
  <c r="D135" i="11"/>
  <c r="C135" i="11"/>
  <c r="D134" i="11"/>
  <c r="C134" i="11"/>
  <c r="E134" i="11" s="1"/>
  <c r="E133" i="11"/>
  <c r="D133" i="11"/>
  <c r="C133" i="11"/>
  <c r="E132" i="11"/>
  <c r="D132" i="11"/>
  <c r="C132" i="11"/>
  <c r="D131" i="11"/>
  <c r="C131" i="11"/>
  <c r="E131" i="11" s="1"/>
  <c r="D130" i="11"/>
  <c r="C130" i="11"/>
  <c r="D129" i="11"/>
  <c r="C129" i="11"/>
  <c r="E129" i="11" s="1"/>
  <c r="D128" i="11"/>
  <c r="C128" i="11"/>
  <c r="E128" i="11" s="1"/>
  <c r="D127" i="11"/>
  <c r="C127" i="11"/>
  <c r="E127" i="11" s="1"/>
  <c r="D126" i="11"/>
  <c r="C126" i="11"/>
  <c r="E126" i="11" s="1"/>
  <c r="E125" i="11"/>
  <c r="D125" i="11"/>
  <c r="C125" i="11"/>
  <c r="E124" i="11"/>
  <c r="D124" i="11"/>
  <c r="C124" i="11"/>
  <c r="D123" i="11"/>
  <c r="C123" i="11"/>
  <c r="E123" i="11" s="1"/>
  <c r="D122" i="11"/>
  <c r="C122" i="11"/>
  <c r="E122" i="11" s="1"/>
  <c r="D121" i="11"/>
  <c r="C121" i="11"/>
  <c r="E121" i="11" s="1"/>
  <c r="D120" i="11"/>
  <c r="C120" i="11"/>
  <c r="E120" i="11" s="1"/>
  <c r="D119" i="11"/>
  <c r="C119" i="11"/>
  <c r="D118" i="11"/>
  <c r="C118" i="11"/>
  <c r="E118" i="11" s="1"/>
  <c r="D117" i="11"/>
  <c r="C117" i="11"/>
  <c r="E117" i="11" s="1"/>
  <c r="D116" i="11"/>
  <c r="E116" i="11" s="1"/>
  <c r="C116" i="11"/>
  <c r="D115" i="11"/>
  <c r="C115" i="11"/>
  <c r="E115" i="11" s="1"/>
  <c r="E114" i="11"/>
  <c r="D114" i="11"/>
  <c r="C114" i="11"/>
  <c r="E113" i="11"/>
  <c r="D113" i="11"/>
  <c r="C113" i="11"/>
  <c r="D112" i="11"/>
  <c r="C112" i="11"/>
  <c r="E112" i="11" s="1"/>
  <c r="D111" i="11"/>
  <c r="C111" i="11"/>
  <c r="E110" i="11"/>
  <c r="D110" i="11"/>
  <c r="C110" i="11"/>
  <c r="D109" i="11"/>
  <c r="E109" i="11" s="1"/>
  <c r="C109" i="11"/>
  <c r="D108" i="11"/>
  <c r="C108" i="11"/>
  <c r="E108" i="11" s="1"/>
  <c r="D107" i="11"/>
  <c r="C107" i="11"/>
  <c r="D106" i="11"/>
  <c r="C106" i="11"/>
  <c r="E106" i="11" s="1"/>
  <c r="D105" i="11"/>
  <c r="C105" i="11"/>
  <c r="E105" i="11" s="1"/>
  <c r="D104" i="11"/>
  <c r="C104" i="11"/>
  <c r="E104" i="11" s="1"/>
  <c r="D103" i="11"/>
  <c r="C103" i="11"/>
  <c r="E103" i="11" s="1"/>
  <c r="D102" i="11"/>
  <c r="C102" i="11"/>
  <c r="E102" i="11" s="1"/>
  <c r="E101" i="11"/>
  <c r="D101" i="11"/>
  <c r="C101" i="11"/>
  <c r="E100" i="11"/>
  <c r="D100" i="11"/>
  <c r="C100" i="11"/>
  <c r="D99" i="11"/>
  <c r="C99" i="11"/>
  <c r="E99" i="11" s="1"/>
  <c r="E98" i="11"/>
  <c r="D98" i="11"/>
  <c r="C98" i="11"/>
  <c r="E97" i="11"/>
  <c r="D97" i="11"/>
  <c r="C97" i="11"/>
  <c r="D96" i="11"/>
  <c r="E96" i="11" s="1"/>
  <c r="C96" i="11"/>
  <c r="D95" i="11"/>
  <c r="C95" i="11"/>
  <c r="D94" i="11"/>
  <c r="E94" i="11" s="1"/>
  <c r="C94" i="11"/>
  <c r="D93" i="11"/>
  <c r="C93" i="11"/>
  <c r="E93" i="11" s="1"/>
  <c r="D92" i="11"/>
  <c r="C92" i="11"/>
  <c r="E92" i="11" s="1"/>
  <c r="D91" i="11"/>
  <c r="C91" i="11"/>
  <c r="E91" i="11" s="1"/>
  <c r="D90" i="11"/>
  <c r="C90" i="11"/>
  <c r="E90" i="11" s="1"/>
  <c r="D89" i="11"/>
  <c r="C89" i="11"/>
  <c r="E89" i="11" s="1"/>
  <c r="E88" i="11"/>
  <c r="D88" i="11"/>
  <c r="C88" i="11"/>
  <c r="D87" i="11"/>
  <c r="C87" i="11"/>
  <c r="D86" i="11"/>
  <c r="C86" i="11"/>
  <c r="E86" i="11" s="1"/>
  <c r="E85" i="11"/>
  <c r="D85" i="11"/>
  <c r="C85" i="11"/>
  <c r="D84" i="11"/>
  <c r="E84" i="11" s="1"/>
  <c r="C84" i="11"/>
  <c r="D83" i="11"/>
  <c r="C83" i="11"/>
  <c r="E83" i="11" s="1"/>
  <c r="D82" i="11"/>
  <c r="C82" i="11"/>
  <c r="E82" i="11" s="1"/>
  <c r="D81" i="11"/>
  <c r="E81" i="11" s="1"/>
  <c r="C81" i="11"/>
  <c r="D80" i="11"/>
  <c r="C80" i="11"/>
  <c r="E80" i="11" s="1"/>
  <c r="D79" i="11"/>
  <c r="C79" i="11"/>
  <c r="E79" i="11" s="1"/>
  <c r="E78" i="11"/>
  <c r="D78" i="11"/>
  <c r="C78" i="11"/>
  <c r="D77" i="11"/>
  <c r="C77" i="11"/>
  <c r="E77" i="11" s="1"/>
  <c r="D76" i="11"/>
  <c r="C76" i="11"/>
  <c r="E76" i="11" s="1"/>
  <c r="D75" i="11"/>
  <c r="C75" i="11"/>
  <c r="D74" i="11"/>
  <c r="E74" i="11" s="1"/>
  <c r="C74" i="11"/>
  <c r="D73" i="11"/>
  <c r="C73" i="11"/>
  <c r="E73" i="11" s="1"/>
  <c r="E72" i="11"/>
  <c r="D72" i="11"/>
  <c r="C72" i="11"/>
  <c r="D71" i="11"/>
  <c r="C71" i="11"/>
  <c r="E71" i="11" s="1"/>
  <c r="D70" i="11"/>
  <c r="C70" i="11"/>
  <c r="E70" i="11" s="1"/>
  <c r="D69" i="11"/>
  <c r="C69" i="11"/>
  <c r="E69" i="11" s="1"/>
  <c r="D68" i="11"/>
  <c r="C68" i="11"/>
  <c r="E68" i="11" s="1"/>
  <c r="D67" i="11"/>
  <c r="C67" i="11"/>
  <c r="E67" i="11" s="1"/>
  <c r="E66" i="11"/>
  <c r="D66" i="11"/>
  <c r="C66" i="11"/>
  <c r="E65" i="11"/>
  <c r="D65" i="11"/>
  <c r="C65" i="11"/>
  <c r="D64" i="11"/>
  <c r="C64" i="11"/>
  <c r="E64" i="11" s="1"/>
  <c r="D63" i="11"/>
  <c r="C63" i="11"/>
  <c r="D62" i="11"/>
  <c r="E62" i="11" s="1"/>
  <c r="C62" i="11"/>
  <c r="D61" i="11"/>
  <c r="E61" i="11" s="1"/>
  <c r="C61" i="11"/>
  <c r="D60" i="11"/>
  <c r="C60" i="11"/>
  <c r="E60" i="11" s="1"/>
  <c r="D59" i="11"/>
  <c r="E59" i="11" s="1"/>
  <c r="C59" i="11"/>
  <c r="D58" i="11"/>
  <c r="E58" i="11" s="1"/>
  <c r="C58" i="11"/>
  <c r="D57" i="11"/>
  <c r="E57" i="11" s="1"/>
  <c r="C57" i="11"/>
  <c r="D56" i="11"/>
  <c r="C56" i="11"/>
  <c r="E56" i="11" s="1"/>
  <c r="D55" i="11"/>
  <c r="E55" i="11" s="1"/>
  <c r="C55" i="11"/>
  <c r="D54" i="11"/>
  <c r="E54" i="11" s="1"/>
  <c r="C54" i="11"/>
  <c r="D53" i="11"/>
  <c r="E53" i="11" s="1"/>
  <c r="C53" i="11"/>
  <c r="D52" i="11"/>
  <c r="C52" i="11"/>
  <c r="E52" i="11" s="1"/>
  <c r="D51" i="11"/>
  <c r="E51" i="11" s="1"/>
  <c r="C51" i="11"/>
  <c r="D50" i="11"/>
  <c r="E50" i="11" s="1"/>
  <c r="C50" i="11"/>
  <c r="D49" i="11"/>
  <c r="E49" i="11" s="1"/>
  <c r="C49" i="11"/>
  <c r="D48" i="11"/>
  <c r="C48" i="11"/>
  <c r="E48" i="11" s="1"/>
  <c r="D47" i="11"/>
  <c r="E47" i="11" s="1"/>
  <c r="C47" i="11"/>
  <c r="D46" i="11"/>
  <c r="E46" i="11" s="1"/>
  <c r="C46" i="11"/>
  <c r="D45" i="11"/>
  <c r="E45" i="11" s="1"/>
  <c r="C45" i="11"/>
  <c r="D44" i="11"/>
  <c r="C44" i="11"/>
  <c r="E44" i="11" s="1"/>
  <c r="D43" i="11"/>
  <c r="E43" i="11" s="1"/>
  <c r="C43" i="11"/>
  <c r="D42" i="11"/>
  <c r="E42" i="11" s="1"/>
  <c r="C42" i="11"/>
  <c r="D41" i="11"/>
  <c r="E41" i="11" s="1"/>
  <c r="C41" i="11"/>
  <c r="D40" i="11"/>
  <c r="C40" i="11"/>
  <c r="E40" i="11" s="1"/>
  <c r="D39" i="11"/>
  <c r="E39" i="11" s="1"/>
  <c r="C39" i="11"/>
  <c r="D38" i="11"/>
  <c r="E38" i="11" s="1"/>
  <c r="C38" i="11"/>
  <c r="D37" i="11"/>
  <c r="E37" i="11" s="1"/>
  <c r="C37" i="11"/>
  <c r="D36" i="11"/>
  <c r="C36" i="11"/>
  <c r="E36" i="11" s="1"/>
  <c r="D35" i="11"/>
  <c r="E35" i="11" s="1"/>
  <c r="C35" i="11"/>
  <c r="D34" i="11"/>
  <c r="E34" i="11" s="1"/>
  <c r="C34" i="11"/>
  <c r="D33" i="11"/>
  <c r="E33" i="11" s="1"/>
  <c r="C33" i="11"/>
  <c r="D32" i="11"/>
  <c r="C32" i="11"/>
  <c r="E32" i="11" s="1"/>
  <c r="D31" i="11"/>
  <c r="E31" i="11" s="1"/>
  <c r="C31" i="11"/>
  <c r="D30" i="11"/>
  <c r="E30" i="11" s="1"/>
  <c r="C30" i="11"/>
  <c r="D29" i="11"/>
  <c r="C29" i="11"/>
  <c r="E29" i="11" s="1"/>
  <c r="D28" i="11"/>
  <c r="C28" i="11"/>
  <c r="E28" i="11" s="1"/>
  <c r="D27" i="11"/>
  <c r="E27" i="11" s="1"/>
  <c r="C27" i="11"/>
  <c r="D26" i="11"/>
  <c r="C26" i="11"/>
  <c r="E26" i="11" s="1"/>
  <c r="D25" i="11"/>
  <c r="C25" i="11"/>
  <c r="E25" i="11" s="1"/>
  <c r="D24" i="11"/>
  <c r="C24" i="11"/>
  <c r="E24" i="11" s="1"/>
  <c r="D23" i="11"/>
  <c r="C23" i="11"/>
  <c r="E23" i="11" s="1"/>
  <c r="E22" i="11"/>
  <c r="D22" i="11"/>
  <c r="C22" i="11"/>
  <c r="D21" i="11"/>
  <c r="E21" i="11" s="1"/>
  <c r="C21" i="11"/>
  <c r="D20" i="11"/>
  <c r="C20" i="11"/>
  <c r="E20" i="11" s="1"/>
  <c r="E19" i="11"/>
  <c r="D19" i="11"/>
  <c r="C19" i="11"/>
  <c r="D18" i="11"/>
  <c r="E18" i="11" s="1"/>
  <c r="C18" i="11"/>
  <c r="D17" i="11"/>
  <c r="E17" i="11" s="1"/>
  <c r="C17" i="11"/>
  <c r="D16" i="11"/>
  <c r="C16" i="11"/>
  <c r="E16" i="11" s="1"/>
  <c r="D15" i="11"/>
  <c r="C15" i="11"/>
  <c r="E15" i="11" s="1"/>
  <c r="D14" i="11"/>
  <c r="C14" i="11"/>
  <c r="E14" i="11" s="1"/>
  <c r="D13" i="11"/>
  <c r="C13" i="11"/>
  <c r="E13" i="11" s="1"/>
  <c r="D12" i="11"/>
  <c r="C12" i="11"/>
  <c r="E12" i="11" s="1"/>
  <c r="D11" i="11"/>
  <c r="C11" i="11"/>
  <c r="E11" i="11" s="1"/>
  <c r="D10" i="11"/>
  <c r="C10" i="11"/>
  <c r="E10" i="11" s="1"/>
  <c r="D9" i="11"/>
  <c r="C9" i="11"/>
  <c r="E9" i="11" s="1"/>
  <c r="D8" i="11"/>
  <c r="C8" i="11"/>
  <c r="E8" i="11" s="1"/>
  <c r="D7" i="11"/>
  <c r="C7" i="11"/>
  <c r="E7" i="11" s="1"/>
  <c r="D6" i="11"/>
  <c r="C6" i="11"/>
  <c r="E6" i="11" s="1"/>
  <c r="D5" i="11"/>
  <c r="C5" i="11"/>
  <c r="E5" i="11" s="1"/>
  <c r="J2" i="9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J133" i="9"/>
  <c r="J134" i="9"/>
  <c r="J135" i="9"/>
  <c r="J136" i="9"/>
  <c r="J137" i="9"/>
  <c r="J138" i="9"/>
  <c r="J139" i="9"/>
  <c r="J140" i="9"/>
  <c r="J141" i="9"/>
  <c r="J142" i="9"/>
  <c r="J143" i="9"/>
  <c r="J144" i="9"/>
  <c r="J145" i="9"/>
  <c r="J146" i="9"/>
  <c r="J147" i="9"/>
  <c r="J148" i="9"/>
  <c r="J149" i="9"/>
  <c r="J150" i="9"/>
  <c r="J151" i="9"/>
  <c r="J152" i="9"/>
  <c r="J153" i="9"/>
  <c r="J154" i="9"/>
  <c r="J155" i="9"/>
  <c r="J156" i="9"/>
  <c r="J157" i="9"/>
  <c r="J158" i="9"/>
  <c r="J159" i="9"/>
  <c r="J160" i="9"/>
  <c r="J161" i="9"/>
  <c r="J162" i="9"/>
  <c r="J163" i="9"/>
  <c r="J164" i="9"/>
  <c r="J165" i="9"/>
  <c r="J166" i="9"/>
  <c r="J167" i="9"/>
  <c r="J168" i="9"/>
  <c r="J169" i="9"/>
  <c r="J170" i="9"/>
  <c r="J171" i="9"/>
  <c r="J172" i="9"/>
  <c r="J173" i="9"/>
  <c r="J174" i="9"/>
  <c r="J175" i="9"/>
  <c r="J176" i="9"/>
  <c r="J177" i="9"/>
  <c r="J178" i="9"/>
  <c r="J179" i="9"/>
  <c r="J180" i="9"/>
  <c r="J181" i="9"/>
  <c r="J182" i="9"/>
  <c r="J183" i="9"/>
  <c r="J184" i="9"/>
  <c r="J185" i="9"/>
  <c r="J186" i="9"/>
  <c r="J187" i="9"/>
  <c r="J188" i="9"/>
  <c r="J189" i="9"/>
  <c r="J190" i="9"/>
  <c r="J191" i="9"/>
  <c r="J192" i="9"/>
  <c r="J193" i="9"/>
  <c r="J194" i="9"/>
  <c r="J195" i="9"/>
  <c r="J196" i="9"/>
  <c r="J197" i="9"/>
  <c r="J198" i="9"/>
  <c r="J199" i="9"/>
  <c r="J200" i="9"/>
  <c r="J201" i="9"/>
  <c r="J202" i="9"/>
  <c r="J203" i="9"/>
  <c r="J204" i="9"/>
  <c r="J205" i="9"/>
  <c r="J206" i="9"/>
  <c r="J207" i="9"/>
  <c r="J208" i="9"/>
  <c r="J209" i="9"/>
  <c r="J210" i="9"/>
  <c r="J211" i="9"/>
  <c r="J212" i="9"/>
  <c r="J213" i="9"/>
  <c r="J214" i="9"/>
  <c r="J215" i="9"/>
  <c r="J216" i="9"/>
  <c r="J217" i="9"/>
  <c r="J218" i="9"/>
  <c r="J219" i="9"/>
  <c r="J220" i="9"/>
  <c r="J221" i="9"/>
  <c r="J222" i="9"/>
  <c r="J223" i="9"/>
  <c r="J224" i="9"/>
  <c r="J225" i="9"/>
  <c r="J226" i="9"/>
  <c r="J227" i="9"/>
  <c r="J228" i="9"/>
  <c r="J229" i="9"/>
  <c r="J230" i="9"/>
  <c r="J231" i="9"/>
  <c r="J232" i="9"/>
  <c r="J233" i="9"/>
  <c r="J234" i="9"/>
  <c r="J236" i="9"/>
  <c r="J237" i="9"/>
  <c r="J238" i="9"/>
  <c r="J239" i="9"/>
  <c r="J240" i="9"/>
  <c r="J241" i="9"/>
  <c r="J242" i="9"/>
  <c r="J243" i="9"/>
  <c r="J244" i="9"/>
  <c r="J245" i="9"/>
  <c r="J246" i="9"/>
  <c r="J247" i="9"/>
  <c r="J248" i="9"/>
  <c r="J249" i="9"/>
  <c r="J250" i="9"/>
  <c r="J251" i="9"/>
  <c r="J252" i="9"/>
  <c r="J253" i="9"/>
  <c r="J254" i="9"/>
  <c r="J255" i="9"/>
  <c r="J256" i="9"/>
  <c r="J257" i="9"/>
  <c r="J258" i="9"/>
  <c r="J259" i="9"/>
  <c r="J260" i="9"/>
  <c r="J261" i="9"/>
  <c r="J262" i="9"/>
  <c r="J263" i="9"/>
  <c r="J264" i="9"/>
  <c r="J265" i="9"/>
  <c r="J266" i="9"/>
  <c r="J267" i="9"/>
  <c r="J268" i="9"/>
  <c r="J269" i="9"/>
  <c r="J270" i="9"/>
  <c r="J271" i="9"/>
  <c r="J272" i="9"/>
  <c r="J273" i="9"/>
  <c r="J274" i="9"/>
  <c r="J275" i="9"/>
  <c r="J276" i="9"/>
  <c r="J277" i="9"/>
  <c r="J278" i="9"/>
  <c r="J279" i="9"/>
  <c r="J280" i="9"/>
  <c r="J281" i="9"/>
  <c r="J282" i="9"/>
  <c r="J283" i="9"/>
  <c r="J284" i="9"/>
  <c r="J285" i="9"/>
  <c r="J286" i="9"/>
  <c r="J287" i="9"/>
  <c r="J288" i="9"/>
  <c r="J289" i="9"/>
  <c r="J290" i="9"/>
  <c r="J291" i="9"/>
  <c r="J292" i="9"/>
  <c r="J293" i="9"/>
  <c r="J294" i="9"/>
  <c r="J295" i="9"/>
  <c r="J296" i="9"/>
  <c r="J297" i="9"/>
  <c r="J298" i="9"/>
  <c r="J299" i="9"/>
  <c r="J300" i="9"/>
  <c r="J301" i="9"/>
  <c r="J302" i="9"/>
  <c r="J303" i="9"/>
  <c r="J304" i="9"/>
  <c r="J305" i="9"/>
  <c r="J306" i="9"/>
  <c r="J307" i="9"/>
  <c r="J308" i="9"/>
  <c r="J309" i="9"/>
  <c r="J310" i="9"/>
  <c r="J311" i="9"/>
  <c r="J312" i="9"/>
  <c r="J313" i="9"/>
  <c r="J314" i="9"/>
  <c r="J315" i="9"/>
  <c r="J316" i="9"/>
  <c r="J317" i="9"/>
  <c r="J318" i="9"/>
  <c r="J319" i="9"/>
  <c r="J320" i="9"/>
  <c r="J321" i="9"/>
  <c r="J322" i="9"/>
  <c r="J323" i="9"/>
  <c r="J324" i="9"/>
  <c r="J325" i="9"/>
  <c r="J326" i="9"/>
  <c r="J327" i="9"/>
  <c r="J328" i="9"/>
  <c r="J329" i="9"/>
  <c r="J330" i="9"/>
  <c r="J331" i="9"/>
  <c r="J332" i="9"/>
  <c r="J333" i="9"/>
  <c r="J334" i="9"/>
  <c r="J335" i="9"/>
  <c r="J336" i="9"/>
  <c r="J337" i="9"/>
  <c r="J338" i="9"/>
  <c r="J339" i="9"/>
  <c r="J340" i="9"/>
  <c r="J341" i="9"/>
  <c r="J342" i="9"/>
  <c r="J343" i="9"/>
  <c r="J344" i="9"/>
  <c r="J345" i="9"/>
  <c r="J346" i="9"/>
  <c r="J347" i="9"/>
  <c r="J348" i="9"/>
  <c r="J349" i="9"/>
  <c r="J350" i="9"/>
  <c r="J352" i="9"/>
  <c r="J353" i="9"/>
  <c r="J354" i="9"/>
  <c r="J355" i="9"/>
  <c r="J356" i="9"/>
  <c r="J357" i="9"/>
  <c r="J358" i="9"/>
  <c r="J359" i="9"/>
  <c r="J360" i="9"/>
  <c r="J361" i="9"/>
  <c r="J362" i="9"/>
  <c r="J363" i="9"/>
  <c r="J364" i="9"/>
  <c r="J365" i="9"/>
  <c r="J366" i="9"/>
  <c r="J367" i="9"/>
  <c r="J368" i="9"/>
  <c r="J369" i="9"/>
  <c r="J370" i="9"/>
  <c r="J371" i="9"/>
  <c r="J372" i="9"/>
  <c r="J373" i="9"/>
  <c r="J374" i="9"/>
  <c r="J375" i="9"/>
  <c r="J376" i="9"/>
  <c r="J377" i="9"/>
  <c r="J378" i="9"/>
  <c r="J379" i="9"/>
  <c r="J380" i="9"/>
  <c r="J381" i="9"/>
  <c r="J382" i="9"/>
  <c r="J383" i="9"/>
  <c r="J384" i="9"/>
  <c r="J385" i="9"/>
  <c r="J386" i="9"/>
  <c r="J387" i="9"/>
  <c r="J388" i="9"/>
  <c r="J389" i="9"/>
  <c r="J390" i="9"/>
  <c r="J391" i="9"/>
  <c r="J392" i="9"/>
  <c r="J393" i="9"/>
  <c r="J394" i="9"/>
  <c r="J395" i="9"/>
  <c r="J396" i="9"/>
  <c r="J397" i="9"/>
  <c r="J398" i="9"/>
  <c r="J400" i="9"/>
  <c r="J401" i="9"/>
  <c r="J402" i="9"/>
  <c r="J403" i="9"/>
  <c r="J404" i="9"/>
  <c r="J405" i="9"/>
  <c r="J406" i="9"/>
  <c r="J407" i="9"/>
  <c r="J408" i="9"/>
  <c r="J409" i="9"/>
  <c r="J410" i="9"/>
  <c r="J411" i="9"/>
  <c r="J412" i="9"/>
  <c r="J413" i="9"/>
  <c r="J414" i="9"/>
  <c r="J415" i="9"/>
  <c r="J416" i="9"/>
  <c r="J417" i="9"/>
  <c r="J418" i="9"/>
  <c r="J419" i="9"/>
  <c r="J420" i="9"/>
  <c r="J421" i="9"/>
  <c r="J422" i="9"/>
  <c r="J423" i="9"/>
  <c r="J424" i="9"/>
  <c r="J425" i="9"/>
  <c r="J426" i="9"/>
  <c r="J428" i="9"/>
  <c r="J429" i="9"/>
  <c r="J430" i="9"/>
  <c r="J431" i="9"/>
  <c r="J432" i="9"/>
  <c r="J433" i="9"/>
  <c r="J434" i="9"/>
  <c r="J435" i="9"/>
  <c r="J436" i="9"/>
  <c r="J437" i="9"/>
  <c r="J438" i="9"/>
  <c r="J439" i="9"/>
  <c r="J440" i="9"/>
  <c r="J441" i="9"/>
  <c r="J442" i="9"/>
  <c r="J443" i="9"/>
  <c r="J444" i="9"/>
  <c r="J445" i="9"/>
  <c r="J446" i="9"/>
  <c r="J447" i="9"/>
  <c r="J448" i="9"/>
  <c r="J449" i="9"/>
  <c r="J450" i="9"/>
  <c r="J451" i="9"/>
  <c r="J452" i="9"/>
  <c r="J453" i="9"/>
  <c r="J454" i="9"/>
  <c r="J455" i="9"/>
  <c r="J456" i="9"/>
  <c r="J457" i="9"/>
  <c r="J458" i="9"/>
  <c r="J459" i="9"/>
  <c r="J460" i="9"/>
  <c r="J461" i="9"/>
  <c r="J462" i="9"/>
  <c r="J463" i="9"/>
  <c r="J464" i="9"/>
  <c r="J465" i="9"/>
  <c r="J466" i="9"/>
  <c r="J467" i="9"/>
  <c r="J468" i="9"/>
  <c r="J469" i="9"/>
  <c r="J470" i="9"/>
  <c r="J471" i="9"/>
  <c r="J472" i="9"/>
  <c r="J473" i="9"/>
  <c r="J474" i="9"/>
  <c r="J475" i="9"/>
  <c r="J476" i="9"/>
  <c r="J477" i="9"/>
  <c r="J478" i="9"/>
  <c r="J479" i="9"/>
  <c r="J480" i="9"/>
  <c r="J481" i="9"/>
  <c r="J482" i="9"/>
  <c r="J483" i="9"/>
  <c r="J484" i="9"/>
  <c r="J485" i="9"/>
  <c r="J486" i="9"/>
  <c r="J487" i="9"/>
  <c r="J488" i="9"/>
  <c r="J489" i="9"/>
  <c r="J490" i="9"/>
  <c r="J491" i="9"/>
  <c r="J492" i="9"/>
  <c r="J493" i="9"/>
  <c r="J494" i="9"/>
  <c r="J495" i="9"/>
  <c r="J496" i="9"/>
  <c r="J497" i="9"/>
  <c r="J498" i="9"/>
  <c r="J499" i="9"/>
  <c r="J500" i="9"/>
  <c r="J501" i="9"/>
  <c r="J502" i="9"/>
  <c r="J503" i="9"/>
  <c r="J504" i="9"/>
  <c r="J505" i="9"/>
  <c r="J506" i="9"/>
  <c r="J507" i="9"/>
  <c r="J508" i="9"/>
  <c r="J509" i="9"/>
  <c r="J510" i="9"/>
  <c r="J511" i="9"/>
  <c r="J512" i="9"/>
  <c r="J513" i="9"/>
  <c r="J514" i="9"/>
  <c r="J515" i="9"/>
  <c r="J516" i="9"/>
  <c r="J517" i="9"/>
  <c r="J518" i="9"/>
  <c r="J519" i="9"/>
  <c r="J520" i="9"/>
  <c r="J521" i="9"/>
  <c r="J522" i="9"/>
  <c r="J523" i="9"/>
  <c r="J524" i="9"/>
  <c r="J525" i="9"/>
  <c r="J526" i="9"/>
  <c r="J527" i="9"/>
  <c r="J528" i="9"/>
  <c r="J529" i="9"/>
  <c r="J530" i="9"/>
  <c r="J531" i="9"/>
  <c r="J533" i="9"/>
  <c r="J534" i="9"/>
  <c r="J535" i="9"/>
  <c r="J536" i="9"/>
  <c r="J537" i="9"/>
  <c r="J538" i="9"/>
  <c r="J539" i="9"/>
  <c r="J540" i="9"/>
  <c r="J541" i="9"/>
  <c r="J542" i="9"/>
  <c r="J543" i="9"/>
  <c r="J544" i="9"/>
  <c r="J545" i="9"/>
  <c r="J546" i="9"/>
  <c r="J547" i="9"/>
  <c r="J548" i="9"/>
  <c r="J549" i="9"/>
  <c r="J550" i="9"/>
  <c r="J551" i="9"/>
  <c r="J552" i="9"/>
  <c r="J553" i="9"/>
  <c r="J554" i="9"/>
  <c r="J555" i="9"/>
  <c r="J556" i="9"/>
  <c r="J557" i="9"/>
  <c r="J558" i="9"/>
  <c r="J559" i="9"/>
  <c r="J560" i="9"/>
  <c r="J561" i="9"/>
  <c r="J562" i="9"/>
  <c r="J563" i="9"/>
  <c r="J564" i="9"/>
  <c r="J565" i="9"/>
  <c r="J566" i="9"/>
  <c r="J567" i="9"/>
  <c r="J568" i="9"/>
  <c r="J569" i="9"/>
  <c r="J570" i="9"/>
  <c r="J571" i="9"/>
  <c r="J572" i="9"/>
  <c r="J573" i="9"/>
  <c r="J574" i="9"/>
  <c r="J575" i="9"/>
  <c r="J576" i="9"/>
  <c r="J577" i="9"/>
  <c r="J578" i="9"/>
  <c r="J579" i="9"/>
  <c r="J580" i="9"/>
  <c r="J581" i="9"/>
  <c r="J582" i="9"/>
  <c r="J583" i="9"/>
  <c r="J584" i="9"/>
  <c r="J585" i="9"/>
  <c r="J586" i="9"/>
  <c r="J587" i="9"/>
  <c r="J588" i="9"/>
  <c r="J589" i="9"/>
  <c r="J590" i="9"/>
  <c r="F2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J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J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61" i="9"/>
  <c r="F262" i="9"/>
  <c r="F263" i="9"/>
  <c r="F264" i="9"/>
  <c r="F265" i="9"/>
  <c r="F266" i="9"/>
  <c r="F267" i="9"/>
  <c r="F268" i="9"/>
  <c r="F269" i="9"/>
  <c r="F270" i="9"/>
  <c r="F271" i="9"/>
  <c r="F272" i="9"/>
  <c r="F273" i="9"/>
  <c r="F274" i="9"/>
  <c r="F275" i="9"/>
  <c r="F276" i="9"/>
  <c r="F277" i="9"/>
  <c r="F278" i="9"/>
  <c r="F279" i="9"/>
  <c r="F280" i="9"/>
  <c r="F281" i="9"/>
  <c r="F282" i="9"/>
  <c r="F283" i="9"/>
  <c r="F284" i="9"/>
  <c r="F285" i="9"/>
  <c r="F286" i="9"/>
  <c r="F287" i="9"/>
  <c r="F288" i="9"/>
  <c r="F289" i="9"/>
  <c r="F290" i="9"/>
  <c r="F291" i="9"/>
  <c r="F292" i="9"/>
  <c r="F293" i="9"/>
  <c r="F294" i="9"/>
  <c r="F295" i="9"/>
  <c r="F296" i="9"/>
  <c r="F297" i="9"/>
  <c r="F298" i="9"/>
  <c r="F299" i="9"/>
  <c r="F300" i="9"/>
  <c r="F301" i="9"/>
  <c r="F302" i="9"/>
  <c r="F303" i="9"/>
  <c r="F304" i="9"/>
  <c r="F305" i="9"/>
  <c r="F306" i="9"/>
  <c r="F307" i="9"/>
  <c r="F308" i="9"/>
  <c r="F309" i="9"/>
  <c r="F310" i="9"/>
  <c r="F311" i="9"/>
  <c r="F312" i="9"/>
  <c r="F313" i="9"/>
  <c r="F314" i="9"/>
  <c r="F315" i="9"/>
  <c r="F316" i="9"/>
  <c r="F317" i="9"/>
  <c r="F318" i="9"/>
  <c r="F319" i="9"/>
  <c r="F320" i="9"/>
  <c r="F321" i="9"/>
  <c r="F322" i="9"/>
  <c r="F323" i="9"/>
  <c r="F324" i="9"/>
  <c r="F325" i="9"/>
  <c r="F326" i="9"/>
  <c r="F327" i="9"/>
  <c r="F328" i="9"/>
  <c r="F329" i="9"/>
  <c r="F330" i="9"/>
  <c r="F331" i="9"/>
  <c r="F332" i="9"/>
  <c r="F333" i="9"/>
  <c r="F334" i="9"/>
  <c r="F335" i="9"/>
  <c r="F336" i="9"/>
  <c r="F337" i="9"/>
  <c r="F338" i="9"/>
  <c r="F339" i="9"/>
  <c r="F340" i="9"/>
  <c r="F341" i="9"/>
  <c r="F342" i="9"/>
  <c r="F343" i="9"/>
  <c r="F344" i="9"/>
  <c r="F345" i="9"/>
  <c r="F346" i="9"/>
  <c r="F347" i="9"/>
  <c r="F348" i="9"/>
  <c r="F349" i="9"/>
  <c r="F350" i="9"/>
  <c r="J351" i="9"/>
  <c r="F352" i="9"/>
  <c r="F353" i="9"/>
  <c r="F354" i="9"/>
  <c r="F355" i="9"/>
  <c r="F356" i="9"/>
  <c r="F357" i="9"/>
  <c r="F358" i="9"/>
  <c r="F359" i="9"/>
  <c r="F360" i="9"/>
  <c r="F361" i="9"/>
  <c r="F362" i="9"/>
  <c r="F363" i="9"/>
  <c r="F364" i="9"/>
  <c r="F365" i="9"/>
  <c r="F366" i="9"/>
  <c r="F367" i="9"/>
  <c r="F368" i="9"/>
  <c r="F369" i="9"/>
  <c r="F370" i="9"/>
  <c r="F371" i="9"/>
  <c r="F372" i="9"/>
  <c r="F373" i="9"/>
  <c r="F374" i="9"/>
  <c r="F375" i="9"/>
  <c r="F376" i="9"/>
  <c r="F377" i="9"/>
  <c r="F378" i="9"/>
  <c r="F379" i="9"/>
  <c r="F380" i="9"/>
  <c r="F381" i="9"/>
  <c r="F382" i="9"/>
  <c r="F383" i="9"/>
  <c r="F384" i="9"/>
  <c r="F385" i="9"/>
  <c r="F386" i="9"/>
  <c r="F387" i="9"/>
  <c r="F388" i="9"/>
  <c r="F389" i="9"/>
  <c r="F390" i="9"/>
  <c r="F391" i="9"/>
  <c r="F392" i="9"/>
  <c r="F393" i="9"/>
  <c r="F394" i="9"/>
  <c r="F395" i="9"/>
  <c r="F396" i="9"/>
  <c r="F397" i="9"/>
  <c r="F398" i="9"/>
  <c r="J399" i="9"/>
  <c r="F400" i="9"/>
  <c r="F401" i="9"/>
  <c r="F402" i="9"/>
  <c r="F403" i="9"/>
  <c r="F404" i="9"/>
  <c r="F405" i="9"/>
  <c r="F406" i="9"/>
  <c r="F407" i="9"/>
  <c r="F408" i="9"/>
  <c r="F409" i="9"/>
  <c r="F410" i="9"/>
  <c r="F411" i="9"/>
  <c r="F412" i="9"/>
  <c r="F413" i="9"/>
  <c r="F414" i="9"/>
  <c r="F415" i="9"/>
  <c r="F416" i="9"/>
  <c r="F417" i="9"/>
  <c r="F418" i="9"/>
  <c r="F419" i="9"/>
  <c r="F420" i="9"/>
  <c r="F421" i="9"/>
  <c r="F422" i="9"/>
  <c r="F423" i="9"/>
  <c r="F424" i="9"/>
  <c r="F425" i="9"/>
  <c r="F426" i="9"/>
  <c r="J427" i="9"/>
  <c r="F428" i="9"/>
  <c r="F429" i="9"/>
  <c r="F430" i="9"/>
  <c r="F431" i="9"/>
  <c r="F432" i="9"/>
  <c r="F433" i="9"/>
  <c r="F434" i="9"/>
  <c r="F435" i="9"/>
  <c r="F436" i="9"/>
  <c r="F437" i="9"/>
  <c r="F438" i="9"/>
  <c r="F439" i="9"/>
  <c r="F440" i="9"/>
  <c r="F441" i="9"/>
  <c r="F442" i="9"/>
  <c r="F443" i="9"/>
  <c r="F444" i="9"/>
  <c r="F445" i="9"/>
  <c r="F446" i="9"/>
  <c r="F447" i="9"/>
  <c r="F448" i="9"/>
  <c r="F449" i="9"/>
  <c r="F450" i="9"/>
  <c r="F451" i="9"/>
  <c r="F452" i="9"/>
  <c r="F453" i="9"/>
  <c r="F454" i="9"/>
  <c r="F455" i="9"/>
  <c r="F456" i="9"/>
  <c r="F457" i="9"/>
  <c r="F458" i="9"/>
  <c r="F459" i="9"/>
  <c r="F460" i="9"/>
  <c r="F461" i="9"/>
  <c r="F462" i="9"/>
  <c r="F463" i="9"/>
  <c r="F464" i="9"/>
  <c r="F465" i="9"/>
  <c r="F466" i="9"/>
  <c r="F467" i="9"/>
  <c r="F468" i="9"/>
  <c r="F469" i="9"/>
  <c r="F470" i="9"/>
  <c r="F471" i="9"/>
  <c r="F472" i="9"/>
  <c r="F473" i="9"/>
  <c r="F474" i="9"/>
  <c r="F475" i="9"/>
  <c r="F476" i="9"/>
  <c r="F477" i="9"/>
  <c r="F478" i="9"/>
  <c r="F479" i="9"/>
  <c r="F480" i="9"/>
  <c r="F481" i="9"/>
  <c r="F482" i="9"/>
  <c r="F483" i="9"/>
  <c r="F484" i="9"/>
  <c r="F485" i="9"/>
  <c r="F486" i="9"/>
  <c r="F487" i="9"/>
  <c r="F488" i="9"/>
  <c r="F489" i="9"/>
  <c r="F490" i="9"/>
  <c r="F491" i="9"/>
  <c r="F492" i="9"/>
  <c r="F493" i="9"/>
  <c r="F494" i="9"/>
  <c r="F495" i="9"/>
  <c r="F496" i="9"/>
  <c r="F497" i="9"/>
  <c r="F498" i="9"/>
  <c r="F499" i="9"/>
  <c r="F500" i="9"/>
  <c r="F501" i="9"/>
  <c r="F502" i="9"/>
  <c r="F503" i="9"/>
  <c r="F504" i="9"/>
  <c r="F505" i="9"/>
  <c r="F506" i="9"/>
  <c r="F507" i="9"/>
  <c r="F508" i="9"/>
  <c r="F509" i="9"/>
  <c r="F510" i="9"/>
  <c r="F511" i="9"/>
  <c r="F512" i="9"/>
  <c r="F513" i="9"/>
  <c r="F514" i="9"/>
  <c r="F515" i="9"/>
  <c r="F516" i="9"/>
  <c r="F517" i="9"/>
  <c r="F518" i="9"/>
  <c r="F519" i="9"/>
  <c r="F520" i="9"/>
  <c r="F521" i="9"/>
  <c r="F522" i="9"/>
  <c r="F523" i="9"/>
  <c r="F524" i="9"/>
  <c r="F525" i="9"/>
  <c r="F526" i="9"/>
  <c r="F527" i="9"/>
  <c r="F528" i="9"/>
  <c r="F529" i="9"/>
  <c r="F530" i="9"/>
  <c r="F531" i="9"/>
  <c r="J532" i="9"/>
  <c r="F533" i="9"/>
  <c r="F534" i="9"/>
  <c r="F535" i="9"/>
  <c r="F536" i="9"/>
  <c r="F537" i="9"/>
  <c r="F538" i="9"/>
  <c r="F539" i="9"/>
  <c r="F540" i="9"/>
  <c r="F541" i="9"/>
  <c r="F542" i="9"/>
  <c r="F543" i="9"/>
  <c r="F544" i="9"/>
  <c r="F545" i="9"/>
  <c r="F546" i="9"/>
  <c r="F547" i="9"/>
  <c r="F548" i="9"/>
  <c r="F549" i="9"/>
  <c r="F550" i="9"/>
  <c r="F551" i="9"/>
  <c r="F552" i="9"/>
  <c r="F553" i="9"/>
  <c r="F554" i="9"/>
  <c r="F555" i="9"/>
  <c r="F556" i="9"/>
  <c r="F557" i="9"/>
  <c r="F558" i="9"/>
  <c r="F559" i="9"/>
  <c r="F560" i="9"/>
  <c r="F561" i="9"/>
  <c r="F562" i="9"/>
  <c r="F563" i="9"/>
  <c r="F564" i="9"/>
  <c r="F565" i="9"/>
  <c r="F566" i="9"/>
  <c r="F567" i="9"/>
  <c r="F568" i="9"/>
  <c r="F569" i="9"/>
  <c r="F570" i="9"/>
  <c r="F571" i="9"/>
  <c r="F572" i="9"/>
  <c r="F573" i="9"/>
  <c r="F574" i="9"/>
  <c r="F575" i="9"/>
  <c r="F576" i="9"/>
  <c r="F577" i="9"/>
  <c r="F578" i="9"/>
  <c r="F579" i="9"/>
  <c r="F580" i="9"/>
  <c r="F581" i="9"/>
  <c r="F582" i="9"/>
  <c r="F583" i="9"/>
  <c r="F584" i="9"/>
  <c r="F585" i="9"/>
  <c r="F586" i="9"/>
  <c r="F587" i="9"/>
  <c r="F588" i="9"/>
  <c r="F589" i="9"/>
  <c r="F590" i="9"/>
  <c r="C15" i="14" l="1"/>
  <c r="C13" i="14"/>
  <c r="C14" i="14"/>
  <c r="C35" i="14"/>
  <c r="C40" i="14"/>
  <c r="C36" i="14"/>
  <c r="C30" i="14"/>
  <c r="C39" i="14"/>
  <c r="C33" i="14"/>
  <c r="C32" i="14"/>
  <c r="C103" i="14"/>
  <c r="C162" i="14"/>
  <c r="C98" i="14"/>
  <c r="C116" i="14"/>
  <c r="B198" i="14"/>
  <c r="C100" i="14"/>
  <c r="C118" i="14"/>
  <c r="B199" i="14"/>
  <c r="B200" i="14"/>
  <c r="B201" i="14"/>
  <c r="C31" i="14"/>
  <c r="B202" i="14"/>
  <c r="C116" i="13"/>
  <c r="B40" i="13"/>
  <c r="C38" i="13" s="1"/>
  <c r="M20" i="12"/>
  <c r="H25" i="12"/>
  <c r="J24" i="12"/>
  <c r="K25" i="12"/>
  <c r="L26" i="12"/>
  <c r="K24" i="12"/>
  <c r="L25" i="12"/>
  <c r="K23" i="12"/>
  <c r="M23" i="12" s="1"/>
  <c r="L24" i="12"/>
  <c r="I18" i="12"/>
  <c r="M18" i="12" s="1"/>
  <c r="H27" i="12"/>
  <c r="M27" i="12" s="1"/>
  <c r="I28" i="12"/>
  <c r="M28" i="12" s="1"/>
  <c r="J27" i="12"/>
  <c r="K28" i="12"/>
  <c r="H24" i="12"/>
  <c r="M24" i="12" s="1"/>
  <c r="I25" i="12"/>
  <c r="M25" i="12" s="1"/>
  <c r="J26" i="12"/>
  <c r="M26" i="12" s="1"/>
  <c r="K27" i="12"/>
  <c r="E95" i="11"/>
  <c r="E87" i="11"/>
  <c r="E286" i="11"/>
  <c r="E291" i="11"/>
  <c r="E310" i="11"/>
  <c r="E315" i="11"/>
  <c r="E334" i="11"/>
  <c r="E339" i="11"/>
  <c r="E358" i="11"/>
  <c r="E363" i="11"/>
  <c r="E382" i="11"/>
  <c r="E387" i="11"/>
  <c r="E75" i="11"/>
  <c r="E119" i="11"/>
  <c r="E138" i="11"/>
  <c r="E143" i="11"/>
  <c r="E162" i="11"/>
  <c r="E167" i="11"/>
  <c r="E186" i="11"/>
  <c r="E191" i="11"/>
  <c r="E210" i="11"/>
  <c r="E215" i="11"/>
  <c r="E234" i="11"/>
  <c r="E239" i="11"/>
  <c r="E258" i="11"/>
  <c r="E263" i="11"/>
  <c r="E282" i="11"/>
  <c r="E287" i="11"/>
  <c r="E306" i="11"/>
  <c r="E311" i="11"/>
  <c r="E330" i="11"/>
  <c r="E335" i="11"/>
  <c r="E354" i="11"/>
  <c r="E359" i="11"/>
  <c r="E378" i="11"/>
  <c r="E383" i="11"/>
  <c r="E63" i="11"/>
  <c r="E111" i="11"/>
  <c r="E107" i="11"/>
  <c r="E130" i="11"/>
  <c r="E135" i="11"/>
  <c r="E154" i="11"/>
  <c r="E159" i="11"/>
  <c r="E178" i="11"/>
  <c r="E183" i="11"/>
  <c r="E202" i="11"/>
  <c r="E207" i="11"/>
  <c r="E226" i="11"/>
  <c r="E231" i="11"/>
  <c r="E250" i="11"/>
  <c r="E255" i="11"/>
  <c r="E274" i="11"/>
  <c r="E279" i="11"/>
  <c r="E298" i="11"/>
  <c r="E303" i="11"/>
  <c r="E322" i="11"/>
  <c r="E327" i="11"/>
  <c r="E346" i="11"/>
  <c r="E351" i="11"/>
  <c r="E370" i="11"/>
  <c r="E375" i="11"/>
  <c r="E198" i="11"/>
  <c r="E203" i="11"/>
  <c r="E222" i="11"/>
  <c r="E227" i="11"/>
  <c r="E246" i="11"/>
  <c r="E251" i="11"/>
  <c r="E270" i="11"/>
  <c r="E275" i="11"/>
  <c r="E294" i="11"/>
  <c r="E299" i="11"/>
  <c r="E318" i="11"/>
  <c r="E323" i="11"/>
  <c r="E342" i="11"/>
  <c r="E347" i="11"/>
  <c r="E366" i="11"/>
  <c r="E371" i="11"/>
  <c r="E390" i="11"/>
  <c r="E395" i="11"/>
  <c r="C40" i="13" l="1"/>
  <c r="C30" i="13"/>
  <c r="C39" i="13"/>
  <c r="C34" i="13"/>
  <c r="C33" i="13"/>
  <c r="C37" i="13"/>
  <c r="C36" i="13"/>
  <c r="C35" i="13"/>
  <c r="C32" i="13"/>
  <c r="C31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<sst xmlns="http://schemas.openxmlformats.org/spreadsheetml/2006/main" count="37883" uniqueCount="6100">
  <si>
    <t>Autores finis terrae afiliados</t>
  </si>
  <si>
    <t>Título</t>
  </si>
  <si>
    <t>Authors</t>
  </si>
  <si>
    <t>Year</t>
  </si>
  <si>
    <t>Full date</t>
  </si>
  <si>
    <t>Scopus Source title</t>
  </si>
  <si>
    <t>Volume</t>
  </si>
  <si>
    <t>Issue</t>
  </si>
  <si>
    <t>Pages</t>
  </si>
  <si>
    <t>ISSN</t>
  </si>
  <si>
    <t>Publisher</t>
  </si>
  <si>
    <t>Language</t>
  </si>
  <si>
    <t>CiteScore (publication year)</t>
  </si>
  <si>
    <t>CiteScore percentile (publication year) *</t>
  </si>
  <si>
    <t>SJR (publication year)</t>
  </si>
  <si>
    <t>DOI</t>
  </si>
  <si>
    <t>Publication type</t>
  </si>
  <si>
    <t>EID</t>
  </si>
  <si>
    <t>Institutions</t>
  </si>
  <si>
    <t>Scopus Affiliation IDs</t>
  </si>
  <si>
    <t>Scopus Affiliation names</t>
  </si>
  <si>
    <t>Country/Region</t>
  </si>
  <si>
    <t>Mujika I.</t>
  </si>
  <si>
    <t>Using artificial intelligence for exercise prescription in personalised health promotion: A critical evaluation of OpenAI’s GPT-4 model</t>
  </si>
  <si>
    <t>Dergaa, I.| Saad, H.B.| El Omri, A.| Glenn, J.M.| Clark, C.C.T.| Washif, J.A.| Guelmami, N.| Hammouda, O.| Al-Horani, R.A.| Reynoso-Sánchez, L.F.| Romdhani, M.| Paineiras-Domingos, L.L.| Vancini, R.L.| Taheri, M.| Mataruna-Dos-Santos, L.J.| Trabelsi, K.| Chtourou, H.| Zghibi, M.| Eken, Ö.| Swed, S.| Aissa, M.B.| Shawki, H.H.| El-Seedi, H.R.| Mujika, I.| Seiler, S.| Zmijewski, P.| Pyne, D.B.| Knechtle, B.| Asif, I.M.| Drezner, J.A.| Sandbakk, Ø.| Chamari, K.</t>
  </si>
  <si>
    <t>Biology of Sport</t>
  </si>
  <si>
    <t>221-241</t>
  </si>
  <si>
    <t>ISSN-0860021X</t>
  </si>
  <si>
    <t>Institute of Sport</t>
  </si>
  <si>
    <t>English</t>
  </si>
  <si>
    <t>9.4</t>
  </si>
  <si>
    <t>3.0</t>
  </si>
  <si>
    <t>10.5114/biolsport.2024.133661</t>
  </si>
  <si>
    <t>Article</t>
  </si>
  <si>
    <t>2-s2.0-85188146191</t>
  </si>
  <si>
    <t>Hamad Medical Corporation| Jiangsu University| University of Canberra| University of Aleppo| University of Zurich| Universidad Finis Terrae| University of Genoa| Jozef Pilsudski University of Physical Education in Warsaw| University of Alabama at Birmingham| University of Manouba| Islamic University of Madinah| University of Agder| Birmingham City University| University of Sousse| Canadian University Dubai| Nagoya City University| University of Tehran| Université Paris Nanterre| Yarmouk University| Norwegian University of Science and Technology| Coventry University| Universidade Federal da Bahia| Inonu University| University of the Basque Country| University of Jendouba| University of Sfax| Universidade Federal do Espírito Santo| University of Washington</t>
  </si>
  <si>
    <t>60264454| 60064746| 60091664| 60279855| 60044627| 60058071| 60060593| 60072743| 60330445| 60100434| 60017326| 60090678| 60025153| 60017338| 60206635| 60042547| 60044065| 122712524| 60013710| 60028426| 60022927| 60105484| 60015585| 60072763| 60072762| 60004321| 60105081| 60017482| 60027856| 60105368| 60080184| 60010960| 60022193| 60012614| 60027086| 60119065| 60028548| 60015481| 60013141| 60070316| 60274653</t>
  </si>
  <si>
    <t>Primary Health Care Corporation| University of Sfax| Institut Supérieur du Sport et de l'Education Physique de Sfax| Institut Supérieur de Sport et de l´Education Physique du Kef| Hopital Farhat Hached Sousse| Université de Sousse| Faculty of Medicine sousse| Hamad Medical Corporation| Neurotrack Technologies, Inc.| Birmingham City University| Coventry University| Institut Sukan Negara Malaysia| Università degli Studi di Genova| Université Paris Nanterre| Laboratoire Interdisciplinaire en Neurosciences, Physiologie et Psychologie : Activité Physique, Santé et Apprentissages - LINP2| Faculty of Medicine of Sfax| Yarmouk University| Autonomous University of Occident| Universidade Federal da Bahia| Universidade Federal do Espírito Santo| University of Tehran| Canadian University Dubai| Inönü Üniversitesi| Aleppo Faculty of Medicine| University of Aleppo| Nagoya City University Graduate School of Medical Sciences| Islamic University of Madinah| Jiangsu University| Universidad del Pais Vasco| Universidad Finis Terrae| Universitetet i Agder| Akademia Wychowania Fizycznego Józefa Piłsudskiego w Warszawie| University of Canberra| Universität Zürich| The University of Alabama at Birmingham| UAB Department of Family and Community Medicine| University of Washington School of Medicine| University of Washington| Norges Teknisk-Naturvitenskapelige Universitet| Université de la Manouba| Institut Supérieur du Sport et de l'Education Physique de Ksar-Saïd</t>
  </si>
  <si>
    <t>United Arab Emirates| Chile| United Kingdom| Mexico| Spain| Japan| Syrian Arab Republic| Italy| France| Brazil| Qatar| Norway| China| Tunisia| Poland| Jordan| United States| Saudi Arabia| Turkey| Switzerland| Australia| Malaysia| Iran</t>
  </si>
  <si>
    <t>Fernández-Verdejo R.</t>
  </si>
  <si>
    <t>Fibro-adipogenic progenitors in physiological adipogenesis and intermuscular adipose tissue remodeling</t>
  </si>
  <si>
    <t>Flores-Opazo, M.| Kopinke, D.| Helmbacher, F.| Fernández-Verdejo, R.| Tuñón-Suárez, M.| Lynch, G.S.| Contreras, O.</t>
  </si>
  <si>
    <t>Molecular Aspects of Medicine</t>
  </si>
  <si>
    <t>-</t>
  </si>
  <si>
    <t>ISSN-00982997</t>
  </si>
  <si>
    <t>Elsevier Ltd</t>
  </si>
  <si>
    <t>18.2</t>
  </si>
  <si>
    <t>1.0</t>
  </si>
  <si>
    <t>10.1016/j.mam.2024.101277</t>
  </si>
  <si>
    <t>Review</t>
  </si>
  <si>
    <t>2-s2.0-85193826870</t>
  </si>
  <si>
    <t>Louisiana State University| Universidad de O'Higgins| University of Florida| LSU Pennington Biomedical Research Center| Aix-Marseille Université| CNRS| University of Melbourne| Universidad Finis Terrae| University of New South Wales| Victor Chang Cardiac Research Institute</t>
  </si>
  <si>
    <t>60157974| 60013959| 60007567| 60034123| 60102127| 60008134| 60021235| 60007566| 60105368| 60343000| 60343038| 60026553| 60028061| 60028333</t>
  </si>
  <si>
    <t>Universidad de O’Higgins| University of Florida| University of Florida College of Medicine| Institut de Biologie du Développement de Marseille| Aix Marseille Université| CNRS Centre National de la Recherche Scientifique| Pennington Biomedical Research Center| Louisiana State University| Universidad Finis Terrae| Department of Anatomy and Physiology| Centre for Muscle Research| University of Melbourne| Victor Chang Cardiac Research Institute| UNSW Sydney</t>
  </si>
  <si>
    <t>Chile| United States| Australia| France</t>
  </si>
  <si>
    <t>Tuñón-Suárez M.</t>
  </si>
  <si>
    <t>Chavez-Reyes A.</t>
  </si>
  <si>
    <t>Therapeutic Antisense Oligonucleotides in Oncology: From Bench to Bedside</t>
  </si>
  <si>
    <t>Çakan, E.| Lara, O.D.| Szymanowska, A.| Bayraktar, E.| Chavez-Reyes, A.| Lopez-Berestein, G.| Amero, P.| Rodriguez-Aguayo, C.</t>
  </si>
  <si>
    <t>Cancers</t>
  </si>
  <si>
    <t>ISSN-20726694</t>
  </si>
  <si>
    <t>Multidisciplinary Digital Publishing Institute (MDPI)</t>
  </si>
  <si>
    <t>8.8</t>
  </si>
  <si>
    <t>17.0</t>
  </si>
  <si>
    <t>10.3390/cancers16172940</t>
  </si>
  <si>
    <t>2-s2.0-85203665259</t>
  </si>
  <si>
    <t>University of Texas MD Anderson Cancer Center| Hacettepe University| University of North Carolina at Chapel Hill| Gaziantep University| Universidad Finis Terrae</t>
  </si>
  <si>
    <t>60015023| 60020484| 60025111| 60017595| 60105368</t>
  </si>
  <si>
    <t>The University of Texas MD Anderson Cancer Center| Hacettepe Üniversitesi| The University of North Carolina at Chapel Hill| Gaziantep Üniversitesi| Universidad Finis Terrae</t>
  </si>
  <si>
    <t>Chile| United States| Turkey</t>
  </si>
  <si>
    <t>Mayo B.</t>
  </si>
  <si>
    <t>Curcumin Administration Routes in Breast Cancer Treatment</t>
  </si>
  <si>
    <t>Mayo, B.| Penroz, S.| Torres, K.| Simón, L.</t>
  </si>
  <si>
    <t>International Journal of Molecular Sciences</t>
  </si>
  <si>
    <t>ISSN-16616596</t>
  </si>
  <si>
    <t>9.0</t>
  </si>
  <si>
    <t>10.0</t>
  </si>
  <si>
    <t>10.3390/ijms252111492</t>
  </si>
  <si>
    <t>2-s2.0-85208575143</t>
  </si>
  <si>
    <t>Universidad Finis Terrae</t>
  </si>
  <si>
    <t>Chile</t>
  </si>
  <si>
    <t>Penroz S.</t>
  </si>
  <si>
    <t>Torres K.</t>
  </si>
  <si>
    <t>Simón L.</t>
  </si>
  <si>
    <t>Fuentealba J.M.</t>
  </si>
  <si>
    <t>Management of alcohol use disorder: a gastroenterology and hepatology-focused perspective</t>
  </si>
  <si>
    <t>Díaz, L.A.| König, D.| Weber, S.| Ayares, G.| Fuentealba, J.M.| Vázquez, V.| Bataller, R.| Kamath, P.S.| Winder, G.S.| Leggio, L.| Arab, J.P.</t>
  </si>
  <si>
    <t>The Lancet Gastroenterology and Hepatology</t>
  </si>
  <si>
    <t>475-490</t>
  </si>
  <si>
    <t>ISSN-24681253</t>
  </si>
  <si>
    <t>64.3</t>
  </si>
  <si>
    <t>10.1016/S2468-1253(24)00380-7</t>
  </si>
  <si>
    <t>2-s2.0-86000364846</t>
  </si>
  <si>
    <t>National Institutes of Health| Medical University of Vienna| Mayo Clinic Rochester, MN| Centro de Investigación Biomédica en Red| Virginia Commonwealth University| Universidad Finis Terrae| University of Michigan, Ann Arbor| University of California at San Diego| Instituto de Salud Carlos III| Pontificia Universidad Católica de Chile| August Pi i Sunyer Biomedical Research Institute| Instituto Tecnologico de Estudios Superiores de Monterrey</t>
  </si>
  <si>
    <t>60029681| 60088718| 60030612| 60011394| 60105368| 60007966| 60001285| 60078879| 60010814| 60030315| 60005558| 60025778| 60033182| 60006577| 60020468| 60016730| 60010966</t>
  </si>
  <si>
    <t>Pontificia Universidad Católica de Chile| Escuela de Medicina| University of California, San Diego| Medizinische Universität Wien| Universidad Finis Terrae| Tecnológico de Monterrey| Escuela de Medicina y Ciencias de la Salud TecSalud| Centro de Investigación Biomédica en Red de Enfermedades Hepáticas y Digestivas| Institut d'Investigacions Biomèdiques August Pi i Sunyer - IDIBAPS| Hospital Clínic de Barcelona| Mayo Clinic| University of Michigan, Ann Arbor| University of Michigan Medical School| National Institutes of Health (NIH)| National Institute on Drug Abuse (NIDA)| National Institute on Alcohol Abuse and Alcoholism (NIAAA)| VCU School of Medicine</t>
  </si>
  <si>
    <t>Chile| Austria| Mexico| Spain| United States</t>
  </si>
  <si>
    <t>Hidalgo-Rosa Y.</t>
  </si>
  <si>
    <t>UiO-66(Zr) as drug delivery system for non-steroidal anti-inflammatory drugs</t>
  </si>
  <si>
    <t>Salazar, J.| Hidalgo-Rosa, Y.| Burboa, P.C.| Wu, Y.-N.| Escalona, N.| Leiva, A.| Zarate, X.| Schott, E.</t>
  </si>
  <si>
    <t>Journal of Controlled Release</t>
  </si>
  <si>
    <t>392-404</t>
  </si>
  <si>
    <t>ISSN-01683659</t>
  </si>
  <si>
    <t>Elsevier B.V.</t>
  </si>
  <si>
    <t>19.4</t>
  </si>
  <si>
    <t>2.0</t>
  </si>
  <si>
    <t>2.47</t>
  </si>
  <si>
    <t>10.1016/j.jconrel.2024.04.035</t>
  </si>
  <si>
    <t>2-s2.0-85192014123</t>
  </si>
  <si>
    <t>Universidad Autónoma de Chile| Ministerio de Planificación, Chile| Universidad Finis Terrae| Rutgers - The State University of New Jersey, New Brunswick| Pontificia Universidad Católica de Chile| Tongji University</t>
  </si>
  <si>
    <t>60029681| 60005208| 60073652| 60105371| 60281487| 60105368</t>
  </si>
  <si>
    <t>Pontificia Universidad Católica de Chile| Rutgers New Jersey Medical School| Tongji University| Universidad Autónoma de Chile| Núcleo Milenio en Procesos Catalíticos hacia la Química Sustentable| Universidad Finis Terrae</t>
  </si>
  <si>
    <t>Chile| China| United States</t>
  </si>
  <si>
    <t>Strauss F.J.</t>
  </si>
  <si>
    <t>Impact of keratinized mucosa on implant-health related parameters: A 10-year prospective re-analysis study</t>
  </si>
  <si>
    <t>Mancini, L.| Strauss, F.J.| Lim, H.-C.| Tavelli, L.| Jung, R.E.| Naenni, N.| Thoma, D.S.</t>
  </si>
  <si>
    <t>Clinical Implant Dentistry and Related Research</t>
  </si>
  <si>
    <t>554-563</t>
  </si>
  <si>
    <t>ISSN-15230899</t>
  </si>
  <si>
    <t>John Wiley and Sons Inc</t>
  </si>
  <si>
    <t>6.4</t>
  </si>
  <si>
    <t>7.0</t>
  </si>
  <si>
    <t>10.1111/cid.13314</t>
  </si>
  <si>
    <t>2-s2.0-85186625457</t>
  </si>
  <si>
    <t>Kyung Hee University| University of L'Aquila| Harvard University| University of Zurich| Universidad Finis Terrae| Yonsei University| Universidad de Chile</t>
  </si>
  <si>
    <t>60012614| 60018783| 127992824| 60105368| 60012464| 60001873| 60005856| 60115878</t>
  </si>
  <si>
    <t>Universität Zürich| Università degli Studi dell'Aquila| Center for Clinical Research and Evidence Synthesis in Oral Tissue Regeneration (CRITERION)| Universidad Finis Terrae| Universidad de Chile| Kyung Hee University| Harvard School of Dental Medicine| Yonsei University College of Dentistry</t>
  </si>
  <si>
    <t>Chile| South Korea| United States| Switzerland| Italy</t>
  </si>
  <si>
    <t>Yanine F.F.</t>
  </si>
  <si>
    <t>A comprehensive review of smart energy management systems for photovoltaic power generation utilizing the internet of things</t>
  </si>
  <si>
    <t>Rao, C.K.| Sahoo, S.K.| Yanine, F.F.</t>
  </si>
  <si>
    <t>Unconventional Resources</t>
  </si>
  <si>
    <t>ISSN-26665190</t>
  </si>
  <si>
    <t>KeAi Communications Co.</t>
  </si>
  <si>
    <t>25.0</t>
  </si>
  <si>
    <t>0.864</t>
  </si>
  <si>
    <t>10.1016/j.uncres.2025.100197</t>
  </si>
  <si>
    <t>2-s2.0-105004998221</t>
  </si>
  <si>
    <t>Biju Patnaik University of Technology| Universidad Finis Terrae| Aditya Institute of Technology and Management</t>
  </si>
  <si>
    <t>60077979| 60114758| 60114662| 60105368</t>
  </si>
  <si>
    <t>Biju Patnaik University of Technology| BPUT, Parala Maharaja Engineering College| Aditya Institute of Technology and Management| Universidad Finis Terrae</t>
  </si>
  <si>
    <t>Chile| India</t>
  </si>
  <si>
    <t>IoT enabled Intelligent Energy Management System employing advanced forecasting algorithms and load optimization strategies to enhance renewable energy generation</t>
  </si>
  <si>
    <t>Krishna Rao, C.| Sahoo, S.K.| Yanine, F.F.</t>
  </si>
  <si>
    <t>5.3</t>
  </si>
  <si>
    <t>29.0</t>
  </si>
  <si>
    <t>0.828</t>
  </si>
  <si>
    <t>10.1016/j.uncres.2024.100101</t>
  </si>
  <si>
    <t>2-s2.0-85200812969</t>
  </si>
  <si>
    <t>60114758| 60077979| 60114662| 60105368</t>
  </si>
  <si>
    <t>BPUT, Parala Maharaja Engineering College| Biju Patnaik University of Technology| Aditya Institute of Technology and Management| Universidad Finis Terrae</t>
  </si>
  <si>
    <t>Energy Expenditure in Humans: Principles, Methods, and Changes Throughout the Life Course</t>
  </si>
  <si>
    <t>Fernández-Verdejo, R.| Sanchez-Delgado, G.| Ravussin, E.</t>
  </si>
  <si>
    <t>Annual Review of Nutrition</t>
  </si>
  <si>
    <t>51-76</t>
  </si>
  <si>
    <t>ISSN-01999885</t>
  </si>
  <si>
    <t>Annual Reviews Inc.</t>
  </si>
  <si>
    <t>22.3</t>
  </si>
  <si>
    <t>10.1146/annurev-nutr-062122-031443</t>
  </si>
  <si>
    <t>2-s2.0-85202905959</t>
  </si>
  <si>
    <t>Louisiana State University| LSU Pennington Biomedical Research Center| Centro de Investigación Biomédica en Red| Université de Sherbrooke| Universidad Finis Terrae| Instituto de Salud Carlos III| University of Granada</t>
  </si>
  <si>
    <t>60021235| 60007566| 60105368| 60027844| 60001602| 60104562| 60104563| 60011832| 60004772| 114245405</t>
  </si>
  <si>
    <t>Pennington Biomedical Research Center| Louisiana State University| Universidad Finis Terrae| Universidad de Granada| Instituto de Salud Carlos III| Centro de Investigación Biomédica en Red| Centro de Investigación Biomédica en Red-Fisiopatología de la Obesidad y Nutrición| Université de Sherbrooke| Centre Hospitalier Universitaire de Sherbrooke| Instituto de Investigación Biosanitaria ibs.GRANADA</t>
  </si>
  <si>
    <t>Chile| Spain| United States| Canada</t>
  </si>
  <si>
    <t>Henríquez-Olguín C.</t>
  </si>
  <si>
    <t>Reducing the mitochondrial oxidative burden alleviates lipid-induced muscle insulin resistance in humans</t>
  </si>
  <si>
    <t>Fiorenza, M.| Onslev, J.| Henríquez-Olguín, C.| Persson, K.W.| Hesselager, S.A.| Jensen, T.E.| Wojtaszewski, J.F.P.| Hostrup, M.| Bangsbo, J.</t>
  </si>
  <si>
    <t>System.Xml.XmlElement</t>
  </si>
  <si>
    <t>ISSN-23752548</t>
  </si>
  <si>
    <t>American Association for the Advancement of Science</t>
  </si>
  <si>
    <t>19.6</t>
  </si>
  <si>
    <t>4.0</t>
  </si>
  <si>
    <t>10.1126/sciadv.adq4461</t>
  </si>
  <si>
    <t>2-s2.0-85208163795</t>
  </si>
  <si>
    <t>University of Copenhagen| Universidad Finis Terrae</t>
  </si>
  <si>
    <t>60030840| 60105368</t>
  </si>
  <si>
    <t>Københavns Universitet| Universidad Finis Terrae</t>
  </si>
  <si>
    <t>Chile| Denmark</t>
  </si>
  <si>
    <t>Salas-Guzmán N.</t>
  </si>
  <si>
    <t>STEM and gender gap: a systematic review in WoS, Scopus, and ERIC databases (2012–2022)</t>
  </si>
  <si>
    <t>Beroíza-Valenzuela, F.| Salas-Guzmán, N.</t>
  </si>
  <si>
    <t>Frontiers in Education</t>
  </si>
  <si>
    <t>ISSN-2504284X</t>
  </si>
  <si>
    <t>Frontiers Media SA</t>
  </si>
  <si>
    <t>3.7</t>
  </si>
  <si>
    <t>0.65</t>
  </si>
  <si>
    <t>10.3389/feduc.2024.1378640</t>
  </si>
  <si>
    <t>2-s2.0-85193689500</t>
  </si>
  <si>
    <t>Universidad Finis Terrae| Universidad de Chile| Universidad Metropolitana de Ciencias de la Educación</t>
  </si>
  <si>
    <t>60003126| 60012464| 60105368</t>
  </si>
  <si>
    <t>Universidad Metropolitana de Ciencias de la Educación| Universidad de Chile| Universidad Finis Terrae</t>
  </si>
  <si>
    <t>An IoT-based intelligent smart energy monitoring system for solar PV power generation</t>
  </si>
  <si>
    <t>Energy Harvesting and Systems</t>
  </si>
  <si>
    <t>ISSN-23298774</t>
  </si>
  <si>
    <t>Walter de Gruyter GmbH</t>
  </si>
  <si>
    <t>3.8</t>
  </si>
  <si>
    <t>40.0</t>
  </si>
  <si>
    <t>0.358</t>
  </si>
  <si>
    <t>10.1515/ehs-2023-0015</t>
  </si>
  <si>
    <t>2-s2.0-85175966754</t>
  </si>
  <si>
    <t>Morales J.-P.</t>
  </si>
  <si>
    <t>Interoceptive awareness in a clinical setting: the need to bring interoceptive perspectives into clinical evaluation</t>
  </si>
  <si>
    <t>Solano Durán, P.| Morales, J.-P.| Huepe, D.</t>
  </si>
  <si>
    <t>Frontiers in Psychology</t>
  </si>
  <si>
    <t>ISSN-16641078</t>
  </si>
  <si>
    <t>6.3</t>
  </si>
  <si>
    <t>0.872</t>
  </si>
  <si>
    <t>10.3389/fpsyg.2024.1244701</t>
  </si>
  <si>
    <t>Short Survey</t>
  </si>
  <si>
    <t>2-s2.0-85196854825</t>
  </si>
  <si>
    <t>The University of Sydney| Costa Rica Institute of Technology| Universidad Adolfo Ibáñez| Universidad Finis Terrae</t>
  </si>
  <si>
    <t>60003942| 60099123| 60105368| 60212023</t>
  </si>
  <si>
    <t>Universidad Adolfo Ibáñez| Instituto Tecnológico de Costa Rica| Universidad Finis Terrae| The University of Sydney Business School</t>
  </si>
  <si>
    <t>Chile| Costa Rica| Australia</t>
  </si>
  <si>
    <t>De la Fuente M.</t>
  </si>
  <si>
    <t>Liver X receptor unlinks intestinal regeneration and tumorigenesis</t>
  </si>
  <si>
    <t>Das, S.| Parigi, S.M.| Luo, X.| Fransson, J.| Kern, B.C.| Okhovat, A.| Diaz, O.E.| Sorini, C.| Czarnewski, P.| Webb, A.T.| Morales, R.A.| Lebon, S.| Monasterio, G.| Castillo, F.| Tripathi, K.P.| He, N.| Pelczar, P.| Schaltenberg, N.| De la Fuente, M.| López-Köstner, F.| Nylén, S.| Larsen, H.L.| Kuiper, R.| Antonson, P.| Hermoso, M.A.| Huber, S.| Biton, M.| Scharaw, S.| Gustafsson, J.-Å.| Katajisto, P.| Villablanca, E.J.</t>
  </si>
  <si>
    <t>Nature</t>
  </si>
  <si>
    <t>1198-1206</t>
  </si>
  <si>
    <t>ISSN-00280836</t>
  </si>
  <si>
    <t>Nature Research</t>
  </si>
  <si>
    <t>77.7</t>
  </si>
  <si>
    <t>10.1038/s41586-024-08247-6</t>
  </si>
  <si>
    <t>2-s2.0-85209738764</t>
  </si>
  <si>
    <t>Uppsala University| Karolinska Institutet| Novo Nordisk Foundation| Max Planck Institute of Molecular Cell Biology and Genetics| Universidad Finis Terrae| KTH Royal Institute of Technology| University of Helsinki| University of Houston| Clínica Las Condes| National Veterinary Institute Norway| Weizmann Institute of Science| Stockholm University| University of Copenhagen| University of Hamburg| Rockefeller University| Universidad de los Andes Mérida| Universidad de Chile</t>
  </si>
  <si>
    <t>60012311| 100803701| 60028378| 60237270| 60017563| 60005036| 60017912| 60105368| 60002946| 60012464| 60002439| 60030840| 60006179| 60022237| 60151391| 60005837| 60002952| 60022076| 60019295| 60026827| 60000456</t>
  </si>
  <si>
    <t>Karolinska Institutet| Center of Molecular Medicine| Stockholms universitet| Science for Life Laboratory| Weizmann Institute of Science Israel| Universitätsklinikum Hamburg-Eppendorf| Clínica Las Condes| Universidad Finis Terrae| Facultad de Medicina de la Universidad de Chile| Universidad de Chile| Universidad De Los Andes, Merida| Københavns Universitet| Novo Nordisk A/S| Veterinærinstituttet| College of Natural Sciences and Mathematics| University of Houston| Helsingin Yliopisto| Institute of Biotechnology| Karolinska Universitetssjukhuset| Rockefeller University| Max Planck Institute of Molecular Cell Biology and Genetics</t>
  </si>
  <si>
    <t>Chile| Norway| Israel| Finland| United States| Germany| Denmark| Venezuela| Sweden</t>
  </si>
  <si>
    <t>Benites M.H.</t>
  </si>
  <si>
    <t>Ventilation-induced acute kidney injury in acute respiratory failure: Do PEEP levels matter?</t>
  </si>
  <si>
    <t>Benites, M.H.| Suarez-Sipmann, F.| Kattan, E.| Cruces, P.| Retamal, J.</t>
  </si>
  <si>
    <t>Critical Care</t>
  </si>
  <si>
    <t>ISSN-13648535</t>
  </si>
  <si>
    <t>BioMed Central Ltd</t>
  </si>
  <si>
    <t>16.0</t>
  </si>
  <si>
    <t>10.1186/s13054-025-05343-5</t>
  </si>
  <si>
    <t>2-s2.0-105000547419</t>
  </si>
  <si>
    <t>Uppsala University| Hospital Universitario de la Princesa| Universidad Andrés Bello| Centro de Investigación Biomédica en Red| Universidad Finis Terrae| Clínica Las Condes| Instituto de Salud Carlos III| Pontificia Universidad Católica de Chile</t>
  </si>
  <si>
    <t>60017912| 60105368| 60088718| 60029681| 60102756| 60001602| 60024257| 60003858| 60002636| 60281764| 60281394</t>
  </si>
  <si>
    <t>Clínica Las Condes| Universidad Finis Terrae| Escuela de Medicina| Pontificia Universidad Católica de Chile| Centro de Investigación Biomédica en Red de Enfermedades Respiratorias| Instituto de Salud Carlos III| Hospital Universitario de la Princesa| Uppsala Universitet| Universidad Andrés Bello| Facultad de Ciencias de la Vida| Hospital El Carmen Dr. Luis Valentín Ferrada</t>
  </si>
  <si>
    <t>Chile| Spain| Sweden</t>
  </si>
  <si>
    <t>Is all work the same? Performance after accumulated work of differing intensities in male professional cyclists</t>
  </si>
  <si>
    <t>Mateo-March, M.| Leo, P.| Muriel, X.| Javaloyes, A.| Mujika, I.| Barranco-Gil, D.| Pallarés, J.G.| Lucia, A.| Valenzuela, P.L.</t>
  </si>
  <si>
    <t>Journal of Science and Medicine in Sport</t>
  </si>
  <si>
    <t>430-434</t>
  </si>
  <si>
    <t>ISSN-14402440</t>
  </si>
  <si>
    <t>6.9</t>
  </si>
  <si>
    <t>8.0</t>
  </si>
  <si>
    <t>10.1016/j.jsams.2024.03.005</t>
  </si>
  <si>
    <t>2-s2.0-85189967168</t>
  </si>
  <si>
    <t>Miguel Hernández University| University of Alcalá| Universidad Finis Terrae| University of Innsbruck| Universidad Europea de Madrid| Hospital Universitario 12 de Octubre| University of the Basque Country| University of Murcia| Universidad Europea</t>
  </si>
  <si>
    <t>60029767| 60028356| 60009999| 60000130| 60027856| 60105368| 60004024| 60027800</t>
  </si>
  <si>
    <t>Universidad Miguel Hernández de Elche| Universidad Europea de Madrid| Universität Innsbruck| Universidad de Murcia| Universidad del Pais Vasco| Universidad Finis Terrae| Hospital Universitario 12 de Octubre| Universidad de Alcalá</t>
  </si>
  <si>
    <t>Chile| Austria| Spain</t>
  </si>
  <si>
    <t>Ayares G.</t>
  </si>
  <si>
    <t>MetALD: New Perspectives on an Old Overlooked Disease</t>
  </si>
  <si>
    <t>Ayares, G.| Diaz, L.A.| Idalsoaga, F.| Alkhouri, N.| Noureddin, M.| Bataller, R.| Loomba, R.| Arab, J.P.| Arrese, M.</t>
  </si>
  <si>
    <t>Liver International</t>
  </si>
  <si>
    <t>ISSN-14783223</t>
  </si>
  <si>
    <t>10.3</t>
  </si>
  <si>
    <t>10.1111/liv.70017</t>
  </si>
  <si>
    <t>2-s2.0-105002132315</t>
  </si>
  <si>
    <t>Houston Methodist| Virginia Commonwealth University| Universidad Finis Terrae| University of California at San Diego| Pontificia Universidad Católica de Chile| August Pi i Sunyer Biomedical Research Institute| Western University</t>
  </si>
  <si>
    <t>60088718| 60029681| 60105368| 60030612| 60031619| 60010884| 60310400| 125289235| 60014933| 60010814| 60030315| 60002476</t>
  </si>
  <si>
    <t>Escuela de Medicina| Pontificia Universidad Católica de Chile| Universidad Finis Terrae| University of California, San Diego| Schulich School of Medicine &amp; Dentistry| Western University| London Health Sciences Centre Research Institute| Arizona Liver Health| Houston Methodist Hospital| Institut d'Investigacions Biomèdiques August Pi i Sunyer - IDIBAPS| Hospital Clínic de Barcelona| Virginia Commonwealth University</t>
  </si>
  <si>
    <t>Mariotti-Celis M.S.</t>
  </si>
  <si>
    <t>Exploring a Sustainable Process for Polyphenol Extraction from Olive Leaves</t>
  </si>
  <si>
    <t>Huamán-Castilla, N.L.| Díaz Huamaní, K.S.| Palomino Villegas, Y.C.| Allcca-Alca, E.E.| León-Calvo, N.C.| Colque Ayma, E.J.| Zirena Vilca, F.| Mariotti-Celis, M.S.</t>
  </si>
  <si>
    <t>Foods</t>
  </si>
  <si>
    <t>ISSN-23048158</t>
  </si>
  <si>
    <t>8.7</t>
  </si>
  <si>
    <t>10.3390/foods13020265</t>
  </si>
  <si>
    <t>2-s2.0-85183352428</t>
  </si>
  <si>
    <t>Universidad Nacional de Moquegua| Universidad Finis Terrae</t>
  </si>
  <si>
    <t>60122402| 60105368</t>
  </si>
  <si>
    <t>Chile| Peru</t>
  </si>
  <si>
    <t>Orellana-Donoso M.</t>
  </si>
  <si>
    <t>Effectiveness of DASH Diet versus Other Diet Modalities in Patients with Metabolic Syndrome: A Systematic Review and Meta-Analysis</t>
  </si>
  <si>
    <t>Valenzuela-Fuenzalida, J.J.| Bravo, V.S.| Valarezo, L.M.| Delgado Retamal, M.F.| Leiva, J.M.| Bruna-Mejías, A.| Nova-Baeza, P.| Orellana-Donoso, M.| Suazo-Santibañez, A.| Oyanedel-Amaro, G.| Gutierrez-Espinoza, H.</t>
  </si>
  <si>
    <t>ISSN-20726643</t>
  </si>
  <si>
    <t>9.1</t>
  </si>
  <si>
    <t>12.0</t>
  </si>
  <si>
    <t>10.3390/nu16183054</t>
  </si>
  <si>
    <t>2-s2.0-85205078698</t>
  </si>
  <si>
    <t>Universidad de las Américas - Chile| Universidad de las Américas - Ecuador| Universidad Andrés Bello| Universidad Autónoma de Chile| Universidad Finis Terrae| Universidad Bernardo O'Higgins</t>
  </si>
  <si>
    <t>60002636| 60105370| 60105368| 60105362| 60105371| 60104441</t>
  </si>
  <si>
    <t>Universidad Andrés Bello| Universidad Bernardo O'Higgins| Universidad Finis Terrae| Universidad de Las Américas Chile| Universidad Autónoma de Chile| Universidad de las Americas - Ecuador</t>
  </si>
  <si>
    <t>Chile| Ecuador</t>
  </si>
  <si>
    <t>Design and deployment of a novel decisive algorithm to enable real-time optimal load scheduling within an intelligent smart energy management system based on IoT</t>
  </si>
  <si>
    <t>Energy Reports</t>
  </si>
  <si>
    <t>579-592</t>
  </si>
  <si>
    <t>ISSN-23524847</t>
  </si>
  <si>
    <t>11.7</t>
  </si>
  <si>
    <t>19.0</t>
  </si>
  <si>
    <t>10.1016/j.egyr.2024.06.030</t>
  </si>
  <si>
    <t>2-s2.0-85196976775</t>
  </si>
  <si>
    <t>Santos M.</t>
  </si>
  <si>
    <t>Subversive affordances as a form of digital transnational activism: The case of Telegram’s native proxy</t>
  </si>
  <si>
    <t>Santos, M.| Saldaña, M.| Tsyganova, K.</t>
  </si>
  <si>
    <t>New Media and Society</t>
  </si>
  <si>
    <t>131-153</t>
  </si>
  <si>
    <t>ISSN-14614448</t>
  </si>
  <si>
    <t>SAGE Publications Ltd</t>
  </si>
  <si>
    <t>13.7</t>
  </si>
  <si>
    <t>2.4</t>
  </si>
  <si>
    <t>10.1177/14614448211054830</t>
  </si>
  <si>
    <t>2-s2.0-85118540330</t>
  </si>
  <si>
    <t>St. Petersburg State University| Ministerio de Planificación, Chile| Universidad Finis Terrae| Pontificia Universidad Católica de Chile</t>
  </si>
  <si>
    <t>60105368| 60029681| 60031888| 60281481</t>
  </si>
  <si>
    <t>Universidad Finis Terrae| Pontificia Universidad Católica de Chile| Saint Petersburg State University| Instituto Milenio Fundamentos de los Datos</t>
  </si>
  <si>
    <t>Chile| Russian Federation</t>
  </si>
  <si>
    <t>Henriquez-Olguín C.</t>
  </si>
  <si>
    <t>NAD depletion in skeletal muscle does not compromise muscle function or accelerate aging</t>
  </si>
  <si>
    <t>Chubanava, S.| Karavaeva, I.| Ehrlich, A.M.| Justicia, R.M.| Basse, A.L.| Kulik, I.| Dalbram, E.| Ahwazi, D.| Heaselgrave, S.R.| Trošt, K.| Stocks, B.| Hodek, O.| Rodrigues, R.N.| Havelund, J.F.| Schlabs, F.L.| Larsen, S.| Yonamine, C.Y.| Henriquez-Olguín, C.| Giustarini, D.| Rossi, R.| Gerhart-Hines, Z.| Moritz, T.| Zierath, J.R.| Sakamoto, K.| Jensen, T.E.| Færgeman, N.J.| Lavery, G.G.| Deshmukh, A.S.| Treebak, J.T.</t>
  </si>
  <si>
    <t>Cell Metabolism</t>
  </si>
  <si>
    <t>1460-1481.e17</t>
  </si>
  <si>
    <t>ISSN-15504131</t>
  </si>
  <si>
    <t>Cell Press</t>
  </si>
  <si>
    <t>54.1</t>
  </si>
  <si>
    <t>10.1016/j.cmet.2025.04.002</t>
  </si>
  <si>
    <t>2-s2.0-105005519883</t>
  </si>
  <si>
    <t>University of Birmingham| Medical University of Białystok| University of Siena| University of Copenhagen| University of Southern Denmark| Karolinska Institutet| Nottingham Trent University| Universidad Finis Terrae| Swedish University of Agricultural Sciences</t>
  </si>
  <si>
    <t>60030840| 60013332| 60253102| 100491300| 60019702| 60027152| 60019160| 60026724| 60105368| 60002838| 60012311| 60006029</t>
  </si>
  <si>
    <t>Københavns Universitet| Det Sundhedsvidenskabelige Fakultet| Novo Nordisk Foundation Center for Basic Metabolic Research| Diabetes Center| University of Birmingham| Sveriges lantbruksuniversitet| Syddansk Universitet| Uniwersytet Medyczny w Bialymstoku| Universidad Finis Terrae| Università degli Studi di Siena| Karolinska Institutet| Nottingham Trent University</t>
  </si>
  <si>
    <t>Chile| United Kingdom| Poland| Germany| Denmark| Italy| Sweden</t>
  </si>
  <si>
    <t>Lucero-Mora J.</t>
  </si>
  <si>
    <t>Antimicrobial Effect of Copper Nanoparticles on Relevant Supragingival Oral Bacteria</t>
  </si>
  <si>
    <t>Oetiker, N.| Salinas, D.| Lucero-Mora, J.| Orellana, R.| Quiroz-Muñoz, M.| Bravo, D.| Pérez-Donoso, J.M.</t>
  </si>
  <si>
    <t>Microorganisms</t>
  </si>
  <si>
    <t>ISSN-20762607</t>
  </si>
  <si>
    <t>7.7</t>
  </si>
  <si>
    <t>22.0</t>
  </si>
  <si>
    <t>10.3390/microorganisms12030624</t>
  </si>
  <si>
    <t>2-s2.0-85189080106</t>
  </si>
  <si>
    <t>Universidad de Santiago de Chile| Universidad Andrés Bello| Universidad Finis Terrae| Universidad de Chile</t>
  </si>
  <si>
    <t>60281764| 60002636| 60012464| 60105368| 60023383</t>
  </si>
  <si>
    <t>Facultad de Ciencias de la Vida| Universidad Andrés Bello| Universidad de Chile| Universidad Finis Terrae| Universidad de Santiago de Chile</t>
  </si>
  <si>
    <t>Development of a smart cloud-based monitoring system for solar photovoltaic energy generation</t>
  </si>
  <si>
    <t>10.1016/j.uncres.2025.100173</t>
  </si>
  <si>
    <t>2-s2.0-105001709998</t>
  </si>
  <si>
    <t>60114662| 60114758| 60077979| 60105368</t>
  </si>
  <si>
    <t>Aditya Institute of Technology and Management| BPUT, Parala Maharaja Engineering College| Biju Patnaik University of Technology| Universidad Finis Terrae</t>
  </si>
  <si>
    <t>Morales-Guevara R.</t>
  </si>
  <si>
    <t>Synthesis, Physicochemical Characterization, and Antimicrobial Evaluation of Halogen-Substituted Non-Metal Pyridine Schiff Bases</t>
  </si>
  <si>
    <t>Carreño, A.| Morales-Guevara, R.| Cepeda-Plaza, M.| Páez-Hernández, D.| Preite, M.| Polanco, R.| Barrera, B.| Fuentes, I.| Marchant, P.| Fuentes, J.A.</t>
  </si>
  <si>
    <t>Molecules</t>
  </si>
  <si>
    <t>ISSN-14203049</t>
  </si>
  <si>
    <t>8.6</t>
  </si>
  <si>
    <t>13.0</t>
  </si>
  <si>
    <t>0.865</t>
  </si>
  <si>
    <t>10.3390/molecules29194726</t>
  </si>
  <si>
    <t>2-s2.0-85206501956</t>
  </si>
  <si>
    <t>Universidad de Santiago de Chile| Universidad Santo Tomás, Santiago| Universidad Andrés Bello| Universidad Finis Terrae| Pontificia Universidad Católica de Chile</t>
  </si>
  <si>
    <t>60002636| 60023383| 60105368| 60029681| 60281764| 60009128</t>
  </si>
  <si>
    <t>Universidad Andrés Bello| Universidad de Santiago de Chile| Universidad Finis Terrae| Pontificia Universidad Católica de Chile| Facultad de Ciencias de la Vida| Universidad Santo Tomas, Santiago</t>
  </si>
  <si>
    <t>What Is “Zone 2 Training”?: Experts’ Viewpoint on Definition, Training Methods, and Expected Adaptations</t>
  </si>
  <si>
    <t>Sitko, S.| Artetxe, X.| Bonnevie-Svendsen, M.| Galán-Rioja, M.Á.| Gallo, G.| Grappe, F.| Leo, P.| Mateo, M.| Mujika, I.| Sanders, D.| Seiler, S.| Zabala, M.| Valenzuela, P.L.| Viribay, A.</t>
  </si>
  <si>
    <t>International Journal of Sports Physiology and Performance</t>
  </si>
  <si>
    <t>1614-1617</t>
  </si>
  <si>
    <t>ISSN-15550265</t>
  </si>
  <si>
    <t>Human Kinetics Publishers Inc.</t>
  </si>
  <si>
    <t>7.5</t>
  </si>
  <si>
    <t>10.1123/ijspp.2024-0303</t>
  </si>
  <si>
    <t>2-s2.0-105019666650</t>
  </si>
  <si>
    <t>University of Oslo| University of Leon| Groupama| Maastricht University| Adelaide University| University of Alcalá| University of Genoa| University of Innsbruck| Universidad Finis Terrae| University of Zaragoza| University of Granada| University of the Basque Country| Hospital Universitario 12 de Octubre| University of Agder| Miguel Hernández University| Universidad Europea de Madrid| University of Castilla-La Mancha| Universidad Internacional de La Rioja| Universidad Europea</t>
  </si>
  <si>
    <t>60016809| 60027856| 60010348| 60003938| 60000823| 60104175| 60025153| 60025532| 60009999| 60031846| 60028356| 60029767| 60105368| 60018869| 60080184| 60027844| 60004024| 60027800| 131511690| 60020657</t>
  </si>
  <si>
    <t>Universidad de Zaragoza| Universidad del Pais Vasco| Universitetet i Oslo| Medisinske Fakultet| Universidad de Castilla-La Mancha| International University of La Rioja| Università degli Studi di Genova| Groupama| Universität Innsbruck| University of South Australia| Universidad Europea de Madrid| Universidad Miguel Hernández de Elche| Universidad Finis Terrae| Universiteit Maastricht| Universitetet i Agder| Universidad de Granada| Hospital Universitario 12 de Octubre| Universidad de Alcalá| Glut4Science| Universidad de León</t>
  </si>
  <si>
    <t>Austria| Chile| Norway| Spain| Australia| France| Italy| Netherlands</t>
  </si>
  <si>
    <t>Díaz-Castro F.</t>
  </si>
  <si>
    <t>A single bout of resistance exercise triggers mitophagy, potentially involving the ejection of mitochondria in human skeletal muscle</t>
  </si>
  <si>
    <t>Díaz-Castro, F.| Tuñón-Suárez, M.| Rivera, P.| Botella, J.| Cancino, J.| Figueroa, A.M.| Gutiérrez, J.| Cantin, C.| Deldicque, L.| Zbinden-Foncea, H.| Nielsen, J.| Henríquez-Olguín, C.| Morselli, E.| Castro-Sepúlveda, M.</t>
  </si>
  <si>
    <t>Acta Physiologica</t>
  </si>
  <si>
    <t>ISSN-17481708</t>
  </si>
  <si>
    <t>9.5</t>
  </si>
  <si>
    <t>11.0</t>
  </si>
  <si>
    <t>10.1111/apha.14203</t>
  </si>
  <si>
    <t>2-s2.0-85198729088</t>
  </si>
  <si>
    <t>Université catholique de Louvain| University of Lausanne| University of Copenhagen| Francisco de Vitoria University| University of Southern Denmark| Universidad San Sebastián| Universidad Finis Terrae| Pontificia Universidad Católica de Chile</t>
  </si>
  <si>
    <t>60105368| 60029681| 60000636| 60023561| 60000874| 60108692| 60019160| 60030840</t>
  </si>
  <si>
    <t>Universidad Finis Terrae| Pontificia Universidad Católica de Chile| Universidad San Sebastián| Centre Hospitalier Universitaire Vaudois| UCLouvain| Universidad Francisco de Vitoria| Syddansk Universitet| Københavns Universitet</t>
  </si>
  <si>
    <t>Belgium| Chile| Spain| Switzerland| Denmark</t>
  </si>
  <si>
    <t>Cancino J.</t>
  </si>
  <si>
    <t>Figueroa A.M.</t>
  </si>
  <si>
    <t>Gutiérrez J.</t>
  </si>
  <si>
    <t>Zbinden-Foncea H.</t>
  </si>
  <si>
    <t>Castro-Sepúlveda M.</t>
  </si>
  <si>
    <t>Hartmann Schatloff D.</t>
  </si>
  <si>
    <t>The role of excimer light in dermatology: a review</t>
  </si>
  <si>
    <t>Hartmann Schatloff, D.| Retamal Altbir, C.| Valenzuela, F.</t>
  </si>
  <si>
    <t>Anais Brasileiros de Dermatologia</t>
  </si>
  <si>
    <t>887-894</t>
  </si>
  <si>
    <t>ISSN-03650596</t>
  </si>
  <si>
    <t>Elsevier Espana S.L.U</t>
  </si>
  <si>
    <t>2.5</t>
  </si>
  <si>
    <t>48.0</t>
  </si>
  <si>
    <t>0.585</t>
  </si>
  <si>
    <t>10.1016/j.abd.2023.12.007</t>
  </si>
  <si>
    <t>2-s2.0-85200534575</t>
  </si>
  <si>
    <t>Universidad Finis Terrae| Universidad de Chile</t>
  </si>
  <si>
    <t>60105368| 60012464| 60002946| 60011682</t>
  </si>
  <si>
    <t>Universidad Finis Terrae| Universidad de Chile| Facultad de Medicina de la Universidad de Chile| Hospital Clínico Universidad De Chile</t>
  </si>
  <si>
    <t>Reduced C-reactive protein levels after root canal treatment in clinically healthy young apical periodontitis individuals at cardiovascular risk. A prospective study</t>
  </si>
  <si>
    <t>Garrido, M.| Bordagaray, M.J.| Schweitzer, C.| Lucero-Mora, J.| Reyes, M.| Pellegrini, E.| Hernández-Ríos, P.| Fernández, A.| Hernández, M.</t>
  </si>
  <si>
    <t>International Endodontic Journal</t>
  </si>
  <si>
    <t>406-415</t>
  </si>
  <si>
    <t>ISSN-01432885</t>
  </si>
  <si>
    <t>12.3</t>
  </si>
  <si>
    <t>10.1111/iej.14029</t>
  </si>
  <si>
    <t>2-s2.0-85182858698</t>
  </si>
  <si>
    <t>Universidad Andrés Bello| Universidad Finis Terrae| Universidad de Chile</t>
  </si>
  <si>
    <t>60012464| 60105368| 60002636</t>
  </si>
  <si>
    <t>Universidad de Chile| Universidad Finis Terrae| Universidad Andrés Bello</t>
  </si>
  <si>
    <t>The mitochondrial mRNA-stabilizing protein SLIRP regulates skeletal muscle mitochondrial structure and respiration by exercise-recoverable mechanisms</t>
  </si>
  <si>
    <t>Pham, T.C.P.| Raun, S.H.| Havula, E.| Henriquez-Olguín, C.| Rubalcava-Gracia, D.| Frank, E.| Fritzen, A.M.| Jannig, P.R.| Andersen, N.R.| Kruse, R.| Ali, M.S.| Irazoki, A.| Halling, J.F.| Ringholm, S.| Needham, E.J.| Hansen, S.| Lemminger, A.K.| Schjerling, P.| Petersen, M.H.| de Almeida, M.E.| Jensen, T.E.| Kiens, B.| Hostrup, M.| Larsen, S.| Ørtenblad, N.| Højlund, K.| Kjær, M.| Ruas, J.L.| Trifunovic, A.| Wojtaszewski, J.F.P.| Nielsen, J.| Qvortrup, K.| Pilegaard, H.| Richter, E.A.| Sylow, L.</t>
  </si>
  <si>
    <t>ISSN-20411723</t>
  </si>
  <si>
    <t>23.4</t>
  </si>
  <si>
    <t>10.1038/s41467-024-54183-4</t>
  </si>
  <si>
    <t>2-s2.0-85209230270</t>
  </si>
  <si>
    <t>The University of Sydney| University of Cologne| Medical University of Białystok| University of Copenhagen| University of Southern Denmark| Karolinska Institutet| Novo Nordisk Foundation| Universidad Finis Terrae| Max Planck Institute for Metabolism Research| University of Helsinki</t>
  </si>
  <si>
    <t>60030840| 60013332| 60029080| 60002952| 60105368| 60012311| 60015591| 60016428| 60025709| 60010710| 60025840| 60019160| 60026724| 60204358| 60024025| 60122634</t>
  </si>
  <si>
    <t>Københavns Universitet| Det Sundhedsvidenskabelige Fakultet| Lääketieteellinen Tiedekunta| Helsingin Yliopisto| Universidad Finis Terrae| Karolinska Institutet| Odense Universitetshospital| Steno Diabetes Center Copenhagen| The University of Sydney| Faculty of Medicine and Health| Bispebjerg Hospital| Syddansk Universitet| Uniwersytet Medyczny w Bialymstoku| Medizinische Fakultät| Universität zu Köln| CECAD Exzellant in Alternsforschung</t>
  </si>
  <si>
    <t>Chile| Finland| Poland| Germany| Australia| Denmark| Sweden</t>
  </si>
  <si>
    <t>Murray N.P.</t>
  </si>
  <si>
    <t>The role of matrix metalloproteinase-2 in the metastatic cascade: a review</t>
  </si>
  <si>
    <t>Murray, N.P.</t>
  </si>
  <si>
    <t>Oncologie</t>
  </si>
  <si>
    <t>27-40</t>
  </si>
  <si>
    <t>ISSN-12923818</t>
  </si>
  <si>
    <t>64.0</t>
  </si>
  <si>
    <t>10.1515/oncologie-2023-0368</t>
  </si>
  <si>
    <t>2-s2.0-85183026431</t>
  </si>
  <si>
    <t>60105368| 60281395</t>
  </si>
  <si>
    <t>Universidad Finis Terrae| Hospital de Carabineros de Chile</t>
  </si>
  <si>
    <t>Dreyse J.</t>
  </si>
  <si>
    <t>Rate of severe exacerbations, healthcare resource utilisation and clinical outcomes in patients with COPD in low-income and middle-income countries: results from the EXACOS International Study</t>
  </si>
  <si>
    <t>Athanazio, R.A.| Villada, L.B.| Avdeev, S.N.| Wang, H.-C.| Ramírez-Venegas, A.| Sivori, M.| Dreyse, J.| Pacheco, M.| Man, S.K.| Noriega-Aguirre, L.| Farouk, H.</t>
  </si>
  <si>
    <t>BMJ Open Respiratory Research</t>
  </si>
  <si>
    <t>ISSN-20524439</t>
  </si>
  <si>
    <t>BMJ Publishing Group</t>
  </si>
  <si>
    <t>5.7</t>
  </si>
  <si>
    <t>27.0</t>
  </si>
  <si>
    <t>10.1136/bmjresp-2023-002101</t>
  </si>
  <si>
    <t>2-s2.0-85191103643</t>
  </si>
  <si>
    <t>Sechenov First Moscow State Medical University| AstraZeneca| Universidad Tecnológica de Pereira| Universidad Finis Terrae| Universidade de São Paulo| Instituto Nacional de Enfermedades Respiratorias| Clínica Las Condes| Fundación Universitaria Autónoma de las Américas| National Taiwan University| Universidad de Buenos Aires| Tuen Mun Hospital</t>
  </si>
  <si>
    <t>60008088| 60386097| 60010188| 60005429| 60025370| 60073385| 60008205| 60001563| 60017912| 60105368| 60077377| 60112679| 60000139| 131184358</t>
  </si>
  <si>
    <t>Universidade de São Paulo| AstraZeneca Colombia S.A.S.| Sechenov First Moscow State Medical University| National Taiwan University| National Taiwan University College of Medicine| National Taiwan University Hospital| Instituto Nacional de Enfermedades Respiratorias| Universidad de Buenos Aires| Clínica Las Condes| Universidad Finis Terrae| Universidad Tecnológica de Pereira| Fundación Universitaria Autónoma de las Américas| Tuen Mun Hospital| Center for Diagnosis and Treatment of Respiratory Diseases (CEDITER)</t>
  </si>
  <si>
    <t>Taiwan| Chile| Mexico| Hong Kong| Colombia| Panama| Russian Federation| Brazil| Argentina</t>
  </si>
  <si>
    <t>Association of Peri-Implant Mucosa Dimensions With Emergence Profile Angles of the Implant Prosthesis</t>
  </si>
  <si>
    <t>Rungtanakiat, P.| Thitaphanich, N.| Janda, M.| Strauss, F.J.| Arksornnukit, M.| Mattheos, N.</t>
  </si>
  <si>
    <t>Clinical and Experimental Dental Research</t>
  </si>
  <si>
    <t>ISSN-20574347</t>
  </si>
  <si>
    <t>33.0</t>
  </si>
  <si>
    <t>0.64</t>
  </si>
  <si>
    <t>10.1002/cre2.939</t>
  </si>
  <si>
    <t>2-s2.0-85199151490</t>
  </si>
  <si>
    <t>Chulalongkorn University| Karolinska Institutet| University of Zurich| Universidad Finis Terrae| Malmö University</t>
  </si>
  <si>
    <t>60028190| 60063782| 60007905| 60012614| 60105368| 60012311</t>
  </si>
  <si>
    <t>Chulalongkorn University| Malmo University Faculty of Odontology| Malmö Universitet| Universität Zürich| Universidad Finis Terrae| Karolinska Institutet</t>
  </si>
  <si>
    <t>Chile| Switzerland| Thailand| Sweden</t>
  </si>
  <si>
    <t>Exploring the adsorption of five emerging pollutants on activated carbon: A theoretical approach</t>
  </si>
  <si>
    <t>González-Rodríguez, L.| Yáñez, O.| Mena- Ulecia, K.| Hidalgo-Rosa, Y.| García- Carmona, X.| Ulloa- Tesser, C.</t>
  </si>
  <si>
    <t>Journal of Environmental Chemical Engineering</t>
  </si>
  <si>
    <t>ISSN-22133437</t>
  </si>
  <si>
    <t>12.5</t>
  </si>
  <si>
    <t>5.0</t>
  </si>
  <si>
    <t>10.1016/j.jece.2024.112911</t>
  </si>
  <si>
    <t>2-s2.0-85191660176</t>
  </si>
  <si>
    <t>Universidad de las Américas - Chile| Universidad Finis Terrae| Universidad Católica de Temuco| Pontificia Universidad Católica de Chile| Universidad de Concepción</t>
  </si>
  <si>
    <t>60105362| 60025749| 60029681| 60105368| 60001282</t>
  </si>
  <si>
    <t>Universidad de Las Américas Chile| Universidad Católica de Temuco| Pontificia Universidad Católica de Chile| Universidad Finis Terrae| Universidad de Concepcion</t>
  </si>
  <si>
    <t>Hevia D.</t>
  </si>
  <si>
    <t>Role of innate immune cells in multiple sclerosis</t>
  </si>
  <si>
    <t>Prado, C.| Herrada, A.A.| Hevia, D.| Goiry, L.G.| Escobedo, N.</t>
  </si>
  <si>
    <t>Frontiers in Immunology</t>
  </si>
  <si>
    <t>ISSN-16643224</t>
  </si>
  <si>
    <t>11.3</t>
  </si>
  <si>
    <t>14.0</t>
  </si>
  <si>
    <t>10.3389/fimmu.2025.1540263</t>
  </si>
  <si>
    <t>2-s2.0-85219409688</t>
  </si>
  <si>
    <t>Universidad Autónoma de Chile| Universidad San Sebastián| Universidad Finis Terrae| Clínica Alemana de Santiago</t>
  </si>
  <si>
    <t>60012442| 60000636| 60105371| 60105368| 60000146| 60105896</t>
  </si>
  <si>
    <t>Fundación Ciencia &amp; Vida| Universidad San Sebastián| Universidad Autónoma de Chile| Universidad Finis Terrae| Clinica Alemana| Clínica Dávila</t>
  </si>
  <si>
    <t>The Influence of High-Intensity Work on the Record Power Profile of Under-23, Pro Team, and World Tour Cyclists</t>
  </si>
  <si>
    <t>Leo, P.| Mateo-March, M.| Giorgi, A.| Muriel, X.| Javaloyes, A.| Barranco-Gil, D.| Pallarés, J.G.| Lucia, A.| Mujika, I.| Valenzuela, P.L.</t>
  </si>
  <si>
    <t>545-549</t>
  </si>
  <si>
    <t>6.6</t>
  </si>
  <si>
    <t>1.61</t>
  </si>
  <si>
    <t>10.1123/ijspp.2023-0451</t>
  </si>
  <si>
    <t>2-s2.0-85193712105</t>
  </si>
  <si>
    <t>Miguel Hernández University| University of Alcalá| Adelaide University| University of Innsbruck| Universidad Finis Terrae| Universidad Europea de Madrid| Hospital Universitario 12 de Octubre| University of the Basque Country| University of Murcia| Universidad Europea</t>
  </si>
  <si>
    <t>60009999| 60031846| 60028356| 60029767| 128383384| 121067127| 60000130| 60004024| 60027856| 60105368| 60027800</t>
  </si>
  <si>
    <t>Universität Innsbruck| University of South Australia| Universidad Europea de Madrid| Universidad Miguel Hernández de Elche| Androni Giocattoli-Sidermec Professional Cycling Team| Azienda USL Toscana Sud Est| Universidad de Murcia| Hospital Universitario 12 de Octubre| Universidad del Pais Vasco| Universidad Finis Terrae| Universidad de Alcalá</t>
  </si>
  <si>
    <t>Chile| Austria| Spain| Australia| Italy</t>
  </si>
  <si>
    <t>Rojas-Costa G.M.</t>
  </si>
  <si>
    <t>Neurocognitive correlates of semantic memory navigation in Parkinson’s disease</t>
  </si>
  <si>
    <t>Toro-Hernández, F.D.| Migeot, J.| Marchant, N.| Olivares, D.| Ferrante, F.| González-Gómez, R.| González Campo, C.| Fittipaldi, S.| Rojas-Costa, G.M.| Moguilner, S.| Slachevsky, A.| Chaná Cuevas, P.| Ibáñez, A.| Chaigneau, S.| García, A.M.</t>
  </si>
  <si>
    <t>npj Parkinson's Disease</t>
  </si>
  <si>
    <t>ISSN-23738057</t>
  </si>
  <si>
    <t>6.0</t>
  </si>
  <si>
    <t>10.1038/s41531-024-00630-4</t>
  </si>
  <si>
    <t>2-s2.0-85181891137</t>
  </si>
  <si>
    <t>Universidad Mayor| Consejo Nacional de Investigaciones Científicas y Técnicas| Universidad de Santiago de Chile| University of California at San Francisco| Universidad de San Andrés| Universidad Adolfo Ibáñez| Universidad Finis Terrae| Clínica Las Condes| Clínica Alemana de Santiago| Universidad de Buenos Aires| Universidade Federal do ABC| Trinity College Dublin| Universidad del Desarrollo| Hospital del Salvador| Universidad de Chile</t>
  </si>
  <si>
    <t>60001430| 60003942| 60012464| 60008314| 60004518| 60001563| 60023691| 60011149| 60017912| 130689163| 60105368| 60006634| 60002946| 60281340| 60006469| 60000146| 60023383</t>
  </si>
  <si>
    <t>Universidade Federal do ABC| Universidad Adolfo Ibáñez| Universidad de Chile| Universidad de San Andres| Consejo Nacional de Investigaciones Científicas y Técnicas| Universidad de Buenos Aires| University of California, San Francisco| Trinity College Dublin| Clínica Las Condes| Join Unit FISABIO-CIPF| Universidad Finis Terrae| Hospital del Salvador| Facultad de Medicina de la Universidad de Chile| Centro de Gerociencia, Salud Mental y Metabolismo| Universidad del Desarrollo| Clinica Alemana| Universidad de Santiago de Chile</t>
  </si>
  <si>
    <t>Chile| Spain| Ireland| Brazil| Argentina</t>
  </si>
  <si>
    <t>Trautmann D.</t>
  </si>
  <si>
    <t>Antitumor Effects of Resveratrol Opposing Mechanisms of Helicobacter pylori in Gastric Cancer</t>
  </si>
  <si>
    <t>Trautmann, D.| Suazo, F.| Torres, K.| Simón, L.</t>
  </si>
  <si>
    <t>Nutrients</t>
  </si>
  <si>
    <t>10.3390/nu16132141</t>
  </si>
  <si>
    <t>2-s2.0-85198416544</t>
  </si>
  <si>
    <t>Universidad Finis Terrae| Pontificia Universidad Católica de Chile</t>
  </si>
  <si>
    <t>60105368| 60029681</t>
  </si>
  <si>
    <t>Suazo F.</t>
  </si>
  <si>
    <t>Pizarro S.</t>
  </si>
  <si>
    <t>Placing engineering in the earthquake response and the survival chain</t>
  </si>
  <si>
    <t>Ceferino, L.| Merino, Y.| Pizarro, S.| Moya, L.| Ozturk, B.</t>
  </si>
  <si>
    <t>Nature Communications</t>
  </si>
  <si>
    <t>10.1038/s41467-024-48624-3</t>
  </si>
  <si>
    <t>2-s2.0-85193789492</t>
  </si>
  <si>
    <t>University of California at Berkeley| Universidad Finis Terrae| Pontificia Universidad Católica del Perú| Pontificia Universidad Católica de Chile| New York University</t>
  </si>
  <si>
    <t>60025038| 60021784| 60029681| 117063452| 60105368| 60071236</t>
  </si>
  <si>
    <t>University of California, Berkeley| New York University| Pontificia Universidad Católica de Chile| Servicio de Atención Médica de Urgencia (SAMU)| Universidad Finis Terrae| Pontificia Universidad Catolica del Peru</t>
  </si>
  <si>
    <t>Chile| United States| Peru</t>
  </si>
  <si>
    <t>Redefining academic trajectories: A comprehensive analysis of the factors and impacts of the gender gap in STEM higher education</t>
  </si>
  <si>
    <t>International Journal of Sustainability in Higher Education</t>
  </si>
  <si>
    <t>928-947</t>
  </si>
  <si>
    <t>ISSN-14676370</t>
  </si>
  <si>
    <t>Emerald Publishing</t>
  </si>
  <si>
    <t>9.8</t>
  </si>
  <si>
    <t>10.1108/IJSHE-02-2024-0129</t>
  </si>
  <si>
    <t>2-s2.0-105003413370</t>
  </si>
  <si>
    <t>Universidad Finis Terrae| Universidad Metropolitana de Ciencias de la Educación</t>
  </si>
  <si>
    <t>60003126| 60105368</t>
  </si>
  <si>
    <t>Universidad Metropolitana de Ciencias de la Educación| Universidad Finis Terrae</t>
  </si>
  <si>
    <t>Alveolar ridge changes 1-year after early implant placement, with or without alveolar ridge preservation at single-implant sites in the aesthetic region: A secondary analysis of radiographic and profilometric outcomes from a randomized controlled trial</t>
  </si>
  <si>
    <t>Strauss, F.J.| Fukuba, S.| Naenni, N.| Jung, R.| Jonker, B.| Wolvius, E.| Pijpe, J.</t>
  </si>
  <si>
    <t>356-368</t>
  </si>
  <si>
    <t>10.1111/cid.13297</t>
  </si>
  <si>
    <t>2-s2.0-85179989770</t>
  </si>
  <si>
    <t>University of Zurich| Universidad Finis Terrae| Erasmus University Rotterdam| Universidad de Chile| Institute of Science Tokyo| Catharina Hospital</t>
  </si>
  <si>
    <t>60012614| 60012464| 60105368| 60172570| 60283164| 60032114| 60031750</t>
  </si>
  <si>
    <t>Universität Zürich| Universidad de Chile| Universidad Finis Terrae| Graduate School of Medical and Dental Sciences| Institute of Science Tokyo| Erasmus MC| Catharina Ziekenhuis</t>
  </si>
  <si>
    <t>Chile| Japan| Switzerland| Netherlands</t>
  </si>
  <si>
    <t>Cognitive, emotional, and social factors promoting psychosocial adaptation: a study of latent profiles in people living in socially vulnerable contexts</t>
  </si>
  <si>
    <t>Carriedo, N.| Rodríguez-Villagra, O.A.| Moguilner, S.| Morales-Sepulveda, J.P.| Huepe-Artigas, D.| Soto, V.| Franco-O’Byrne, D.| Ibáñez, A.| Bekinschtein, T.A.| Huepe, D.</t>
  </si>
  <si>
    <t>10.3389/fpsyg.2024.1321242</t>
  </si>
  <si>
    <t>2-s2.0-85191374190</t>
  </si>
  <si>
    <t>Consejo Nacional de Investigaciones Científicas y Técnicas| The University of Sydney| Trinity College Dublin| University of Cambridge| Universidad de San Andrés| University of Costa Rica| Universidad Adolfo Ibáñez| Universidad Finis Terrae| National Distance Education University</t>
  </si>
  <si>
    <t>60028711| 60071929| 60011149| 60008314| 60003942| 60212023| 60105368| 60004518| 60031101</t>
  </si>
  <si>
    <t>Universidad Nacional de Educacion a Distancia| Universidad de Costa Rica| Trinity College Dublin| Universidad de San Andres| Universidad Adolfo Ibáñez| The University of Sydney Business School| Universidad Finis Terrae| Consejo Nacional de Investigaciones Científicas y Técnicas| University of Cambridge</t>
  </si>
  <si>
    <t>Chile| United Kingdom| Spain| Costa Rica| Ireland| Australia| Argentina</t>
  </si>
  <si>
    <t>Comparison of the Mediterranean Diet and Other Therapeutic Strategies in Metabolic Syndrome: A Systematic Review and Meta-Analysis</t>
  </si>
  <si>
    <t>Bruna-Mejias, A.| San Martin, J.| Arciniegas-Diaz, D.| Meneses-Caroca, T.| Salamanca-Cerda, A.| Beas-Gambi, A.| Paola-Loaiza-Giraldo, J.| Ortiz-Ahumada, C.| Nova-Baeza, P.| Oyanedel-Amaro, G.| Orellana-Donoso, M.| Suazo-Santibáñez, A.| Sanchis-Gimeno, J.| Valenzuela-Fuenzalida, J.J.</t>
  </si>
  <si>
    <t>10.3390/ijms26125887</t>
  </si>
  <si>
    <t>2-s2.0-105009012247</t>
  </si>
  <si>
    <t>Unidad Central Del Valle Del Cauca| Universidad de las Américas - Chile| Universidad Andrés Bello| Universidad Autónoma de Chile| Universidad San Sebastián| University of Valencia| Universidad Finis Terrae| Universidad de Playa Ancha de Ciencias de la Educación| Universidad Bernardo O'Higgins</t>
  </si>
  <si>
    <t>60019586| 60002636| 60190577| 60105371| 60105368| 60000636| 60105362| 60002644| 60105370</t>
  </si>
  <si>
    <t>Universidad de Playa Ancha| Universidad Andrés Bello| Unidad Central del Valle del Cauca| Universidad Autónoma de Chile| Universidad Finis Terrae| Universidad San Sebastián| Universidad de Las Américas Chile| Universitat de València| Universidad Bernardo O'Higgins</t>
  </si>
  <si>
    <t>Chile| Spain| Colombia</t>
  </si>
  <si>
    <t>Diaz F.</t>
  </si>
  <si>
    <t>Prevalence of Bacterial Codetection and Outcomes for Infants Intubated for Respiratory Infections*</t>
  </si>
  <si>
    <t>Karsies, T.| Shein, S.L.| Diaz, F.| Vasquez-Hoyos, P.| Alexander, R.| Pon, S.| González-Dambrauskas, S.| Yock-Corrales, A.| Rotta, A.| Prout, A.| Wen, A.| Camporesi, A.| Vargas, A.F.| Coates, B.| Piñeres-Olave, B.E.| Stulce, C.| Watson, C.| Francoeur, C.| Cantillano, E.M.| Zemanete, E.| Castro, F.| Yague, G.P.| Ozdemir, G.| Chandnani, H.| Harwayne-Gidansky, I.| Cinquegrani, K.| Izquierdo, L.| Polikoff, L.| Valero, L.| Gaspers, M.| Maamari, M.| Kangin, M.| Rodriguez, N.C.| Ozturk, N.| Castellani, P.| Khandhar, P.| Jabornisky, R.| Arana, R.| Pardo, R.| Palomino, R.L.| Nofziger, R.| Torales, S.A.| Ambati, S.| Gertz, S.| Jeyapalan, S.| Murthy, S.| Muisyo, T.| Lillitwat, W.| Lopez-Alarcon, Y.</t>
  </si>
  <si>
    <t>Pediatric Critical Care Medicine</t>
  </si>
  <si>
    <t>609-620</t>
  </si>
  <si>
    <t>ISSN-15297535</t>
  </si>
  <si>
    <t>Lippincott Williams and Wilkins</t>
  </si>
  <si>
    <t>7.2</t>
  </si>
  <si>
    <t>10.1097/PCC.0000000000003500</t>
  </si>
  <si>
    <t>2-s2.0-85197570653</t>
  </si>
  <si>
    <t>Hospital Militar Central| Children's Memorial Hospital| University of Miami| Universidad Finis Terrae| Hospital Pablo Tobon Uribe| Women and Children's Hospital of Buffalo| Caja Costarricense de Seguro Social| Ospedale dei Bambini Vittore Buzzi | Banner Health| Augusta University| Provincial Health Services Authority| Loma Linda University Health| Stony Brook University| Hospital Nacional Cayetano Heredia| Lucille Packard Children's Hospital| Stanford University| The University of Chicago| Saint Barnabas Medical Center| Cornell University| Ministerio de Salud del Perú| University of Texas Southwestern Medical Center| Lifespan| Nationwide Children’s Hospital| Hasbro Children's Hospital| Hospital San José| Fundación Valle del Lili| Universidad de la República| Akron Children's Hospital | Texas Tech University| Hospital General Universitario Gregorio Marañon| Marmara University| Dokuz Eylul University| Albany Medical College| Duke University| Case Western Reserve University| University of Oklahoma</t>
  </si>
  <si>
    <t>60080012| 60031833| 123764794| 60281394| 60105368| 60110407| 60007997| 60071613| 60071612| 60071617| 60071915| 60122469| 60016631| 60032063| 60083540| 125429552| 60017031| 60058437| 60020643| 60105348| 60024399| 60079127| 126950835| 117723547| 60006484| 60033237| 60014930| 60028659| 60122662| 60281830| 60087081| 60032446| 100905006| 60003259| 60026695| 131546688| 127604237| 60027981| 60022460| 112583111| 100560611| 60071230| 101517523| 60109272| 60027342| 60092302| 60021390| 60009665| 60029251| 60008667| 60029833| 60021285| 60087080</t>
  </si>
  <si>
    <t>Nationwide Children’s Hospital| University Hospitals Rainbow Babies &amp; Children's Hospital| Red Colaborativa Pediátrica de Latinoamérica (LARed Network)| Hospital El Carmen Dr. Luis Valentín Ferrada| Universidad Finis Terrae| Hospital De San José, Bogotá, Colombia| Weill Cornell Medicine| Universidad de la Republica Facultad de Medicina| Universidad de la Republica| Centro Hospitalario Pereira Rossell| Hospital Nacional de Niños Dr. Carlos Sáenz Herrera| Duke Children’s Hospital &amp; Health Center| Women and Children's Hospital of Buffalo| Lucile Packard Children's Hospital Stanford| Ospedale dei Bambini Vittore Buzzi| Fundación Clínica Infantil Club Noel| Children's Memorial Hospital| Hospital Pablo Tobon Uribe| Comer Children's Hospital - Hyde Park| Augusta University| Medical College of Georgia| CHU de Québec-Université Laval| Hospital del Norte| Hospital Susana López de Valencia| Hospital Padre Hurtado| Hospital General Universitario Gregorio Marañón| Dokuz Eylül Üniversitesi| Loma Linda University Children's Hospital| Stony Brook Children's Hospital| Hospital El Cruce| Hospital Militar Central, Bogota| Hasbro Children's Hospital| Hospital Universitario San Jorge| Banner - University Medical Center Phoenix| UT Southwestern Medical Center| Saglik Bilimleri University Gazi Yasargil Training and Research Hospital| Hospital San Juan de Dios| Marmara Üniversitesi| Hospital de Ninos Sor Maria Ludovica| Beaumont Children's Hospital| Hospital Juan Pablo II| Hospital Nacional Cayetano Heredia| Clínica Infantil Colsubsidio| Fundación Valle del Lili| Akron Children's Hospital| Hospital Materno Infantil de Salta| Albany Medical Center| Saint Barnabas Medical Center| University of Miami| BC​ Children​'​​s Hospital| University of Oklahoma Health Sciences Center| Texas Tech University| Hospital General de Medellin Luz Castro de Gutiérrez - E.S.E</t>
  </si>
  <si>
    <t>Canada| Chile| Uruguay| Spain| Costa Rica| United States| Colombia| Turkey| Italy| Bolivia| Peru| Argentina| Honduras</t>
  </si>
  <si>
    <t>Early implant placement versus ridge preservation and delayed implant placement: Analysis of profilometric, clinician- and patient-reported outcomes from a two-centre RCT</t>
  </si>
  <si>
    <t>Thoma, D.| Gil, A.| de Bruyckere, T.| Jung, R.E.| Fukuba, S.| Ickroth, A.| Strauss, F.J.| Cosyn, J.</t>
  </si>
  <si>
    <t>Clinical Oral Implants Research</t>
  </si>
  <si>
    <t>1382-1393</t>
  </si>
  <si>
    <t>ISSN-09057161</t>
  </si>
  <si>
    <t>8.5</t>
  </si>
  <si>
    <t>10.1111/clr.14325</t>
  </si>
  <si>
    <t>2-s2.0-85197494682</t>
  </si>
  <si>
    <t>University of Zurich| Universidad Finis Terrae| Ghent University| Institute of Science Tokyo</t>
  </si>
  <si>
    <t>60012614| 60033316| 60283164| 60172570| 60105368</t>
  </si>
  <si>
    <t>Universität Zürich| Universiteit Gent| Institute of Science Tokyo| Graduate School of Medical and Dental Sciences| Universidad Finis Terrae</t>
  </si>
  <si>
    <t>Belgium| Chile| Japan| Switzerland</t>
  </si>
  <si>
    <t>Catalán C.</t>
  </si>
  <si>
    <t>Pharmacogenomics in Solid Tumors: A Comprehensive Review of Genetic Variability and Its Clinical Implications</t>
  </si>
  <si>
    <t>Sánchez-Bayona, R.| Catalán, C.| Cobos, M.A.| Bergamino, M.</t>
  </si>
  <si>
    <t>1.41</t>
  </si>
  <si>
    <t>10.3390/cancers17060913</t>
  </si>
  <si>
    <t>2-s2.0-105001299109</t>
  </si>
  <si>
    <t>100310930| 60105368| 60030315</t>
  </si>
  <si>
    <t>Hospital Universitario| Universidad Finis Terrae| Hospital Clínic de Barcelona</t>
  </si>
  <si>
    <t>Chile| Spain</t>
  </si>
  <si>
    <t>Severe menopausal symptoms linked to cognitive impairment: An exploratory study</t>
  </si>
  <si>
    <t>Calle, A.| Blümel, J.E.| Chedraui, P.| Vallejo, M.S.| Belardo, A.| Dextre, M.| Elizalde-Cremonte, A.| Escalante, C.| Espinoza, M.T.| Gómez-Tabares, G.| Monterrosa-Castro, Á.| Ñañez, M.| Ojeda, E.| Rey, C.| Rodríguez, D.| Rodrigues, M.A.| Salinas, C.| Tserotas, K.| Aedo, S.</t>
  </si>
  <si>
    <t>Menopause</t>
  </si>
  <si>
    <t>959-965</t>
  </si>
  <si>
    <t>ISSN-10723714</t>
  </si>
  <si>
    <t>Wolters Kluwer Health</t>
  </si>
  <si>
    <t>5.6</t>
  </si>
  <si>
    <t>10.1097/GME.0000000000002422</t>
  </si>
  <si>
    <t>2-s2.0-85201395771</t>
  </si>
  <si>
    <t>Universidad Nacional de Córdoba| Universidad Espíritu Santo, Ecuador| Universidad de Cartagena| Universidad Tecnológica Indoamérica| Universidade Federal de Minas Gerais| University of Costa Rica| Universidad Finis Terrae| Universidad Andina del Cusco| Hospital Italiano de Buenos Aires| Universidad de Chile| Universidad del Valle| Universidad de Buenos Aires| Universidad Nacional del Nordeste</t>
  </si>
  <si>
    <t>60110777| 60012464| 60002946| 60104602| 60008557| 60120511| 60003542| 60019006| 60195990| 60071929| 126710413| 60066812| 60055678| 60000658| 60112686| 101550488| 60009065| 60001563| 60030074| 105888846| 125551913| 60105368</t>
  </si>
  <si>
    <t>Universidad Tecnológica Indoamérica| Universidad de Chile| Facultad de Medicina de la Universidad de Chile| Universidad Espíritu Santo| Hospital Italiano de Buenos Aires| Clínica Javier Prado| Universidad Nacional del Nordeste| Fundacion Barcelo, Facultad de Medicina| Universidad de Costa Rica, Facultad de Medicina| Universidad de Costa Rica| Clínica Los Ángeles| Universidad del Valle, Cali| Universidad de Cartagena| Universidad Nacional de Córdoba| Universidad Andina del Cusco| Asociación Argentina para el Estudio del Climaterio| Hospital de Clínicas "José de San Martín"| Universidad de Buenos Aires| Universidade Federal de Minas Gerais| Hospital Ángeles| Clínica Tserotas| Universidad Finis Terrae</t>
  </si>
  <si>
    <t>Chile| Mexico| Ecuador| Costa Rica| Colombia| Panama| Bolivia| Peru| Brazil| Argentina</t>
  </si>
  <si>
    <t>Resting energy metabolism and sweet taste preference during the menstrual cycle in healthy women</t>
  </si>
  <si>
    <t>Malo-Vintimilla, L.| Aguirre, C.| Vergara, A.| Fernández-Verdejo, R.| Galgani, J.E.</t>
  </si>
  <si>
    <t>British Journal of Nutrition</t>
  </si>
  <si>
    <t>384-390</t>
  </si>
  <si>
    <t>ISSN-00071145</t>
  </si>
  <si>
    <t>Cambridge University Press</t>
  </si>
  <si>
    <t>6.7</t>
  </si>
  <si>
    <t>0.896</t>
  </si>
  <si>
    <t>10.1017/S0007114523001927</t>
  </si>
  <si>
    <t>2-s2.0-85170255103</t>
  </si>
  <si>
    <t>LSU Pennington Biomedical Research Center| Universidad Finis Terrae| Pontificia Universidad Católica de Chile</t>
  </si>
  <si>
    <t>60009418| 60029681| 60105368| 60021235</t>
  </si>
  <si>
    <t>Facultad de Medicina| Pontificia Universidad Católica de Chile| Universidad Finis Terrae| Pennington Biomedical Research Center</t>
  </si>
  <si>
    <t>Chile| United States</t>
  </si>
  <si>
    <t>Montalva-Valenzuela F.</t>
  </si>
  <si>
    <t>Effects of exercise, physical activity, and sports on physical fitness in adults with Down syndrome: A systematic review</t>
  </si>
  <si>
    <t>Montalva-Valenzuela, F.| Castillo-Paredes, A.| Farias-Valenzuela, C.| Andrades-Ramirez, O.| Concha-Cisternas, Y.| Guzmán-Muñoz, E.</t>
  </si>
  <si>
    <t>AIMS Public Health</t>
  </si>
  <si>
    <t>577-600</t>
  </si>
  <si>
    <t>ISSN-23278994</t>
  </si>
  <si>
    <t>American Institute of Mathematical Sciences</t>
  </si>
  <si>
    <t>0.878</t>
  </si>
  <si>
    <t>10.3934/publichealth.2024029</t>
  </si>
  <si>
    <t>2-s2.0-85192374380</t>
  </si>
  <si>
    <t>Universidad de las Américas - Chile| Universidad Santo Tomás, Santiago| Universidad Andrés Bello| Universidad Autónoma de Chile| Universidad San Sebastián| Universidad Finis Terrae| Universidad Arturo Prat</t>
  </si>
  <si>
    <t>60105368| 60105362| 60000636| 60002636| 60105371| 60010144| 60009128</t>
  </si>
  <si>
    <t>Universidad Finis Terrae| Universidad de Las Américas Chile| Universidad San Sebastián| Universidad Andrés Bello| Universidad Autónoma de Chile| Universidad Arturo Prat| Universidad Santo Tomas, Santiago</t>
  </si>
  <si>
    <t>Díaz F.</t>
  </si>
  <si>
    <t>Noninvasive Continuous Positive Airway Pressure Is a Lung- and Diaphragm-protective Approach in Self-inflicted Lung Injury</t>
  </si>
  <si>
    <t>Cruces, P.| Erranz, B.| Pérez, A.| Reveco, S.| González, C.| Retamal, J.| Poblete, D.| Hurtado, D.E.| Díaz, F.</t>
  </si>
  <si>
    <t>American Journal of Respiratory and Critical Care Medicine</t>
  </si>
  <si>
    <t>1022-1025</t>
  </si>
  <si>
    <t>ISSN-1073449X</t>
  </si>
  <si>
    <t>American Thoracic Society</t>
  </si>
  <si>
    <t>23.8</t>
  </si>
  <si>
    <t>10.1164/rccm.202309-1629LE</t>
  </si>
  <si>
    <t>Letter</t>
  </si>
  <si>
    <t>2-s2.0-85190753267</t>
  </si>
  <si>
    <t>Universidad Andrés Bello| Universidad Finis Terrae| Universidad de Chile| Pontificia Universidad Católica de Chile</t>
  </si>
  <si>
    <t>60281764| 60002636| 60281394| 60029681| 60012464| 60105368</t>
  </si>
  <si>
    <t>Facultad de Ciencias de la Vida| Universidad Andrés Bello| Hospital El Carmen Dr. Luis Valentín Ferrada| Pontificia Universidad Católica de Chile| Universidad de Chile| Universidad Finis Terrae</t>
  </si>
  <si>
    <t>Association between the Anatomical Location of Glioblastoma and Its Evaluation with Clinical Considerations: A Systematic Review and Meta-Analysis</t>
  </si>
  <si>
    <t>Valenzuela-Fuenzalida, J.J.| Moyano-Valarezo, L.| Silva-Bravo, V.| Milos-Brandenberg, D.| Orellana-Donoso, M.| Nova-Baeza, P.| Suazo-Santibáñez, A.| Rodríguez-Luengo, M.| Oyanedel-Amaro, G.| Sanchis-Gimeno, J.| Gutiérrez Espinoza, H.</t>
  </si>
  <si>
    <t>Journal of Clinical Medicine</t>
  </si>
  <si>
    <t>ISSN-20770383</t>
  </si>
  <si>
    <t>5.2</t>
  </si>
  <si>
    <t>0.919</t>
  </si>
  <si>
    <t>10.3390/jcm13123460</t>
  </si>
  <si>
    <t>2-s2.0-85197149301</t>
  </si>
  <si>
    <t>Universidad de las Américas - Chile| Universidad de las Américas - Ecuador| Universidad Andrés Bello| Universidad Autónoma de Chile| Universidad San Sebastián| University of Valencia| Universidad Finis Terrae| Universidad Pedro de Valdivia| Universidad Bernardo O'Higgins</t>
  </si>
  <si>
    <t>60105370| 60002636| 60086395| 60105368| 60000636| 60105362| 60105371| 60002644| 60104441</t>
  </si>
  <si>
    <t>Universidad Bernardo O'Higgins| Universidad Andrés Bello| Universidad del Alba| Universidad Finis Terrae| Universidad San Sebastián| Universidad de Las Américas Chile| Universidad Autónoma de Chile| Universitat de València| Universidad de las Americas - Ecuador</t>
  </si>
  <si>
    <t>Chile| Spain| Ecuador</t>
  </si>
  <si>
    <t>Analysis of pacing and kinematics in 3000 m freestyle in elite level swimmers</t>
  </si>
  <si>
    <t>López-Belmonte, Ó.| Ruiz-Navarro, J.J.| Gay, A.| Cuenca-Fernández, F.| Mujika, I.| Arellano, R.</t>
  </si>
  <si>
    <t>Sports Biomechanics</t>
  </si>
  <si>
    <t>921-937</t>
  </si>
  <si>
    <t>ISSN-14763141</t>
  </si>
  <si>
    <t>Routledge</t>
  </si>
  <si>
    <t>6.1</t>
  </si>
  <si>
    <t>0.835</t>
  </si>
  <si>
    <t>10.1080/14763141.2023.2184418</t>
  </si>
  <si>
    <t>2-s2.0-85149541629</t>
  </si>
  <si>
    <t>Universidad Finis Terrae| University of Granada| University of the Basque Country</t>
  </si>
  <si>
    <t>60027844| 60027856| 60105368</t>
  </si>
  <si>
    <t>Universidad de Granada| Universidad del Pais Vasco| Universidad Finis Terrae</t>
  </si>
  <si>
    <t>Inhibition of glycolysis and Src/Akt signaling reduces Caveolin-1-enhanced metastasis</t>
  </si>
  <si>
    <t>Simón, L.| Torres, K.| Contreras, P.| Díaz-Valdivia, N.| Leyton, L.| Quest, A.F.G.</t>
  </si>
  <si>
    <t>Biomedicine and Pharmacotherapy</t>
  </si>
  <si>
    <t>ISSN-07533322</t>
  </si>
  <si>
    <t>Elsevier Masson s.r.l.</t>
  </si>
  <si>
    <t>12.8</t>
  </si>
  <si>
    <t>10.1016/j.biopha.2024.116841</t>
  </si>
  <si>
    <t>2-s2.0-85194821198</t>
  </si>
  <si>
    <t>Universidad Finis Terrae| Universidad de Chile| Pontificia Universidad Católica de Chile</t>
  </si>
  <si>
    <t>60105368| 60002946| 60012464| 60281366| 60029681</t>
  </si>
  <si>
    <t>Universidad Finis Terrae| Facultad de Medicina de la Universidad de Chile| Universidad de Chile| Centro Avanzado de Enfermedades Crónicas| Pontificia Universidad Católica de Chile</t>
  </si>
  <si>
    <t>Mansilla-Obando K.</t>
  </si>
  <si>
    <t>Eco-Innovation in the Food Industry: Exploring Consumer Motivations in an Emerging Market</t>
  </si>
  <si>
    <t>Mansilla-Obando, K.| Llanos, G.| Gómez-Sotta, E.| Buchuk, P.| Ortiz, F.| Aguirre, M.| Ahumada, F.</t>
  </si>
  <si>
    <t>10.3390/foods13010004</t>
  </si>
  <si>
    <t>2-s2.0-85181896730</t>
  </si>
  <si>
    <t>University of Vechta| Universidad Finis Terrae</t>
  </si>
  <si>
    <t>60105368| 60017703</t>
  </si>
  <si>
    <t>Universidad Finis Terrae| Universität Vechta</t>
  </si>
  <si>
    <t>Chile| Germany</t>
  </si>
  <si>
    <t>Llanos G.</t>
  </si>
  <si>
    <t>Gómez-Sotta E.</t>
  </si>
  <si>
    <t>Buchuk P.</t>
  </si>
  <si>
    <t>Ortiz F.</t>
  </si>
  <si>
    <t>Aguirre M.</t>
  </si>
  <si>
    <t>Ahumada F.</t>
  </si>
  <si>
    <t>Automated and Interpretable Detection of Hippocampal Sclerosis in Temporal Lobe Epilepsy: AID-HS</t>
  </si>
  <si>
    <t>Ripart, M.| DeKraker, J.| Eriksson, M.H.| Piper, R.J.| Gopinath, S.| Parasuram, H.| Mo, J.| Likeman, M.| Ciobotaru, G.| Sequeiros-Peggs, P.| Hamandi, K.| Xie, H.| Cohen, N.T.| Su, T.-Y.| Kochi, R.| Wang, I.| Rojas-Costa, G.M.| Gálvez, M.| Parodi, C.| Riva, A.| D'Arco, F.| Mankad, K.| Clark, C.A.| Carbó, A.V.| Toledano, R.| Taylor, P.| Napolitano, A.| Rossi-Espagnet, M.C.| Willard, A.| Sinclair, B.| Pepper, J.| Seri, S.| Devinsky, O.| Pardoe, H.R.| Winston, G.P.| Duncan, J.S.| Yasuda, C.L.| Scárdua-Silva, L.| Walger, L.| Rüber, T.| Khan, A.R.| Baldeweg, T.| Adler, S.| Wagstyl, K.| Zhang, K.| Bari, S.M.S.| Galea, J.| Illapani, V.S.P.| Gaillard, W.D.| Ibáñez, A.| Faure, E.| Campos, M.| Severino, M.| Tortora, D.| Nobile, G.| Consales, A.| Chari, A.| Tisdall, M.| Cross, J.H.| Simpson, C.M.| Wang, Y.| De Palma, L.| De Benedictis, A.| Vivash, L.| O'Brien, T.J.| De Tisdi, J.| Alvim, M.K.M.| Cendes, F.</t>
  </si>
  <si>
    <t>Annals of Neurology</t>
  </si>
  <si>
    <t>62-75</t>
  </si>
  <si>
    <t>ISSN-03645134</t>
  </si>
  <si>
    <t>13.5</t>
  </si>
  <si>
    <t>10.1002/ana.27089</t>
  </si>
  <si>
    <t>2-s2.0-85209077922</t>
  </si>
  <si>
    <t>Aston University| Queen's University Kingston| Birmingham Women's and Children's NHS Foundation Trust| Cleveland Clinic Foundation| Newcastle University| IRCCS Ospedale pediatrico Bambino Gesù - Roma| Great Ormond Street Hospital for Children NHS Foundation Trust| University College London| University of Genoa| Universidad Finis Terrae| Florey Institute of Neuroscience and Mental Health| University College London Hospitals NHS Foundation Trust| Cardiff &amp; Vale University Health Board| Clínica Las Condes| University of Bonn| New York University| King's College London| McGill University| Western University| University Hospitals Bristol and Weston NHS Foundation Trust| Universidade Estadual de Campinas| Amrita  Vishwa Vidyapeetham| Monash University| University of Toronto| Case Western Reserve University| IRCCS Istituto Giannina Gaslini - Genova| Capital Medical University</t>
  </si>
  <si>
    <t>60012662| 60002494| 60030319| 60018207| 60007898| 60076781| 60073452| 60015756| 60056592| 60000020| 129009176| 60021160| 60280631| 60000305| 60017912| 60105368| 60016041| 60025153| 100375709| 60006222| 60017905| 60019578| 112663508| 60170285| 60014551| 60024541| 60021784| 60110201| 60019953| 60016005| 60020736| 60029570| 119743401| 60030465| 60031619| 60011520</t>
  </si>
  <si>
    <t>UCL Great Ormond Street Institute of Child Health| Université McGill| The Hospital for Sick Children| Great Ormond Street Hospital for Children NHS Foundation Trust| Amrita Institute of Medical Sciences India| Amrita Vishwa Vidyapeetham| Beijing Tiantan Hospital, Capital Medical University| Bristol Royal Hospital for Children| Central Military Hospital, Bucharest| University Hospital of Wales| Children's National Hospital| Cleveland Clinic Foundation| Department of Biomedical Engineering| Case Western Reserve University| Clínica Las Condes| Universidad Finis Terrae| Istituto Giannina Gaslini| Università degli Studi di Genova| Ruber International Hospital| Newcastle University| IRCCS Ospedale Pediatrico Bambino Gesù| Monash University| Alfred Health| Birmingham Women’s and Children’s NHS Foundation Trust| Aston University| NYU Grossman School of Medicine| New York University| The Florey| UCL Queen Square Institute of Neurology| Queen’s University| National Hospital for Neurology and Neurosurgery| Universidade Estadual de Campinas| Brazilian Institute of Neuroscience and Neurotechnology| Universitätsklinikum Bonn| Schulich School of Medicine &amp; Dentistry| King's College London</t>
  </si>
  <si>
    <t>Chile| India| United Kingdom| China| Spain| United States| Germany| Australia| Italy| Romania| Brazil| Canada</t>
  </si>
  <si>
    <t>Gálvez M.</t>
  </si>
  <si>
    <t>Is the time below 90% of SpO2 during sleep (T90%) a metric of good health? A longitudinal analysis of two cohorts</t>
  </si>
  <si>
    <t>Henríquez-Beltrán, M.| Dreyse, J.| Jorquera, J.| Weissglas, B.| del Rio, J.| Cendoya, M.| Jorquera-Diaz, J.| Salas, C.| Fernandez-Bussy, I.| Labarca, G.</t>
  </si>
  <si>
    <t>Sleep and Breathing</t>
  </si>
  <si>
    <t>281-289</t>
  </si>
  <si>
    <t>ISSN-15209512</t>
  </si>
  <si>
    <t>Springer Science and Business Media Deutschland GmbH</t>
  </si>
  <si>
    <t>4.7</t>
  </si>
  <si>
    <t>0.731</t>
  </si>
  <si>
    <t>10.1007/s11325-023-02909-x</t>
  </si>
  <si>
    <t>2-s2.0-85169302917</t>
  </si>
  <si>
    <t>Harvard University| Brigham and Women’s Hospital| Universidad Finis Terrae| Pontificia Universidad Católica Argentina Santa María de los Buenos Aires - UCA| Clínica Las Condes| Universidad Adventista de Chile| Universidad de Concepción</t>
  </si>
  <si>
    <t>60105372| 60017912| 60105368| 60001282| 130066629| 60032487| 60002746| 60016782</t>
  </si>
  <si>
    <t>Universidad Adventista de Chile| Clínica Las Condes| Universidad Finis Terrae| Universidad de Concepcion| Universidad Favarolo| Pontificia Universidad Catolica Argentina| Harvard Medical School| Brigham and Women's Hospital</t>
  </si>
  <si>
    <t>Chile| United States| Argentina</t>
  </si>
  <si>
    <t>Jorquera J.</t>
  </si>
  <si>
    <t>Salas C.</t>
  </si>
  <si>
    <t>Exploring NADPH oxidases 2 and 4 in cardiac and skeletal muscle adaptations – A cross-tissue comparison</t>
  </si>
  <si>
    <t>Meneses-Valdés, R.| Gallero, S.| Henríquez-Olguín, C.| Jensen, T.E.</t>
  </si>
  <si>
    <t>Free Radical Biology and Medicine</t>
  </si>
  <si>
    <t>296-305</t>
  </si>
  <si>
    <t>ISSN-08915849</t>
  </si>
  <si>
    <t>Elsevier Inc.</t>
  </si>
  <si>
    <t>13.6</t>
  </si>
  <si>
    <t>10.1016/j.freeradbiomed.2024.07.035</t>
  </si>
  <si>
    <t>2-s2.0-85201146042</t>
  </si>
  <si>
    <t>University of Copenhagen| Universidad Finis Terrae| Universidad de Chile</t>
  </si>
  <si>
    <t>60030840| 60012464| 60281366| 60105368</t>
  </si>
  <si>
    <t>Københavns Universitet| Universidad de Chile| Centro Avanzado de Enfermedades Crónicas| Universidad Finis Terrae</t>
  </si>
  <si>
    <t>Hematological and performance adaptations to altitude training (2,320 m) in elite middle-distance and distance swimmers</t>
  </si>
  <si>
    <t>Mujika, I.| Bourdillon, N.| Zelenkova, I.| Vergnoux, F.| Millet, G.P.</t>
  </si>
  <si>
    <t>Frontiers in Physiology</t>
  </si>
  <si>
    <t>ISSN-1664042X</t>
  </si>
  <si>
    <t>7.3</t>
  </si>
  <si>
    <t>10.3389/fphys.2024.1474479</t>
  </si>
  <si>
    <t>2-s2.0-85206076775</t>
  </si>
  <si>
    <t>University of Lausanne| Universidad Finis Terrae| University of Zaragoza| University of the Basque Country</t>
  </si>
  <si>
    <t>60027856| 60105368| 60000239| 60016809| 131775198</t>
  </si>
  <si>
    <t>Universidad del Pais Vasco| Universidad Finis Terrae| Université de Lausanne (UNIL)| Universidad de Zaragoza| Cercle des Nageurs d’Antibes</t>
  </si>
  <si>
    <t>Chile| Spain| Switzerland| France</t>
  </si>
  <si>
    <t>A systematic review of recent developments in IoT-based demand side management for PV power generation</t>
  </si>
  <si>
    <t>10.1515/ehs-2023-0124</t>
  </si>
  <si>
    <t>2-s2.0-85200832851</t>
  </si>
  <si>
    <t>Núñez-Lisboa M.N.</t>
  </si>
  <si>
    <t>The role of physical activity in mitigating age-related changes in the neuromuscular control of gait</t>
  </si>
  <si>
    <t>Núñez-Lisboa, M.N.| Dewolf, A.H.</t>
  </si>
  <si>
    <t>npj Aging</t>
  </si>
  <si>
    <t>ISSN-27316068</t>
  </si>
  <si>
    <t>7.9</t>
  </si>
  <si>
    <t>10.1038/s41514-025-00239-8</t>
  </si>
  <si>
    <t>2-s2.0-105007725331</t>
  </si>
  <si>
    <t>Université catholique de Louvain| Universidad Finis Terrae</t>
  </si>
  <si>
    <t>60000874| 60105368</t>
  </si>
  <si>
    <t>UCLouvain| Universidad Finis Terrae</t>
  </si>
  <si>
    <t>Belgium| Chile</t>
  </si>
  <si>
    <t>Factors associated with prolonged mechanical ventilation in children with pulmonary failure: Cohort study from the LARed Network registry</t>
  </si>
  <si>
    <t>Barajas-Romero, J.S.| Vásquez-Hoyos, P.| Pardo, R.| Jaramillo-Bustamante, J.C.| Grigolli, R.| Monteverde-Fernández, N.| Gonzalez-Dambrauskas, S.| Jabornisky, R.| Cruces, P.| Wegner, A.| Díaz, F.| Pietroboni, P.</t>
  </si>
  <si>
    <t>Medicina Intensiva</t>
  </si>
  <si>
    <t>23-36</t>
  </si>
  <si>
    <t>ISSN-02105691</t>
  </si>
  <si>
    <t>Ediciones Doyma, S.L.</t>
  </si>
  <si>
    <t>English| Spanish</t>
  </si>
  <si>
    <t>2.3</t>
  </si>
  <si>
    <t>45.0</t>
  </si>
  <si>
    <t>0.353</t>
  </si>
  <si>
    <t>10.1016/j.medin.2023.06.005</t>
  </si>
  <si>
    <t>2-s2.0-85166301280</t>
  </si>
  <si>
    <t>Universidad Andrés Bello| Universidad de la República| Universidad Nacional de Colombia| Universidad Finis Terrae| Hospital San José</t>
  </si>
  <si>
    <t>130011114| 60055696| 60110407| 101517523| 60087080| 60341654| 127089474| 60071612| 60071617| 60071613| 100560611| 130011694| 60002636| 60281764| 60025321| 60281394| 60105368| 60105883</t>
  </si>
  <si>
    <t>Red Colaborativa Pediátrica de Latinoamérica (LARed Network)| Universidad Nacional de Colombia| Hospital De San José, Bogotá, Colombia| Clínica Infantil Colsubsidio| Hospital General de Medellin Luz Castro de Gutiérrez - E.S.E| Sabará Hospital Infantil| Mutualista Médica Uruguaya (MUCAM)| Universidad de la Republica| Centro Hospitalario Pereira Rossell| Universidad de la Republica Facultad de Medicina| Hospital Juan Pablo II| Hospital Central Reconquista Olga Stucky De Rizzi| Universidad Andrés Bello| Facultad de Ciencias de la Vida| Hospital Dr. Sotero del Rio| Hospital El Carmen Dr. Luis Valentín Ferrada| Universidad Finis Terrae| Hospital Regional Dr. Leonardo Guzmán de Antofagasta</t>
  </si>
  <si>
    <t>Chile| Uruguay| Colombia| Brazil| Argentina</t>
  </si>
  <si>
    <t>Managing a Burning Face: Clinical Manifestations and Therapeutic Approaches for Neurogenic Rosacea</t>
  </si>
  <si>
    <t>Aedo, G.| Chahuán, M.| Gatica, E.| Herrera, I.| Parada, L.F.| Seguel, A.| Murray, N.P.| Aedo, S.| Aragón-Caqueo, D.</t>
  </si>
  <si>
    <t>10.3390/ijms26052366</t>
  </si>
  <si>
    <t>2-s2.0-86000546568</t>
  </si>
  <si>
    <t>Universidad de Santiago de Chile| Universidad Finis Terrae| Universidad de Tarapacá</t>
  </si>
  <si>
    <t>60023383| 60105368| 60030782</t>
  </si>
  <si>
    <t>Aedo S.</t>
  </si>
  <si>
    <t>Puyol F.</t>
  </si>
  <si>
    <t>New Public Management and Internationalization in Latin American Top-Tier Universities: A Multiple Case Study</t>
  </si>
  <si>
    <t>Labraña, J.| Henríquez, A.| LaTorre, P.| Puyol, F.| Gómez, M.R.| López, N.</t>
  </si>
  <si>
    <t>Journal of Studies in International Education</t>
  </si>
  <si>
    <t>568-587</t>
  </si>
  <si>
    <t>ISSN-10283153</t>
  </si>
  <si>
    <t>SAGE Publications Inc.</t>
  </si>
  <si>
    <t>10.1177/10283153231221652</t>
  </si>
  <si>
    <t>2-s2.0-85180257668</t>
  </si>
  <si>
    <t>Catholic University of the Sacred Heart| Universidad Finis Terrae| Universidad de Tarapacá| Universidad de Chile</t>
  </si>
  <si>
    <t>60030782| 60024053| 60105368| 60012464</t>
  </si>
  <si>
    <t>Universidad de Tarapacá| Università Cattolica del Sacro Cuore| Universidad Finis Terrae| Universidad de Chile</t>
  </si>
  <si>
    <t>Chile| Italy</t>
  </si>
  <si>
    <t>Intelligent power management system for optimizing load strategies in renewable generation</t>
  </si>
  <si>
    <t>Electrical Engineering</t>
  </si>
  <si>
    <t>3039-3061</t>
  </si>
  <si>
    <t>ISSN-09487921</t>
  </si>
  <si>
    <t>18.0</t>
  </si>
  <si>
    <t>0.534</t>
  </si>
  <si>
    <t>10.1007/s00202-024-02674-4</t>
  </si>
  <si>
    <t>2-s2.0-105001585427</t>
  </si>
  <si>
    <t>Guevara Ó.J.</t>
  </si>
  <si>
    <t>Strengthening secured creditors: Implications on debt financing and investment</t>
  </si>
  <si>
    <t>Guevara, Ó.J.| Riutort, J.</t>
  </si>
  <si>
    <t>Journal of Corporate Finance</t>
  </si>
  <si>
    <t>ISSN-09291199</t>
  </si>
  <si>
    <t>14.2</t>
  </si>
  <si>
    <t>10.1016/j.jcorpfin.2023.102537</t>
  </si>
  <si>
    <t>2-s2.0-85183561640</t>
  </si>
  <si>
    <t>Universidad Adolfo Ibáñez| Universidad Finis Terrae</t>
  </si>
  <si>
    <t>60105368| 60003942</t>
  </si>
  <si>
    <t>Universidad Finis Terrae| Universidad Adolfo Ibáñez</t>
  </si>
  <si>
    <t>Muzard A.</t>
  </si>
  <si>
    <t>Guided web app intervention for reducing symptoms of depression in postpartum women: Results of a feasibility randomized controlled trial</t>
  </si>
  <si>
    <t>Franco, P.| Olhaberry, M.| Kelders, S.| Muzard, A.| Cuijpers, P.</t>
  </si>
  <si>
    <t>Internet Interventions</t>
  </si>
  <si>
    <t>ISSN-22147829</t>
  </si>
  <si>
    <t>24.0</t>
  </si>
  <si>
    <t>10.1016/j.invent.2024.100744</t>
  </si>
  <si>
    <t>2-s2.0-85191358580</t>
  </si>
  <si>
    <t>Babes-Bolyai University| Ministerio de Planificación, Chile| Universidad Finis Terrae| University of Twente| North West University| Pontificia Universidad Católica de Chile| Amsterdam UMC| Vrije Universiteit Amsterdam</t>
  </si>
  <si>
    <t>60029681| 60281485| 60020599| 60029714| 60105368| 60008734| 60117142| 60024417</t>
  </si>
  <si>
    <t>Pontificia Universidad Católica de Chile| Instituto Milenio para la Investigación en Depresión y Personalidad| Universiteit Twente| North-West University| Universidad Finis Terrae| Vrije Universiteit Amsterdam| Amsterdam Public Health| Universitatea Babeș-Bolyai</t>
  </si>
  <si>
    <t>Chile| South Africa| Netherlands| Romania</t>
  </si>
  <si>
    <t>Hartmann D.</t>
  </si>
  <si>
    <t>Sunproofing from within: A deep dive into oral photoprotection strategies in dermatology</t>
  </si>
  <si>
    <t>Hartmann, D.| Valenzuela, F.</t>
  </si>
  <si>
    <t>Photodermatology Photoimmunology and Photomedicine</t>
  </si>
  <si>
    <t>ISSN-09054383</t>
  </si>
  <si>
    <t>4.4</t>
  </si>
  <si>
    <t>26.0</t>
  </si>
  <si>
    <t>0.685</t>
  </si>
  <si>
    <t>10.1111/phpp.12985</t>
  </si>
  <si>
    <t>2-s2.0-85195414523</t>
  </si>
  <si>
    <t>Universidad de los Andes Chile| Universidad Finis Terrae| Universidad de Chile</t>
  </si>
  <si>
    <t>60105368| 128923672| 60012464| 60011284</t>
  </si>
  <si>
    <t>Universidad Finis Terrae| Probity Medical Research| Universidad de Chile| Universidad de los Andes, Chile</t>
  </si>
  <si>
    <t>Infraorbital canal variants and its clinical and surgical implications. A systematic review</t>
  </si>
  <si>
    <t>Orellana-Donoso, M.| Romero-Zucchino, D.| Fuentes-Abarca, A.| Aravena-Ríos, P.| Sanchis-Gimeno, J.| Konschake, M.| Nova-Baeza, P.| Valenzuela-Fuenzalida, J.J.</t>
  </si>
  <si>
    <t>Surgical and Radiologic Anatomy</t>
  </si>
  <si>
    <t>1027-1046</t>
  </si>
  <si>
    <t>ISSN-09301038</t>
  </si>
  <si>
    <t>Springer-Verlag Italia s.r.l.</t>
  </si>
  <si>
    <t>2.7</t>
  </si>
  <si>
    <t>39.0</t>
  </si>
  <si>
    <t>0.472</t>
  </si>
  <si>
    <t>10.1007/s00276-024-03348-3</t>
  </si>
  <si>
    <t>2-s2.0-85191716936</t>
  </si>
  <si>
    <t>Innsbruck Medical University| Universidad de las Américas - Chile| Universidad Andrés Bello| University of Valencia| Universidad Finis Terrae| Universidad Bernardo O'Higgins</t>
  </si>
  <si>
    <t>60105368| 60105362| 60105370| 60002644| 60008222| 60002636</t>
  </si>
  <si>
    <t>Universidad Finis Terrae| Universidad de Las Américas Chile| Universidad Bernardo O'Higgins| Universitat de València| Medizinische Universitat Innsbruck| Universidad Andrés Bello</t>
  </si>
  <si>
    <t>Romero-Zucchino D.</t>
  </si>
  <si>
    <t>Fuentes-Abarca A.</t>
  </si>
  <si>
    <t>Aravena-Ríos P.</t>
  </si>
  <si>
    <t>Figueroa D.</t>
  </si>
  <si>
    <t>Caring leadership in early childhood education in Chile: tensions from a highly gendered context</t>
  </si>
  <si>
    <t>Guerra, P.| Poblete, X.| Rodriguez, M.| Figueroa, D.</t>
  </si>
  <si>
    <t>School Leadership and Management</t>
  </si>
  <si>
    <t>102-119</t>
  </si>
  <si>
    <t>ISSN-13632434</t>
  </si>
  <si>
    <t>4.5</t>
  </si>
  <si>
    <t>0.876</t>
  </si>
  <si>
    <t>10.1080/13632434.2024.2317787</t>
  </si>
  <si>
    <t>2-s2.0-85186548748</t>
  </si>
  <si>
    <t>Universidad de las Américas - Chile| Universidad Católica Silva Henríquez| Universidad Finis Terrae| Universidad Alberto Hurtado</t>
  </si>
  <si>
    <t>60105381| 60088733| 60105362| 60105368</t>
  </si>
  <si>
    <t>Universidad Católica Silva Henríquez| Universidad Alberto Hurtado| Universidad de Las Américas Chile| Universidad Finis Terrae</t>
  </si>
  <si>
    <t>3G extruded snacks enriched with catechin for high antioxidant capacity</t>
  </si>
  <si>
    <t>Zambrano, Y.| Mariotti-Celis, M.S.| Bouchon, P.</t>
  </si>
  <si>
    <t>LWT</t>
  </si>
  <si>
    <t>ISSN-00236438</t>
  </si>
  <si>
    <t>Academic Press</t>
  </si>
  <si>
    <t>1.48</t>
  </si>
  <si>
    <t>10.1016/j.lwt.2023.115674</t>
  </si>
  <si>
    <t>2-s2.0-85182507728</t>
  </si>
  <si>
    <t>60029681| 60105368</t>
  </si>
  <si>
    <t>Pontificia Universidad Católica de Chile| Universidad Finis Terrae</t>
  </si>
  <si>
    <t>Comparative Analysis of Sustainable Extraction Methods and Green Solvents for Olive Leaf Extracts with Antioxidant and Antihyperglycemic Activities</t>
  </si>
  <si>
    <t>Huamán-Castilla, N.L.| Mamani Apaza, L.O.| Zirena Vilca, F.| Saldaña, E.| Diaz-Valencia, Y.K.| Mariotti-Celis, M.S.</t>
  </si>
  <si>
    <t>Antioxidants</t>
  </si>
  <si>
    <t>ISSN-20763921</t>
  </si>
  <si>
    <t>12.4</t>
  </si>
  <si>
    <t>10.3390/antiox13121523</t>
  </si>
  <si>
    <t>2-s2.0-85213252656</t>
  </si>
  <si>
    <t>Universidad Nacional de Moquegua| Universidad Finis Terrae| Universidad Nacional San Agustín de Arequipa</t>
  </si>
  <si>
    <t>60122402| 60089535| 60105368</t>
  </si>
  <si>
    <t>Universidad Nacional de Moquegua| Universidad Nacional de San Agustin de Arequipa| Universidad Finis Terrae</t>
  </si>
  <si>
    <t>Farsani D.</t>
  </si>
  <si>
    <t>Metaphors across cultures</t>
  </si>
  <si>
    <t>Banaruee, H.| Farsani, D.| Khatin-Zadeh, O.| Eskandari, Z.</t>
  </si>
  <si>
    <t>Poznan Studies in Contemporary Linguistics</t>
  </si>
  <si>
    <t>133-158</t>
  </si>
  <si>
    <t>ISSN-01372459</t>
  </si>
  <si>
    <t>De Gruyter Mouton</t>
  </si>
  <si>
    <t>1.2</t>
  </si>
  <si>
    <t>0.258</t>
  </si>
  <si>
    <t>10.1515/psicl-2023-0035</t>
  </si>
  <si>
    <t>2-s2.0-85193239807</t>
  </si>
  <si>
    <t>University of Electronic Science and Technology of China| Weingarten University of Education| Universidad Finis Terrae</t>
  </si>
  <si>
    <t>60022201| 60105368| 60005465</t>
  </si>
  <si>
    <t>Pädagogische Hochschule Weingarten| Universidad Finis Terrae| University of Electronic Science and Technology of China</t>
  </si>
  <si>
    <t>Chile| China| Germany</t>
  </si>
  <si>
    <t>Association of muscle disorders in late postmenopausal women according to the type of experienced menopause</t>
  </si>
  <si>
    <t>Vallejo, M.S.| Blümel, J.E.| Chedraui, P.| Tserotas, K.| Salinas, C.| Rodrigues, M.A.| Rodríguez, D.A.| Rey, C.| Ojeda, E.| Ñañez, M.| Monterrosa-Castro, Á.| Gómez-Tabares, G.| Espinoza, M.T.| Escalante, C.| Elizalde, A.| Dextre, M.| Calle, A.| Aedo, S.</t>
  </si>
  <si>
    <t>641-646</t>
  </si>
  <si>
    <t>10.1097/GME.0000000000002367</t>
  </si>
  <si>
    <t>2-s2.0-85197356033</t>
  </si>
  <si>
    <t>Universidad Nacional de Córdoba| Universidad Espíritu Santo, Ecuador| Universidad de Cartagena| Universidad Tecnológica Indoamérica| Universidade Federal de Minas Gerais| Universidad Católica Nuestra Señora de la Asunción| University of Costa Rica| Universidad Finis Terrae| Universidad Andina del Cusco| Universidad de Chile| Universidad del Valle| Universidad de Buenos Aires| Universidad Nacional del Nordeste</t>
  </si>
  <si>
    <t>60011682| 60002946| 60012464| 60104602| 60104924| 125551913| 105888846| 60030074| 60001563| 60009065| 101550488| 60112686| 60000658| 60055678| 60066812| 126710413| 60195990| 60071929| 60019006| 60003542| 60120511| 60110777| 60105368</t>
  </si>
  <si>
    <t>Hospital Clínico Universidad De Chile| Facultad de Medicina de la Universidad de Chile| Universidad de Chile| Universidad Espíritu Santo| Universidad Católica Nuestra Señora de la Asunción| Clínica Tserotas| Hospital Ángeles| Universidade Federal de Minas Gerais| Universidad de Buenos Aires| Hospital de Clínicas "José de San Martín"| Asociación Argentina para el Estudio del Climaterio| Universidad Andina del Cusco| Universidad Nacional de Córdoba| Universidad de Cartagena| Universidad del Valle, Cali| Clínica Los Ángeles| Universidad de Costa Rica, Facultad de Medicina| Universidad de Costa Rica| Fundacion Barcelo, Facultad de Medicina| Universidad Nacional del Nordeste| Clínica Javier Prado| Universidad Tecnológica Indoamérica| Universidad Finis Terrae</t>
  </si>
  <si>
    <t>Chile| Paraguay| Ecuador| Costa Rica| Mexico| Colombia| Panama| Bolivia| Peru| Brazil| Argentina</t>
  </si>
  <si>
    <t>De la Fuente López M.</t>
  </si>
  <si>
    <t>Butyrate suppresses mucosal inflammation in inflammatory bowel disease primarily through HDAC3 inhibition in monocytes and macrophages</t>
  </si>
  <si>
    <t>Parada-Venegas, D.| De la Fuente López, M.| Dubois-Camacho, K.| Landskron, G.| Blokzijl, T.| Molina, H.| Casanova, M.-C.| Cui, Y.| Liu, M.| Da Costa De Pina, A.M.| Simian, D.| González, M.-J.| Weersma, R.K.| Quera, R.| Dijkstra, G.| Faber, K.N.| Hermoso, M.A.</t>
  </si>
  <si>
    <t>FEBS Journal</t>
  </si>
  <si>
    <t>6134-6157</t>
  </si>
  <si>
    <t>ISSN-1742464X</t>
  </si>
  <si>
    <t>12.7</t>
  </si>
  <si>
    <t>10.1111/febs.70289</t>
  </si>
  <si>
    <t>2-s2.0-105019339045</t>
  </si>
  <si>
    <t>Universidad de los Andes Chile| University of Groningen| Universidad Finis Terrae| Clínica Las Condes| Universidad de Chile</t>
  </si>
  <si>
    <t>60006027| 60010023| 60002946| 60012464| 60105368| 60011682| 60017912| 60011284</t>
  </si>
  <si>
    <t>Universitair Medisch Centrum Groningen| Rijksuniversiteit Groningen| Facultad de Medicina de la Universidad de Chile| Universidad de Chile| Universidad Finis Terrae| Hospital Clínico Universidad De Chile| Clínica Las Condes| Universidad de los Andes, Chile</t>
  </si>
  <si>
    <t>Chile| Netherlands</t>
  </si>
  <si>
    <t>Metabolism</t>
  </si>
  <si>
    <t>Estimation of ventilatory thresholds during exercise using respiratory wearable sensors</t>
  </si>
  <si>
    <t>Contreras-Briceño, F.| Cancino, J.| Espinosa-Ramírez, M.| Fernández, G.| Johnson, V.| Hurtado, D.E.</t>
  </si>
  <si>
    <t>npj Digital Medicine</t>
  </si>
  <si>
    <t>ISSN-23986352</t>
  </si>
  <si>
    <t>20.3</t>
  </si>
  <si>
    <t>10.1038/s41746-024-01191-9</t>
  </si>
  <si>
    <t>2-s2.0-85199751688</t>
  </si>
  <si>
    <t>Universidad Finis Terrae| Massachusetts Institute of Technology| Pontificia Universidad Católica de Chile| Clínica Alemana de Santiago</t>
  </si>
  <si>
    <t>60029681| 60105368| 60000146| 113420908| 60140949| 60022195</t>
  </si>
  <si>
    <t>Pontificia Universidad Católica de Chile| Universidad Finis Terrae| Clinica Alemana| SpA| MIT School of Engineering| Massachusetts Institute of Technology</t>
  </si>
  <si>
    <t>Movement Sciences (NUTRIM)</t>
  </si>
  <si>
    <t>Development of a 31P magnetic resonance spectroscopy technique to quantify NADH and NAD+ at 3 T</t>
  </si>
  <si>
    <t>Mevenkamp, J.| Bruls, Y.M.H.| Mancilla, R.| Grevendonk, L.| Wildberger, J.E.| Brouwers, K.| Hesselink, M.K.C.| Schrauwen, P.| Hoeks, J.| Houtkooper, R.H.| Buitinga, M.| de Graaf, R.A.| Lindeboom, L.| Schrauwen-Hinderling, V.B.</t>
  </si>
  <si>
    <t>10.1038/s41467-024-53292-4</t>
  </si>
  <si>
    <t>2-s2.0-85207388806</t>
  </si>
  <si>
    <t>Leiden University| University of Amsterdam| Maastricht University| German Diabetes Center Düsseldorf| Universidad Finis Terrae| Yale University| Amsterdam UMC</t>
  </si>
  <si>
    <t>60007895| 60018869| 60105368| 60010660| 60015618| 60264475| 60001157| 60017994</t>
  </si>
  <si>
    <t>Maastricht Universitair Medisch Centrum+| Universiteit Maastricht| Universidad Finis Terrae| Deutsches Diabetes-Zentrum| Leids Universitair Medisch Centrum| Amsterdam Gastroenterology Endocrinology Metabolism| Amsterdam UMC - University of Amsterdam| Yale School of Medicine</t>
  </si>
  <si>
    <t>Chile| United States| Germany| Netherlands</t>
  </si>
  <si>
    <t>Figueroa-Toledo A.M.</t>
  </si>
  <si>
    <t>BMAL1 and CLOCK proteins exhibit differential association with mitochondrial dynamics, protein synthesis pathways and muscle strength in human muscle</t>
  </si>
  <si>
    <t>Figueroa-Toledo, A.M.| Gutiérrez-Pino, J.| Carriel-Nesvara, A.| Marchese-Bittencourt, M.| Zbinden-Foncea, H.| Castro-Sepúlveda, M.</t>
  </si>
  <si>
    <t>Journal of Physiology</t>
  </si>
  <si>
    <t>6403-6415</t>
  </si>
  <si>
    <t>ISSN-00223751</t>
  </si>
  <si>
    <t>8.3</t>
  </si>
  <si>
    <t>15.0</t>
  </si>
  <si>
    <t>10.1113/JP285955</t>
  </si>
  <si>
    <t>2-s2.0-85196771662</t>
  </si>
  <si>
    <t>Gutiérrez-Pino J.</t>
  </si>
  <si>
    <t>Carriel-Nesvara A.</t>
  </si>
  <si>
    <t>Marchese-Bittencourt M.</t>
  </si>
  <si>
    <t>Vasquez F.</t>
  </si>
  <si>
    <t>Cardiorenal Syndrome: Molecular Pathways Linking Cardiovascular Dysfunction and Chronic Kidney Disease Progression</t>
  </si>
  <si>
    <t>Vasquez, F.| Tiscornia, C.| Lorca-Ponce, E.| Aicardi, V.| Vasquez, S.</t>
  </si>
  <si>
    <t>10.3390/ijms26157440</t>
  </si>
  <si>
    <t>2-s2.0-105013199742</t>
  </si>
  <si>
    <t>60105368| 60003126| 60105874| 60012464</t>
  </si>
  <si>
    <t>Universidad Finis Terrae| Universidad Metropolitana de Ciencias de la Educación| Clínica Indisa| Universidad de Chile</t>
  </si>
  <si>
    <t>Tiscornia C.</t>
  </si>
  <si>
    <t>Lorca-Ponce E.</t>
  </si>
  <si>
    <t>Anatomy of vertebral artery hypoplasia and its relationship with clinical implications: a systematic review and meta-analysis of prevalence</t>
  </si>
  <si>
    <t>Valenzuela-Fuenzalida, J.J.| Rojas-Navia, C.P.| Quirós-Clavero, A.P.| Sanchis-Gimeno, J.| Rodriguez-Luengo, M.| Nova-Baeza, P.| Orellana-Donoso, M.| Becerra Farfán, Á.| Bruna-Mejias, A.| Sepúlveda-Loyola, W.| Iwanaga, J.</t>
  </si>
  <si>
    <t>963-975</t>
  </si>
  <si>
    <t>10.1007/s00276-024-03377-y</t>
  </si>
  <si>
    <t>2-s2.0-85193467121</t>
  </si>
  <si>
    <t>Universidad de las Américas - Chile| Universidad Andrés Bello| University of Valencia| Universidad Finis Terrae| Universidad Bernardo O'Higgins| Institute of Science Tokyo| Tulane University</t>
  </si>
  <si>
    <t>60105368| 60105362| 60002636| 60105370| 60002644| 60172570| 60283164| 60015112</t>
  </si>
  <si>
    <t>Universidad Finis Terrae| Universidad de Las Américas Chile| Universidad Andrés Bello| Universidad Bernardo O'Higgins| Universitat de València| Graduate School of Medical and Dental Sciences| Institute of Science Tokyo| Tulane University School of Medicine</t>
  </si>
  <si>
    <t>Chile| Spain| Japan| United States</t>
  </si>
  <si>
    <t>Soft-tissue volume augmentation during early, delayed, and late dental implant therapy: A systematic review and meta-analysis on professionally determined esthetics and self-reported patient satisfaction on esthetics</t>
  </si>
  <si>
    <t>Ramanauskaite, A.| Sadilina, S.| Schwarz, F.| Cafferata, E.A.| Strauss, F.J.| Thoma, D.S.</t>
  </si>
  <si>
    <t>Periodontology 2000</t>
  </si>
  <si>
    <t>ISSN-09066713</t>
  </si>
  <si>
    <t>37.8</t>
  </si>
  <si>
    <t>10.1111/prd.12628</t>
  </si>
  <si>
    <t>2-s2.0-105002731372</t>
  </si>
  <si>
    <t>Goethe University Frankfurt| University of Zurich| Universidad Científica del Sur| Universidad Finis Terrae</t>
  </si>
  <si>
    <t>60007762| 60012614| 60078122| 60105368</t>
  </si>
  <si>
    <t>Goethe-Universität Frankfurt am Main| Universität Zürich| Universidad Científica del Sur| Universidad Finis Terrae</t>
  </si>
  <si>
    <t>Chile| Germany| Switzerland| Peru</t>
  </si>
  <si>
    <t>Landskron G.</t>
  </si>
  <si>
    <t>Pannexin-1 expression in tumor cells correlates with colon cancer progression and survival</t>
  </si>
  <si>
    <t>Fierro-Arenas, A.| Landskron, G.| Camhi-Vainroj, I.| Basterrechea, B.| Parada-Venegas, D.| Lobos-González, L.| Dubois-Camacho, K.| Araneda, C.| Romero, C.| Domínguez, A.| Vásquez, G.| López-K, F.| Alvarez, K.| González, C.M.| Hager Ribeiro, C.| Balboa, E.| Eugenin, E.| Hermoso, M.A.| De la Fuente López, M.</t>
  </si>
  <si>
    <t>Life Sciences</t>
  </si>
  <si>
    <t>ISSN-00243205</t>
  </si>
  <si>
    <t>10.9</t>
  </si>
  <si>
    <t>10.1016/j.lfs.2024.122851</t>
  </si>
  <si>
    <t>2-s2.0-85196542544</t>
  </si>
  <si>
    <t>Universidad Andrés Bello| Universidad de los Andes Chile| University of Groningen| Universidad del Desarrollo| University of Texas Medical Branch at Galveston| Universidad Finis Terrae| Universidad de Chile| Clínica Las Condes| Clínica Alemana de Santiago</t>
  </si>
  <si>
    <t>60002946| 60012464| 60017912| 60105368| 60010023| 60006027| 60006469| 60000146| 60281366| 60011284| 60281764| 60002636| 60014569| 60017552</t>
  </si>
  <si>
    <t>Facultad de Medicina de la Universidad de Chile| Universidad de Chile| Clínica Las Condes| Universidad Finis Terrae| Rijksuniversiteit Groningen| Universitair Medisch Centrum Groningen| Universidad del Desarrollo| Clinica Alemana| Centro Avanzado de Enfermedades Crónicas| Universidad de los Andes, Chile| Facultad de Ciencias de la Vida| Universidad Andrés Bello| The University of Texas Medical Branch at Galveston| John Sealy School of Medicine</t>
  </si>
  <si>
    <t>Chile| United States| Netherlands</t>
  </si>
  <si>
    <t>Araneda C.</t>
  </si>
  <si>
    <t>Romero C.</t>
  </si>
  <si>
    <t>Domínguez A.</t>
  </si>
  <si>
    <t>Vásquez G.</t>
  </si>
  <si>
    <t>Balboa E.</t>
  </si>
  <si>
    <t>Etchegaray-Armijo K.</t>
  </si>
  <si>
    <t>Biomarkers of oxidative stress in maternal plasma, umbilical cord and placenta of patients with gestational diabetes: a systematic review and meta-analysis</t>
  </si>
  <si>
    <t>Etchegaray-Armijo, K.| Bustos-Arriagada, E.| Navarro-Rosenblatt, D.| Vera, C.| Garmendia, M.L.| Sobrevia, L.| López-Alarcón, C.| Casanello, P.</t>
  </si>
  <si>
    <t>650-665</t>
  </si>
  <si>
    <t>13.2</t>
  </si>
  <si>
    <t>10.1016/j.freeradbiomed.2025.06.007</t>
  </si>
  <si>
    <t>2-s2.0-105008991612</t>
  </si>
  <si>
    <t>University of Seville| University of Queensland| Universidad Finis Terrae| Universidad de Chile| Pontificia Universidad Católica de Chile| Universidade Estadual Paulista Júlio de Mesquita Filho| Ministerio de Salud de Chile</t>
  </si>
  <si>
    <t>60012464| 60105368| 60017380| 60029681| 60033284| 60006028| 60110780| 60031004</t>
  </si>
  <si>
    <t>Universidad de Chile| Universidad Finis Terrae| Ministerio de Salud de Chile| Pontificia Universidad Católica de Chile| Universidad de Sevilla| Universidade Estadual Paulista "Júlio de Mesquita Filho"| UQ Centre for Clinical Research| The University of Queensland</t>
  </si>
  <si>
    <t>Chile| Spain| Australia| Brazil</t>
  </si>
  <si>
    <t>Bustos-Arriagada E.</t>
  </si>
  <si>
    <t>Anatomical Variants of the Renal Veins and Their Relationship with Morphofunctional Alterations of the Kidney: A Systematic Review and Meta-Analysis of Prevalence</t>
  </si>
  <si>
    <t>Valenzuela Fuenzalida, J.J.| Vera-Tapia, K.| Urzúa-Márquez, C.| Yáñez-Castillo, J.| Trujillo-Riveros, M.| Koscina, Z.| Orellana-Donoso, M.| Nova-Baeza, P.| Suazo-Santibañez, A.| Sanchis-Gimeno, J.| Bruna-Mejias, A.| Gutiérrez Espinoza, H.</t>
  </si>
  <si>
    <t>10.3390/jcm13133689</t>
  </si>
  <si>
    <t>2-s2.0-85198476555</t>
  </si>
  <si>
    <t>Universidad de las Américas - Chile| Universidad de las Américas - Ecuador| Universidad Andrés Bello| University of Valencia| Universidad Finis Terrae| Universidad de Playa Ancha de Ciencias de la Educación| Universidad Bernardo O'Higgins</t>
  </si>
  <si>
    <t>60002636| 60105370| 60105368| 60105362| 60002644| 60019586| 60104441</t>
  </si>
  <si>
    <t>Universidad Andrés Bello| Universidad Bernardo O'Higgins| Universidad Finis Terrae| Universidad de Las Américas Chile| Universitat de València| Universidad de Playa Ancha| Universidad de las Americas - Ecuador</t>
  </si>
  <si>
    <t>Rodríguez C.</t>
  </si>
  <si>
    <t>Artificial intelligence in diagnosing upper limb musculoskeletal disorders: a systematic review and meta-analysis of diagnostic tests</t>
  </si>
  <si>
    <t>Droppelmann, G.| Rodríguez, C.| Jorquera, C.| Feijoo, F.</t>
  </si>
  <si>
    <t>EFORT Open Reviews</t>
  </si>
  <si>
    <t>241-251</t>
  </si>
  <si>
    <t>ISSN-23967544</t>
  </si>
  <si>
    <t>British Editorial Society of Bone and Joint Surgery</t>
  </si>
  <si>
    <t>10.1530/EOR-23-0174</t>
  </si>
  <si>
    <t>2-s2.0-85190693898</t>
  </si>
  <si>
    <t>Universidad Mayor| Universidad Católica San Antonio de Murcia| Harvard University| Pontificia Universidad Católica de Valparaíso| Universidad Finis Terrae</t>
  </si>
  <si>
    <t>60109622| 60109394| 60032499| 60105368| 60005881| 60023520</t>
  </si>
  <si>
    <t>Clinica Meds, Chile| Universidad Católica de Murcia| Harvard T.H. Chan School of Public Health| Universidad Finis Terrae| Universidad Mayor| Pontificia Universidad Católica de Valparaíso</t>
  </si>
  <si>
    <t>Chile| Spain| United States</t>
  </si>
  <si>
    <t>Designing an intelligent smart energy monitoring system for optimizing the utilization of PV energy</t>
  </si>
  <si>
    <t>Energy Systems</t>
  </si>
  <si>
    <t>ISSN-18683967</t>
  </si>
  <si>
    <t>0.509</t>
  </si>
  <si>
    <t>10.1007/s12667-024-00703-6</t>
  </si>
  <si>
    <t>2-s2.0-85208047043</t>
  </si>
  <si>
    <t>Guevara E.</t>
  </si>
  <si>
    <t>Uncertainty dynamics in energy planning models: An autoregressive and Markov chain modeling approach</t>
  </si>
  <si>
    <t>Guevara, E.| Babonneau, F.| Homem-de-Mello, T.</t>
  </si>
  <si>
    <t>Computers and Industrial Engineering</t>
  </si>
  <si>
    <t>ISSN-03608352</t>
  </si>
  <si>
    <t>10.1016/j.cie.2024.110084</t>
  </si>
  <si>
    <t>2-s2.0-85189442847</t>
  </si>
  <si>
    <t>60105368| 128982671| 60003942</t>
  </si>
  <si>
    <t>Universidad Finis Terrae| France and ORDECSYS| Universidad Adolfo Ibáñez</t>
  </si>
  <si>
    <t>Chile| Switzerland</t>
  </si>
  <si>
    <t>Quezada M.</t>
  </si>
  <si>
    <t>Role of NLRP3 Inflammasome in Heart Failure Patients Undergoing Cardiac Surgery as a Potential Determinant of Postoperative Atrial Fibrillation and Remodeling: Is SGLT2 Cotransporter Inhibition an Alternative for Cardioprotection?</t>
  </si>
  <si>
    <t>Castillo, R.L.| Farías, J.| Sandoval, C.| González-Candia, A.| Figueroa, E.| Quezada, M.| Cruz, G.| Llanos, P.| Jorquera, G.| Kostin, S.| Carrasco, R.</t>
  </si>
  <si>
    <t>10.3390/antiox13111388</t>
  </si>
  <si>
    <t>2-s2.0-85210267275</t>
  </si>
  <si>
    <t>Universidad de O'Higgins| Universidad Santo Tomás, Santiago| Universidad de la Frontera| Brandenburg Medical School Theodor Fontane| Hospital del Salvador| Universidad Finis Terrae| Universidad de Valparaíso| Universidad de Chile| Clínica Alemana de Santiago</t>
  </si>
  <si>
    <t>60012464| 60002946| 60006634| 60012035| 60009128| 60075987| 60157974| 60105368| 60008781| 60203655| 60000146</t>
  </si>
  <si>
    <t>Universidad de Chile| Facultad de Medicina de la Universidad de Chile| Hospital del Salvador| Universidad de la Frontera| Universidad Santo Tomas, Santiago| Universidad de la Frontera, Facultad de Medicina| Universidad de O’Higgins| Universidad Finis Terrae| Universidad de Valparaiso| Medizinische Hochschule Brandenburg Theodor Fontane| Clinica Alemana</t>
  </si>
  <si>
    <t>Inclusion of ΑVβ3 integrin into extracellular vesicles in a caveolin-1 tyrosine-14- phosphorylation dependent manner and subsequent transfer to recipient melanoma cells promotes migration, invasion and metastasis</t>
  </si>
  <si>
    <t>Huilcaman, R.| Campos, A.| Contreras, P.| Simón, L.| Varas-Godoy, M.| Grünenwald, F.| Shao, B.| Heinecke, J.| Lobos-Gonzalez, L.| Leyton, L.| Quest, A.F.G.</t>
  </si>
  <si>
    <t>ISSN-1478811X</t>
  </si>
  <si>
    <t>13.3</t>
  </si>
  <si>
    <t>10.1186/s12964-025-02131-0</t>
  </si>
  <si>
    <t>2-s2.0-105000330260</t>
  </si>
  <si>
    <t>Cancer Research UK| Universidad de los Andes Chile| Universidad San Sebastián| Universidad Finis Terrae| Universidad de Chile| University of Washington| Universidad Bernardo O'Higgins</t>
  </si>
  <si>
    <t>60002946| 60012464| 60281366| 60105368| 60000636| 60012442| 60011284| 60028548| 60015481| 60012754| 60105370</t>
  </si>
  <si>
    <t>Facultad de Medicina de la Universidad de Chile| Universidad de Chile| Centro Avanzado de Enfermedades Crónicas| Universidad Finis Terrae| Universidad San Sebastián| Fundación Ciencia &amp; Vida| Universidad de los Andes, Chile| University of Washington School of Medicine| University of Washington| Cancer Research UK| Universidad Bernardo O'Higgins</t>
  </si>
  <si>
    <t>Chile| United Kingdom| United States</t>
  </si>
  <si>
    <t>Galleguillos R.B.</t>
  </si>
  <si>
    <t>The La Silla Schmidt Southern Survey</t>
  </si>
  <si>
    <t>Miller, A.A.| Abrams, N.S.| Aldering, G.| Anand, S.| Angus, C.R.| Arcavi, I.| Baltay, C.| Bauer, F.E.| Brethauer, D.| Bloom, J.S.| Bommireddy, H.| Catelan, M.| Chornock, R.| Clark, P.| Collett, T.E.| Dimitriadis, G.| Faris, S.| Förster, F.| Franckowiak, A.| Frohmaier, C.| Galbany, L.| Galleguillos, R.B.| Goobar, A.| Graur, O.| Gutiérrez, C.P.| Hall, S.| Hammerstein, E.| Herner, K.R.| Hook, I.M.| Huston, M.J.| Johansson, J.| Kilpatrick, C.D.| Kim, A.G.| Knop, R.A.| Kowalski, M.P.| Kwok, L.A.| LeBaron, N.| Lin, K.W.| Liu, C.| Lu, J.R.| Lu, W.| Lunnan, R.| Maguire, K.| Makrygianni, L.| Margutti, R.| Maoz, D.| Veres, P.M.| Moore, T.| Nayana, A.J.| Nicholl, M.| Nordin, J.| Oates, S.R.| Pignata, G.| Polin, A.| Poznanski, D.| Prieto, J.L.| Rabinowitz, D.L.| Rehemtulla, N.| Rigault, M.| Ryczanowski, D.| Sarin, N.| Schulze, S.| Shah, V.G.| Sheng, X.| Shilling, S.P.R.| Simmons, B.D.| Singh, A.| Smith, G.P.| Smith, M.| Sollerman, J.| Soumagnac, M.T.| Stubbs, C.W.| Sullivan, M.| Suresh, A.| Trakhtenbrot, B.| Ward, C.| Wiston, E.| Xiong, H.| Yao, Y.| Nugent, P.E.</t>
  </si>
  <si>
    <t>Publications of the Astronomical Society of the Pacific</t>
  </si>
  <si>
    <t>ISSN-00046280</t>
  </si>
  <si>
    <t>Institute of Physics</t>
  </si>
  <si>
    <t>10.1088/1538-3873/ae02c5</t>
  </si>
  <si>
    <t>2-s2.0-105017453190</t>
  </si>
  <si>
    <t>CSIC| Institute of Space Studies of Catalonia| Harvard University| University of California at Berkeley| Ministerio de Planificación, Chile| Lawrence Berkeley National Laboratory| Yale University| Universidad Finis Terrae| Universidad de Tarapacá| Pontificia Universidad Católica de Chile| California Institute of Technology| Universidad Diego Portales| University of Birmingham| Northwestern University| CSIC - Institute of Space Sciences| Lancaster University| Ruhr University Bochum| Stanford University| Universite Claude Bernard Lyon 1| American Museum of Natural History| Institut national de physique nucléaire et de physique des particules| University of Vienna| Princeton University| Tel Aviv University| Purdue University| Humboldt University of Berlin| United States Department of Energy| Instituto Milenio de Astrofísica| German Electron Synchrotron| University of Southampton| KTH Royal Institute of Technology| Fermi National Accelerator Laboratory| Queen's University Belfast| Bar-Ilan University| Stockholm University| Hiroshima University| Trinity College Dublin| CNRS| University of Portsmouth| Universidad de Chile</t>
  </si>
  <si>
    <t>60007363| 131987985| 60025038| 60007174| 60012708| 60091251| 60029738| 60005681| 60005455| 60030782| 60012464| 60029681| 60138333| 60025225| 60025475| 60023643| 60005322| 60103733| 60022558| 60105368| 60028378| 60236992| 60011425| 60013881| 60030635| 60000762| 60065435| 60011149| 60009254| 60028629| 60031581| 60013592| 60157832| 60025995| 60023578| 60210254| 60008134| 60019702| 60002014| 60030788| 60025988| 60002765| 60009982| 60006303| 60003269| 60104840</t>
  </si>
  <si>
    <t>Northwestern University| NSF-Simons AI Institute for the Sky (SkAI)| University of California, Berkeley| Lawrence Berkeley National Laboratory| Stanford University| Kavli Institute for Particle Astrophysics and Cosmology| Queen's University Belfast| Tel Aviv University| Yale University| Universidad de Tarapacá| Universidad de Chile| Pontificia Universidad Católica de Chile| Instituto Milenio de Astrofísica| University of Southampton| University of Portsmouth| Lancaster University| Ruhr-Universitat Bochum| CSIC - Instituto de Ciencias del Espacio (ICE)| Instituto de Estudios Espaciales de Cataluña| Universidad Finis Terrae| Stockholms universitet| Oskar Klein Centre| American Museum of Natural History| Fermi National Accelerator Laboratory| Deutsches Elektronen-Synchrotron (DESY)| Humboldt-Universität zu Berlin| AlbaNova Universitetscentrum| Trinity College Dublin| Purdue University| College of Science| California Institute of Technology| Universidad Diego Portales| Yale School of Engineering &amp; Applied Science| IN2P3 - Institut National de Physique Nucléaire et de Physique Des Particules| Université Claude Bernard Lyon 1| Institut de Physique des 2 Infinis de Lyon| CNRS Centre National de la Recherche Scientifique| University of Birmingham| The Royal Institute of Technology (KTH)| Hiroshima University| Universität Wien| Bar-Ilan University| Harvard University| Harvard Faculty of Arts and Sciences| Princeton University| Miller Institute for Basic Research in Science</t>
  </si>
  <si>
    <t>Chile| Austria| United Kingdom| Israel| Spain| Japan| Ireland| United States| Germany| France| Sweden</t>
  </si>
  <si>
    <t>Curcumin in the Treatment of Kidney Disease: A Systematic Review with a Focus on Drug Interactions</t>
  </si>
  <si>
    <t>Ofori-Attah, E.| Aning, A.| Simón, L.</t>
  </si>
  <si>
    <t>14.7</t>
  </si>
  <si>
    <t>10.3390/antiox14111369</t>
  </si>
  <si>
    <t>2-s2.0-105023504126</t>
  </si>
  <si>
    <t>Sojo University| University of Ghana| Universidad Finis Terrae</t>
  </si>
  <si>
    <t>60028493| 60071891| 60017910| 60105368</t>
  </si>
  <si>
    <t>Sojo University| Noguchi Memorial Institute for Medical Research| University of Ghana| Universidad Finis Terrae</t>
  </si>
  <si>
    <t>Ghana| Chile| Japan</t>
  </si>
  <si>
    <t>Dıaz F.</t>
  </si>
  <si>
    <t>Respiratory System Compliance Accurately Assesses the “Baby Lung” in Pediatric Acute Respiratory Distress Syndrome</t>
  </si>
  <si>
    <t>Cruces, P.| Reveco, S.| Caviedes, P.| Dıaz, F.</t>
  </si>
  <si>
    <t>890-893</t>
  </si>
  <si>
    <t>10.1164/rccm.202310-1890LE</t>
  </si>
  <si>
    <t>2-s2.0-85189760150</t>
  </si>
  <si>
    <t>Universidad Andrés Bello| Universidad Finis Terrae</t>
  </si>
  <si>
    <t>60281394| 60281764| 60002636| 131226307| 60105368</t>
  </si>
  <si>
    <t>Hospital El Carmen Dr. Luis Valentín Ferrada| Facultad de Ciencias de la Vida| Universidad Andrés Bello| Red Colaborativa Pediatrica de Latinoamerica (LARed Network)| Universidad Finis Terrae</t>
  </si>
  <si>
    <t>Pastén-Henríquez B.</t>
  </si>
  <si>
    <t>Gold and cryptocurrencies as safe-havens: Lessons from wartime</t>
  </si>
  <si>
    <t>Pastén-Henríquez, B.| Tapia-Griñen, P.| Sepúlveda-Velásquez, J.</t>
  </si>
  <si>
    <t>Finance Research Letters</t>
  </si>
  <si>
    <t>ISSN-15446123</t>
  </si>
  <si>
    <t>10.1</t>
  </si>
  <si>
    <t>10.1016/j.frl.2025.107230</t>
  </si>
  <si>
    <t>2-s2.0-105001020192</t>
  </si>
  <si>
    <t>Universidad Santo Tomás, Santiago| Universidad Finis Terrae| Universidad de Chile</t>
  </si>
  <si>
    <t>60105368| 60012464| 60009128</t>
  </si>
  <si>
    <t>Universidad Finis Terrae| Universidad de Chile| Universidad Santo Tomas, Santiago</t>
  </si>
  <si>
    <t>An internet of things–based intelligent smart energy monitoring system for solar photovoltaic applications</t>
  </si>
  <si>
    <t>Performance Enhancement and Control of Photovoltaic Systems</t>
  </si>
  <si>
    <t>375-416</t>
  </si>
  <si>
    <t>Elsevier</t>
  </si>
  <si>
    <t>10.1016/B978-0-443-13392-3.00019-0</t>
  </si>
  <si>
    <t>Chapter</t>
  </si>
  <si>
    <t>2-s2.0-85199017649</t>
  </si>
  <si>
    <t>60114662| 60077979| 60114758| 60105368</t>
  </si>
  <si>
    <t>Aditya Institute of Technology and Management| Biju Patnaik University of Technology| BPUT, Parala Maharaja Engineering College| Universidad Finis Terrae</t>
  </si>
  <si>
    <t>Lomboy M.</t>
  </si>
  <si>
    <t>Study of emotional intelligence and leadership competencies in university students</t>
  </si>
  <si>
    <t>López González, J.| Martínez, J.M.| Lomboy, M.| Expósito, L.</t>
  </si>
  <si>
    <t>Cogent Education</t>
  </si>
  <si>
    <t>ISSN-2331186X</t>
  </si>
  <si>
    <t>Taylor and Francis Ltd.</t>
  </si>
  <si>
    <t>2.9</t>
  </si>
  <si>
    <t>38.0</t>
  </si>
  <si>
    <t>0.602</t>
  </si>
  <si>
    <t>10.1080/2331186X.2024.2411826</t>
  </si>
  <si>
    <t>2-s2.0-85206377896</t>
  </si>
  <si>
    <t>Francisco de Vitoria University| Universidad Finis Terrae</t>
  </si>
  <si>
    <t>60108692| 60105368</t>
  </si>
  <si>
    <t>Universidad Francisco de Vitoria| Universidad Finis Terrae</t>
  </si>
  <si>
    <t>Patient-Reported Outcomes of Digital Versus Conventional Impressions for Implant-Supported Fixed Dental Prostheses: A Systematic Review and Meta-Analysis</t>
  </si>
  <si>
    <t>Pachiou, A.| Zervou, E.| Sykaras, N.| Tortopidis, D.| Ioannidis, A.| Jung, R.E.| Strauss, F.J.| Kourtis, S.</t>
  </si>
  <si>
    <t>Journal of Personalized Medicine</t>
  </si>
  <si>
    <t>ISSN-20754426</t>
  </si>
  <si>
    <t>0.908</t>
  </si>
  <si>
    <t>10.3390/jpm15090427</t>
  </si>
  <si>
    <t>2-s2.0-105017332179</t>
  </si>
  <si>
    <t>University of Zurich| Universidad Finis Terrae| National and Kapodistrian University of Athens| Aristotle University of Thessaloniki</t>
  </si>
  <si>
    <t>60012614| 60069203| 60028900| 60015331| 60051099| 60105368</t>
  </si>
  <si>
    <t>Universität Zürich| Athens University Dental School| National and Kapodistrian University of Athens| Aristotle University of Thessaloniki| School of Dentistry| Universidad Finis Terrae</t>
  </si>
  <si>
    <t>Chile| Switzerland| Greece</t>
  </si>
  <si>
    <t>Núnez-Lisboa M.</t>
  </si>
  <si>
    <t>Understanding gait alterations: trunk flexion and its effects on walking neuromechanics</t>
  </si>
  <si>
    <t>Núnez-Lisboa, M.| Echeverría, K.| Willems, P.A.| Ivanenko, Y.| Lacquaniti, F.| Dewolf, A.H.</t>
  </si>
  <si>
    <t>Journal of Experimental Biology</t>
  </si>
  <si>
    <t>ISSN-00220949</t>
  </si>
  <si>
    <t>Company of Biologists Ltd</t>
  </si>
  <si>
    <t>0.931</t>
  </si>
  <si>
    <t>10.1242/jeb.249307</t>
  </si>
  <si>
    <t>2-s2.0-85206031070</t>
  </si>
  <si>
    <t>Université catholique de Louvain| IRCCS Fondazione Santa Lucia - Roma| University of Rome Tor Vergata| Universidad Finis Terrae</t>
  </si>
  <si>
    <t>60000874| 60105368| 60014416| 60027509</t>
  </si>
  <si>
    <t>UCLouvain| Universidad Finis Terrae| IRCCS Fondazione Santa Lucia| Università degli Studi di Roma "Tor Vergata"</t>
  </si>
  <si>
    <t>Belgium| Chile| Italy</t>
  </si>
  <si>
    <t>Echeverría K.</t>
  </si>
  <si>
    <t>Rivera-Tovar P.R.</t>
  </si>
  <si>
    <t>Sustainable Recovery of Phlorotannins from Durvillaea incurvata: Integrated Extraction and Purification with Advanced Characterization</t>
  </si>
  <si>
    <t>Rivera-Tovar, P.R.| Contreras-Contreras, G.| Rivas-Reyes, P.I.| Pérez-Jiménez, J.| Martínez-Cifuentes, M.| Pérez-Correa, J.R.| Mariotti-Celis, M.S.</t>
  </si>
  <si>
    <t>10.3390/antiox14030250</t>
  </si>
  <si>
    <t>2-s2.0-105001372013</t>
  </si>
  <si>
    <t>CSIC| Centro de Investigación Biomédica en Red| University of Santiago de Compostela| Universidad Finis Terrae| Instituto de Salud Carlos III| Pontificia Universidad Católica de Chile| CSIC - Institute of Food Science, Technology and Nutrition| Universidad de Concepción</t>
  </si>
  <si>
    <t>60105368| 60028419| 60006754| 60103772| 60102755| 60001602| 60001282| 60029681</t>
  </si>
  <si>
    <t>Universidad Finis Terrae| Universidade de Santiago de Compostela| Consejo Superior de Investigaciones Científicas| CSIC - Instituto de Ciencia y Tecnologia de Alimentos y Nutricion (ICTAN)| Centro de Investigación Biomédica en Red de Diabetes y Enfermedades Metabólicas Asociadas| Instituto de Salud Carlos III| Universidad de Concepcion| Pontificia Universidad Católica de Chile</t>
  </si>
  <si>
    <t>Contreras-Contreras G.</t>
  </si>
  <si>
    <t>Developing a Guided Web App for Postpartum Depression Symptoms: User-Centered Design Approach</t>
  </si>
  <si>
    <t>Franco, P.| Olhaberry, M.| Muzard, A.| Harismendy, Á.| Kelders, S.</t>
  </si>
  <si>
    <t>JMIR Formative Research</t>
  </si>
  <si>
    <t>ISSN-2561326X</t>
  </si>
  <si>
    <t>JMIR Publications Inc.</t>
  </si>
  <si>
    <t>3.5</t>
  </si>
  <si>
    <t>37.0</t>
  </si>
  <si>
    <t>0.723</t>
  </si>
  <si>
    <t>10.2196/56319</t>
  </si>
  <si>
    <t>2-s2.0-85184440738</t>
  </si>
  <si>
    <t>Ministerio de Planificación, Chile| Universidad Finis Terrae| University of Twente| North West University| Pontificia Universidad Católica de Chile</t>
  </si>
  <si>
    <t>60029681| 60281485| 60105368| 60020599| 60029714</t>
  </si>
  <si>
    <t>Pontificia Universidad Católica de Chile| Instituto Milenio para la Investigación en Depresión y Personalidad| Universidad Finis Terrae| Universiteit Twente| North-West University</t>
  </si>
  <si>
    <t>Chile| South Africa| Netherlands</t>
  </si>
  <si>
    <t>The Adverse Effects and Use of Bevacizumab in Patients with Glioblastoma: A Systematic Review and Meta-Analysis</t>
  </si>
  <si>
    <t>Bruna-Mejías, A.| Silva-Bravo, V.| Moyano Valarezo, L.| Delgado-Retamal, M.F.| Nazar-Izquierdo, D.| Aguilar-Aguirre, I.| Nova-Baeza, P.| Orellana-Donoso, M.| Suazo-Santibáñez, A.| Gutiérrez-Espinoza, H.| Sanchis Gimeno, J.| Bastidas-Caldes, C.| Valenzuela Fuenzalida, J.J.</t>
  </si>
  <si>
    <t>Pharmaceuticals</t>
  </si>
  <si>
    <t>ISSN-14248247</t>
  </si>
  <si>
    <t>1.14</t>
  </si>
  <si>
    <t>10.3390/ph18060795</t>
  </si>
  <si>
    <t>2-s2.0-105009026860</t>
  </si>
  <si>
    <t>Universidad de las Américas - Chile| Universidad de las Américas - Ecuador| Universidad Andrés Bello| Universidad Autónoma de Chile| University of Valencia| Universidad Finis Terrae| Universidad de Playa Ancha de Ciencias de la Educación| Universidad Bernardo O'Higgins</t>
  </si>
  <si>
    <t>60019586| 60002636| 60105368| 60105362| 60105371| 60002644| 60104441| 60105370</t>
  </si>
  <si>
    <t>Universidad de Playa Ancha| Universidad Andrés Bello| Universidad Finis Terrae| Universidad de Las Américas Chile| Universidad Autónoma de Chile| Universitat de València| Universidad de las Americas - Ecuador| Universidad Bernardo O'Higgins</t>
  </si>
  <si>
    <t>and Senior Lecturer</t>
  </si>
  <si>
    <t>Immediate loading of definitive restorations in partially edentulous patients requiring an implant-supported prosthesis: A scoping review</t>
  </si>
  <si>
    <t>Sadilina, S.| Park, S.-H.| Chantler, J.| Park, J.-Y.| Thoma, D.| Cha, J.-K.| Strauss, F.J.</t>
  </si>
  <si>
    <t>Journal of Prosthetic Dentistry</t>
  </si>
  <si>
    <t>1641-1649</t>
  </si>
  <si>
    <t>ISSN-00223913</t>
  </si>
  <si>
    <t>7.4</t>
  </si>
  <si>
    <t>10.1016/j.prosdent.2024.04.013</t>
  </si>
  <si>
    <t>2-s2.0-85190421197</t>
  </si>
  <si>
    <t>University of Zurich| Universidad Finis Terrae| Yonsei University| Universidad de Chile</t>
  </si>
  <si>
    <t>60012614| 60115878| 60105368| 60012464</t>
  </si>
  <si>
    <t>Universität Zürich| Yonsei University College of Dentistry| Universidad Finis Terrae| Universidad de Chile</t>
  </si>
  <si>
    <t>Chile| South Korea| Switzerland</t>
  </si>
  <si>
    <t>Strauss F.-J.</t>
  </si>
  <si>
    <t>Immediate loading on two adjacent single dental implants with definitive nonsplinted restorations: A proof of concept in the posterior zone</t>
  </si>
  <si>
    <t>Park, J.-Y.| Strauss, F.-J.| Schiavon, L.| Patrizi, A.| Cha, J.-K.| Lee, J.-S.| Jung, R.| Jung, U.-W.| Thoma, D.</t>
  </si>
  <si>
    <t>Journal of Esthetic and Restorative Dentistry</t>
  </si>
  <si>
    <t>1249-1257</t>
  </si>
  <si>
    <t>ISSN-14964155</t>
  </si>
  <si>
    <t>10.1111/jerd.13235</t>
  </si>
  <si>
    <t>2-s2.0-85190432889</t>
  </si>
  <si>
    <t>University of Zurich| Universidad Finis Terrae| Yonsei University| University of Padua</t>
  </si>
  <si>
    <t>60115878| 60012614| 60105368| 60000481</t>
  </si>
  <si>
    <t>Yonsei University College of Dentistry| Universität Zürich| Universidad Finis Terrae| Università degli Studi di Padova</t>
  </si>
  <si>
    <t>Chile| South Korea| Switzerland| Italy</t>
  </si>
  <si>
    <t>Unresolved questions in the regulation of skeletal muscle insulin action by reactive oxygen species</t>
  </si>
  <si>
    <t>Gallero, S.| Persson, K.W.| Henríquez-Olguín, C.</t>
  </si>
  <si>
    <t>FEBS Letters</t>
  </si>
  <si>
    <t>2145-2159</t>
  </si>
  <si>
    <t>ISSN-00145793</t>
  </si>
  <si>
    <t>10.1002/1873-3468.14937</t>
  </si>
  <si>
    <t>2-s2.0-85194565971</t>
  </si>
  <si>
    <t>Differential Extraction and Preliminary Identification of Polyphenols from Ugni candollei (White Murta) Berries</t>
  </si>
  <si>
    <t>Fuentes-Jorquera, N.| Canales, R.I.| Pérez-Correa, J.R.| Pérez-Jiménez, J.| Mariotti-Celis, M.S.</t>
  </si>
  <si>
    <t>10.3390/antiox13060623</t>
  </si>
  <si>
    <t>2-s2.0-85197877445</t>
  </si>
  <si>
    <t>CSIC| Centro de Investigación Biomédica en Red| Universidad Finis Terrae| CSIC - Institute of Food Science, Technology and Nutrition| Instituto de Salud Carlos III| Pontificia Universidad Católica de Chile</t>
  </si>
  <si>
    <t>60029681| 60006754| 60103772| 60001602| 60102755| 60105368</t>
  </si>
  <si>
    <t>Pontificia Universidad Católica de Chile| Consejo Superior de Investigaciones Científicas| CSIC - Instituto de Ciencia y Tecnologia de Alimentos y Nutricion (ICTAN)| Instituto de Salud Carlos III| Centro de Investigación Biomédica en Red de Diabetes y Enfermedades Metabólicas Asociadas| Universidad Finis Terrae</t>
  </si>
  <si>
    <t>Nutritional imbalances among university students and the urgent need for educational and nutritional interventions</t>
  </si>
  <si>
    <t>Torres, K.| Cáceres-Durán, M.A.| Orellana, C.| Osorio, M.| Simón, L.</t>
  </si>
  <si>
    <t>Frontiers in Nutrition</t>
  </si>
  <si>
    <t>ISSN-2296861X</t>
  </si>
  <si>
    <t>9.6</t>
  </si>
  <si>
    <t>10.3389/fnut.2025.1551130</t>
  </si>
  <si>
    <t>2-s2.0-105000516989</t>
  </si>
  <si>
    <t>Universidad Finis Terrae| Universidade Federal do Pará</t>
  </si>
  <si>
    <t>60105368| 60001890</t>
  </si>
  <si>
    <t>Chile| Brazil</t>
  </si>
  <si>
    <t>Orellana C.</t>
  </si>
  <si>
    <t>Osorio M.</t>
  </si>
  <si>
    <t>Ortiz-Orellana G.</t>
  </si>
  <si>
    <t>Ultrasonography of Facial and Submandibular Hidradenitis Suppurativa and Concomitance With Acne Vulgaris</t>
  </si>
  <si>
    <t>Wortsman, X.| Ortiz-Orellana, G.| Valderrama, Y.| Ferreira-Wortsman, C.| Reyes, F.| Herane, M.I.</t>
  </si>
  <si>
    <t>Journal of Ultrasound in Medicine</t>
  </si>
  <si>
    <t>1919-1928</t>
  </si>
  <si>
    <t>ISSN-02784297</t>
  </si>
  <si>
    <t>John Wiley and Sons Ltd</t>
  </si>
  <si>
    <t>0.708</t>
  </si>
  <si>
    <t>10.1002/jum.16526</t>
  </si>
  <si>
    <t>2-s2.0-85198626239</t>
  </si>
  <si>
    <t>60029681| 60281369| 60105368| 128236490</t>
  </si>
  <si>
    <t>Pontificia Universidad Católica de Chile| Instituto de Investigación y Diagnóstico por Imágenes en Piel y Tejidos Blandos| Universidad Finis Terrae| Dermaline Clinic</t>
  </si>
  <si>
    <t>Valderrama Y.</t>
  </si>
  <si>
    <t>Deep learning models for tendinopathy detection: a systematic review and meta-analysis of diagnostic tests</t>
  </si>
  <si>
    <t>Droppelmann, G.| Rodríguez, C.| Smague, D.| Jorquera, C.| Feijoo, F.</t>
  </si>
  <si>
    <t>941-952</t>
  </si>
  <si>
    <t>10.1530/EOR-24-0016</t>
  </si>
  <si>
    <t>2-s2.0-85206889329</t>
  </si>
  <si>
    <t>Smague D.</t>
  </si>
  <si>
    <t>Managerialism and academic resistance in Chilean higher education: a translation perspective</t>
  </si>
  <si>
    <t>Labraña, J.| Brunner, J.J.| Puyol, F.| Alarcón, M.| Fardella, C.</t>
  </si>
  <si>
    <t>Studies in Higher Education</t>
  </si>
  <si>
    <t>ISSN-03075079</t>
  </si>
  <si>
    <t>11.4</t>
  </si>
  <si>
    <t>1.99</t>
  </si>
  <si>
    <t>10.1080/03075079.2025.2543441</t>
  </si>
  <si>
    <t>2-s2.0-105015162848</t>
  </si>
  <si>
    <t>Universidad Diego Portales| Universidad Andrés Bello| Universidad Finis Terrae| Universidad de Tarapacá</t>
  </si>
  <si>
    <t>60030782| 60013592| 60105368| 60002636</t>
  </si>
  <si>
    <t>Universidad de Tarapacá| Universidad Diego Portales| Universidad Finis Terrae| Universidad Andrés Bello</t>
  </si>
  <si>
    <t>Cancino-López J.</t>
  </si>
  <si>
    <t>Effects of Maca (Lepidium meyenii Walp.) on Physical Performance in Animals and Humans: A Systematic Review and Meta-Analysis</t>
  </si>
  <si>
    <t>Huerta Ojeda, Á.| Rodríguez Rojas, J.| Cancino-López, J.| Barahona-Fuentes, G.| Pavez, L.| Yeomans-Cabrera, M.-M.| Jorquera-Aguilera, C.</t>
  </si>
  <si>
    <t>10.2</t>
  </si>
  <si>
    <t>10.3390/nu17010107</t>
  </si>
  <si>
    <t>2-s2.0-85215351011</t>
  </si>
  <si>
    <t>Universidad Mayor| Universidad de las Américas - Chile| Universidad Andrés Bello| Universidad Finis Terrae</t>
  </si>
  <si>
    <t>60105362| 60005881| 60105368| 60002636</t>
  </si>
  <si>
    <t>Universidad de Las Américas Chile| Universidad Mayor| Universidad Finis Terrae| Universidad Andrés Bello</t>
  </si>
  <si>
    <t>Intragastric administration of short chain fatty acids greatly reduces voluntary ethanol intake in rats</t>
  </si>
  <si>
    <t>Quintanilla, M.E.| Santapau, D.| Diaz, E.| Valenzuela Martinez, I.| Medina, N.| Landskron, G.| Dominguez, A.| Morales, P.| Ramírez, D.| Hermoso, M.| Olivares, B.| Berríos-Cárcamo, P.| Ezquer, M.| Herrera-Marschitz, M.| Israel, Y.| Ezquer, F.</t>
  </si>
  <si>
    <t>Scientific Reports</t>
  </si>
  <si>
    <t>ISSN-20452322</t>
  </si>
  <si>
    <t>0.874</t>
  </si>
  <si>
    <t>10.1038/s41598-024-80228-1</t>
  </si>
  <si>
    <t>2-s2.0-85210151018</t>
  </si>
  <si>
    <t>University of Groningen| Universidad del Desarrollo| Universidad Finis Terrae| Universidad de Chile| Clínica Alemana de Santiago| Universidad de Concepción</t>
  </si>
  <si>
    <t>60002946| 60012464| 60000146| 60006469| 60001282| 60105368| 129286157| 60006027</t>
  </si>
  <si>
    <t>Facultad de Medicina de la Universidad de Chile| Universidad de Chile| Clinica Alemana| Universidad del Desarrollo| Universidad de Concepcion| Universidad Finis Terrae| Research Center for the Development of Novel Therapeutic Alternatives for Alcohol Use Disorders| Universitair Medisch Centrum Groningen</t>
  </si>
  <si>
    <t>Dominguez A.</t>
  </si>
  <si>
    <t>Exploring the lutein therapeutic potential in steatotic liver disease: mechanistic insights and future directions</t>
  </si>
  <si>
    <t>Balboa, E.| Saud, F.| Parra-Ruiz, C.| de la Fuente, M.| Landskron, G.| Zanlungo, S.</t>
  </si>
  <si>
    <t>Frontiers in Pharmacology</t>
  </si>
  <si>
    <t>ISSN-16639812</t>
  </si>
  <si>
    <t>8.9</t>
  </si>
  <si>
    <t>1.22</t>
  </si>
  <si>
    <t>10.3389/fphar.2024.1406784</t>
  </si>
  <si>
    <t>2-s2.0-85197695723</t>
  </si>
  <si>
    <t>Saud F.</t>
  </si>
  <si>
    <t>de la Fuente M.</t>
  </si>
  <si>
    <t>Leucine Intake and Sarcopenia Indicators of an Elderly Group from the Metropolitan Region, Santiago de Chile, Who Participated in the Program for Complementary Food in Older People (PACAM)</t>
  </si>
  <si>
    <t>Bustos-Arriagada, E.| Arazo-Rusindo, M.C.| Rivera-Andrades, G.| Pérez-Bravo, F.| Castillo-Valenzuela, O.| Barros-Velázquez, J.| Mariotti-Celis, M.S.</t>
  </si>
  <si>
    <t>10.3390/nu16203540</t>
  </si>
  <si>
    <t>2-s2.0-85207515798</t>
  </si>
  <si>
    <t>Universidad Santo Tomás, Santiago| University of Santiago de Compostela| Universidad Finis Terrae| Universidad de Chile</t>
  </si>
  <si>
    <t>60105368| 60028419| 60009128| 60012464| 60002946</t>
  </si>
  <si>
    <t>Universidad Finis Terrae| Universidade de Santiago de Compostela| Universidad Santo Tomas, Santiago| Universidad de Chile| Facultad de Medicina de la Universidad de Chile</t>
  </si>
  <si>
    <t>Castillo-Valenzuela O.</t>
  </si>
  <si>
    <t>Valderrama P.</t>
  </si>
  <si>
    <t>2024 SIAC guidelines on cardiorespiratory rehabilitation in pediatric patients with congenital heart disease</t>
  </si>
  <si>
    <t>Valderrama, P.| Carugati, R.| Sardella, A.| Flórez, S.| de Carlos Back, I.| Fernández, C.| Abella, I.T.| Grullón, A.| Ribeiro Turquetto, A.L.| Fajardo, A.| Chiesa, P.| Cifra, B.| Garcia-Cuenllas, L.| Honicky, M.| Augustemak De Lima, L.R.| Franco Moreno, Y.M.| Salinas, M.E.| de Carvalho, T.| Hülle Catani, L.| Huertas-Quiñones, M.| Yáñez-Gutiérrez, L.</t>
  </si>
  <si>
    <t>Revista Espanola de Cardiologia</t>
  </si>
  <si>
    <t>680-689</t>
  </si>
  <si>
    <t>ISSN-03008932</t>
  </si>
  <si>
    <t>4.3</t>
  </si>
  <si>
    <t>35.0</t>
  </si>
  <si>
    <t>0.569</t>
  </si>
  <si>
    <t>10.1016/j.recesp.2024.02.017</t>
  </si>
  <si>
    <t>2-s2.0-85190807889</t>
  </si>
  <si>
    <t>Universidad del Rosario| Universidad de los Andes Chile| Universidad Nacional de Colombia| Instituto Mexicano del Seguro Social| Universidade Federal de São Paulo| Universidade de São Paulo| Universidad Finis Terrae| Universidade Federal de Santa Catarina| University Hospital Complex of Vigo| University of Toronto| Fundación Cardioinfantil - Instituto de Cardiología| Hospital de Niños Dr. Ricardo Gutiérrez| Universidade Federal de Alagoas</t>
  </si>
  <si>
    <t>60105368| 60012796| 60017590| 125264106| 60017609| 60022810| 60011284| 60271305| 60008088| 60107227| 60071617| 60030319| 60117320| 60005405| 60105945| 112599766| 60014992| 60065589| 60055696| 60025537| 60008467</t>
  </si>
  <si>
    <t>Universidad Finis Terrae| Hospital General de Niños Pedro de Elizalde| Hospital de Ninos Ricardo Gutierrez| Clínica Medical Duarte| Universidade Federal de Santa Catarina| Clinica Santa Maria| Universidad de los Andes, Chile| Hospital Infantil Dr. Robert Reid Cabral| Universidade de São Paulo| Fundación Cardioinfantil - Instituto de Cardiología| Centro Hospitalario Pereira Rossell| The Hospital for Sick Children| Complejo Hospitalario Universitario de Vigo| Universidade Federal de Alagoas| Hospital Regional De Arica Doctor Juan Noé Crevani| Universidade Estatal de Santa Catarina| Universidade Federal de São Paulo| Universidad del Rosario| Universidad Nacional de Colombia| UMAE Hospital de Cardiología Centro Medico Nacional Siglo XXI| Instituto Mexicano del Seguro Social</t>
  </si>
  <si>
    <t>Chile| Spain| Mexico| Uruguay| Colombia| Dominican Republic| Brazil| Argentina| Canada</t>
  </si>
  <si>
    <t>Physiological and clinical effects of trunk inclination adjustment in patients with respiratory failure: a scoping review and narrative synthesis</t>
  </si>
  <si>
    <t>Benites, M.H.| Zapata-Canivilo, M.| Poblete, F.| Labbe, F.| Battiato, R.| Ferre, A.| Dreyse, J.| Bugedo, G.| Bruhn, A.| Costa, E.L.V.| Retamal, J.</t>
  </si>
  <si>
    <t>15.6</t>
  </si>
  <si>
    <t>10.1186/s13054-024-05010-1</t>
  </si>
  <si>
    <t>2-s2.0-85197805968</t>
  </si>
  <si>
    <t>McMaster University| Universidade de São Paulo| Universidad Finis Terrae| Clínica Las Condes| Pontificia Universidad Católica de Chile| Universidad de Chile| Hospital Sirio-Libanes</t>
  </si>
  <si>
    <t>60017912| 60105368| 60088718| 60029681| 60031828| 60012464| 60008088| 60005896</t>
  </si>
  <si>
    <t>Clínica Las Condes| Universidad Finis Terrae| Escuela de Medicina| Pontificia Universidad Católica de Chile| McMaster University| Universidad de Chile| Universidade de São Paulo| Hospital Sirio-Libanês</t>
  </si>
  <si>
    <t>Chile| Brazil| Canada</t>
  </si>
  <si>
    <t>Ferre A.</t>
  </si>
  <si>
    <t>Gálvez-Bravo F.</t>
  </si>
  <si>
    <t>Erosive Potential of Sports, Energy Drinks, and Isotonic Solutions on Athletes’ Teeth: A Systematic Review</t>
  </si>
  <si>
    <t>Gálvez-Bravo, F.| Edwards-Toro, F.| Contador-Cotroneo, R.| Opazo-García, C.| Contreras-Pulache, H.| Goicochea-Palomino, E.A.| Cruz-Gonzales, G.| Moya-Salazar, J.</t>
  </si>
  <si>
    <t>10.3390/nu17030403</t>
  </si>
  <si>
    <t>2-s2.0-85217573558</t>
  </si>
  <si>
    <t>Universidad Privada del Norte| Universidad Norbert Wiener| Universidad Nacional Federico Villarreal| Universidad Tecnológica del Perú| Universidad Finis Terrae| Universidad de Chile</t>
  </si>
  <si>
    <t>132238759| 60105368| 60012464| 60112059| 60112566| 60071261| 60078117</t>
  </si>
  <si>
    <t>AODCH| Universidad Finis Terrae| Universidad de Chile| Universidad Norbert Wiener| Universidad Tecnológica del Perú| Federico Villarreal National University| Universidad Privada del Norte</t>
  </si>
  <si>
    <t>Edwards-Toro F.</t>
  </si>
  <si>
    <t>Opazo-García C.</t>
  </si>
  <si>
    <t>Castro M.</t>
  </si>
  <si>
    <t>Acute Administration of Calafate (Berberis microphylla) Extract Induces the Expression of Thermogenic Markers and Modulates Gut Microbiota in Mice Fed a High-Fat Chow Diet</t>
  </si>
  <si>
    <t>Duarte, L.| Villanueva, V.| Barroux, R.| Orellana, J.F.| Poblete-Aro, C.| Gotteland, M.| Castro, M.| Magne, F.| Garcia-Diaz, D.F.</t>
  </si>
  <si>
    <t>Lifestyle Genomics</t>
  </si>
  <si>
    <t>72-81</t>
  </si>
  <si>
    <t>ISSN-25043161</t>
  </si>
  <si>
    <t>S. Karger AG</t>
  </si>
  <si>
    <t>3.3</t>
  </si>
  <si>
    <t>0.413</t>
  </si>
  <si>
    <t>10.1159/000539881</t>
  </si>
  <si>
    <t>2-s2.0-85198680129</t>
  </si>
  <si>
    <t>Universidad de Santiago de Chile| Universidad Finis Terrae| Universidad de Chile</t>
  </si>
  <si>
    <t>60002946| 60012464| 60023383| 60105368</t>
  </si>
  <si>
    <t>Facultad de Medicina de la Universidad de Chile| Universidad de Chile| Universidad de Santiago de Chile| Universidad Finis Terrae</t>
  </si>
  <si>
    <t>Carvajal C.</t>
  </si>
  <si>
    <t>Epidemiological and microbiological characteristics of S. aureus pediatric infections in Colombia 2018–2021, a national multicenter study (Staphylored Colombia)</t>
  </si>
  <si>
    <t>Gutierrez-Tobar, I.| Carvajal, C.| Vasquez-Hoyos, P.| Díaz-Díaz, A.| Londono Ruiz, J.P.| Andrade, J.| Camacho-Cruz, J.| Restrepo-Gouzy, A.| Trujillo-Honeysberg, M.| Mesa-Monsalve, J.G.| Perez, I.| Von Moltke, R.| Beltran-Echeverry, M.| Toro, J.F.| Niño, A.P.| Camacho-Moreno, G.| Calle-Giraldo, J.P.| Cabeza, N.Y.| Sandoval-Calle, L.M.| Perez Camacho, P.| Patiño Niño, J.| Araque-Muñoz, P.| Rodríguez-Peña, Y.| Beltran-Arroyave, C.| Chaucanez-Bastidas, Y.| Lopez, J.| Galvis-Trujillo, D.| Beltrán-Higuera, S.| Marino, A.-C.| González Leal, N.| Luengas Monroy, M.Á.| Hernandez-Moreno, D.C.| Vivas Trochez, R.| Garces, C.| López-Medina, E.</t>
  </si>
  <si>
    <t>Frontiers in Pediatrics</t>
  </si>
  <si>
    <t>ISSN-22962360</t>
  </si>
  <si>
    <t>0.738</t>
  </si>
  <si>
    <t>10.3389/fped.2024.1386310</t>
  </si>
  <si>
    <t>2-s2.0-85196095290</t>
  </si>
  <si>
    <t>Fundación Valle del Lili| Hospital Militar Central| Universidad de los Andes Chile| Universidad Nacional de Colombia| Universidad Finis Terrae| Hospital Pablo Tobon Uribe| Universidad del Valle| Hospital San José</t>
  </si>
  <si>
    <t>127014579| 101517523| 131359308| 60105368| 60361197| 60055696| 60110407| 60058437| 60087080| 60087081| 130008414| 116139022| 60106887| 60011284| 119214125| 112876275| 112567111| 115297666| 112736599| 127339302| 60109272| 106973789| 115544663| 106388950| 124786418| 100537317| 131291593| 100369932| 112768925| 100384704| 109933553| 60066812| 60118011</t>
  </si>
  <si>
    <t>Clínica Infantil Santa María del Lago| Clínica Infantil Colsubsidio| Staphylored LATAM| Universidad Finis Terrae| Fundación Universitaria de Ciencias de la Salud - FUCS| Universidad Nacional de Colombia| Hospital De San José, Bogotá, Colombia| Hospital Pablo Tobon Uribe| Hospital General de Medellin Luz Castro de Gutiérrez - E.S.E| Hospital Militar Central, Bogota| Fundación Universitaria Sanitas| Clínica Reina Sofía| Clínica Las Américas| Universidad de los Andes, Chile| Clínica Medilaser| Fundación Hospital de la Misericordia| Hospital Infantil Universitario de San José| Hospital Universitario San Juan de Dios| Clínica Farallones| Clínica Versalles| Fundación Valle del Lili| Clínica del Country| Clínica La Colina and Clínica del Country| Clínica El Rosario| Hospital Infantil Los Ángeles| Clínica Colsanitas| Independent Researcher| Clínica SOMA| Hospital Universitario de San Vicente Fundación| Clínica Medellín| Centro de Estudios en Infectología Pediátrica| Universidad del Valle, Cali| Centro Médico Imbanaco</t>
  </si>
  <si>
    <t>Chile| Colombia</t>
  </si>
  <si>
    <t>Von Moltke R.</t>
  </si>
  <si>
    <t>A sustainable approach to obtain polyphenols from Chilean wild murta, Ugni candollei B., and Ugni molinae T., using eutectic solvents and advanced extraction techniques</t>
  </si>
  <si>
    <t>Fuentes-Jorquera, N.| Villalva, M.| Pérez-Jiménez, J.| González-Miquel, M.| González, E.J.| Mariotti-Celis, M.S.| Pérez-Correa, J.R.| Canales, R.I.</t>
  </si>
  <si>
    <t>Innovative Food Science and Emerging Technologies</t>
  </si>
  <si>
    <t>ISSN-14668564</t>
  </si>
  <si>
    <t>10.1016/j.ifset.2025.104017</t>
  </si>
  <si>
    <t>2-s2.0-105002229956</t>
  </si>
  <si>
    <t>CSIC| Technical University of Madrid| Centro de Investigación Biomédica en Red| Universidad Finis Terrae| Instituto de Salud Carlos III| Pontificia Universidad Católica de Chile| CSIC - Institute of Food Science, Technology and Nutrition| CSIC-UAM - Institute of Food Science Research| Universidad Autónoma de Madrid</t>
  </si>
  <si>
    <t>60029681| 60103772| 60006754| 60103739| 60026796| 60102755| 60104562| 60028442| 60105368</t>
  </si>
  <si>
    <t>Pontificia Universidad Católica de Chile| CSIC - Instituto de Ciencia y Tecnologia de Alimentos y Nutricion (ICTAN)| Consejo Superior de Investigaciones Científicas| CSIC-UAM - Instituto de Investigacion en Ciencias de la Alimentacion (CIAL)| Universidad Autónoma de Madrid| Centro de Investigación Biomédica en Red de Diabetes y Enfermedades Metabólicas Asociadas| Centro de Investigación Biomédica en Red| Universidad Politécnica de Madrid| Universidad Finis Terrae</t>
  </si>
  <si>
    <t>Neira M.</t>
  </si>
  <si>
    <t>The Potential Benefits of Curcumin-Enriched Diets for Adults with Colorectal Cancer: A Systematic Review</t>
  </si>
  <si>
    <t>Neira, M.| Mena, C.| Torres, K.| Simón, L.</t>
  </si>
  <si>
    <t>10.3390/antiox14040388</t>
  </si>
  <si>
    <t>2-s2.0-105003590751</t>
  </si>
  <si>
    <t>Mena C.</t>
  </si>
  <si>
    <t>Biceps femoris long head stiffens after 2 weeks of training cessation in highly trained sprinters</t>
  </si>
  <si>
    <t>Miyamoto, N.| Yamazaki, K.| Iwasaki, T.| Mujika, I.| Yamashita, D.| Hirata, K.</t>
  </si>
  <si>
    <t>European Journal of Applied Physiology</t>
  </si>
  <si>
    <t>3317-3323</t>
  </si>
  <si>
    <t>ISSN-14396319</t>
  </si>
  <si>
    <t>1.06</t>
  </si>
  <si>
    <t>10.1007/s00421-024-05536-w</t>
  </si>
  <si>
    <t>2-s2.0-85207746491</t>
  </si>
  <si>
    <t>University of Tsukuba| Juntendo University| Universidad Finis Terrae| Japan Institute of Sports Sciences| University of the Basque Country</t>
  </si>
  <si>
    <t>60032116| 60253095| 60027856| 60105368| 60014256</t>
  </si>
  <si>
    <t>Juntendo University| Japan Institute of Sports Sciences| Universidad del Pais Vasco| Universidad Finis Terrae| University of Tsukuba</t>
  </si>
  <si>
    <t>Chile| Spain| Japan</t>
  </si>
  <si>
    <t>Clinical outcomes of single implant supported crowns utilising the titanium base abutment: A 7.5-year prospective cohort study</t>
  </si>
  <si>
    <t>Smirani, R.| Chantler, J.G.| Endres, J.| Jung, R.E.| Naenni, N.| Strauss, F.J.| Thoma, D.S.</t>
  </si>
  <si>
    <t>Journal of Dentistry</t>
  </si>
  <si>
    <t>ISSN-03005712</t>
  </si>
  <si>
    <t>1.53</t>
  </si>
  <si>
    <t>10.1016/j.jdent.2024.105306</t>
  </si>
  <si>
    <t>2-s2.0-85201715298</t>
  </si>
  <si>
    <t>University of Zurich| CHU de Bordeaux| Universidad Finis Terrae| Institut national de la santé et de la recherche médicale| Université de Bordeaux</t>
  </si>
  <si>
    <t>60012614| 60102125| 60000905| 60106800| 60021564| 60105368</t>
  </si>
  <si>
    <t>Universität Zürich| Université de Bordeaux| Inserm| Bioingénierie Tissulaire| Centre Hospitalier Universitaire de Bordeaux| Universidad Finis Terrae</t>
  </si>
  <si>
    <t>Chile| Switzerland| France</t>
  </si>
  <si>
    <t>Smart Energy Management and Monitoring System for Electric Vehicles with IoT Integration</t>
  </si>
  <si>
    <t>Electric Vehicle Design: Design, Simulation and Applications</t>
  </si>
  <si>
    <t>57-80</t>
  </si>
  <si>
    <t>wiley</t>
  </si>
  <si>
    <t>2-s2.0-85194763314</t>
  </si>
  <si>
    <t>Universidad Finis Terrae| Aditya Institute of Technology and Management</t>
  </si>
  <si>
    <t>60114662| 60114758| 60105368</t>
  </si>
  <si>
    <t>Aditya Institute of Technology and Management| BPUT, Parala Maharaja Engineering College| Universidad Finis Terrae</t>
  </si>
  <si>
    <t>In vivo experimental study comparing alveolar ridge preservation versus guided bone regeneration after unassisted socket healing at intact and damaged sites in narrow alveolar ridges</t>
  </si>
  <si>
    <t>Shin, H.J.| Park, J.-Y.| Tien, H.K.| Strauss, F.-J.| Cha, J.-K.| Lee, J.-S.</t>
  </si>
  <si>
    <t>Journal of Periodontology</t>
  </si>
  <si>
    <t>279-289</t>
  </si>
  <si>
    <t>ISSN-00223492</t>
  </si>
  <si>
    <t>9.7</t>
  </si>
  <si>
    <t>10.1002/JPER.24-0125</t>
  </si>
  <si>
    <t>2-s2.0-85198527349</t>
  </si>
  <si>
    <t>University of Zurich| Universidad Finis Terrae| Yonsei University</t>
  </si>
  <si>
    <t>60115878| 60012614| 60105368</t>
  </si>
  <si>
    <t>Yonsei University College of Dentistry| Universität Zürich| Universidad Finis Terrae</t>
  </si>
  <si>
    <t>Perez-Jiménez D.</t>
  </si>
  <si>
    <t>Systematic review and meta-analysis of right subclavian artery variants and their correlation with cervical-thoracic clinical conditions</t>
  </si>
  <si>
    <t>Valenzuela-Fuenzalida, J.J.| Orellana-Donoso, M.| Perez-Jiménez, D.| Farfán-Cabello, E.| Gold-Semmler, M.| Becerra-Farfan, A.| Román, C.| Nova-Baeza, P.</t>
  </si>
  <si>
    <t>Medicine (United States)</t>
  </si>
  <si>
    <t>ISSN-00257974</t>
  </si>
  <si>
    <t>34.0</t>
  </si>
  <si>
    <t>0.469</t>
  </si>
  <si>
    <t>10.1097/MD.0000000000036856</t>
  </si>
  <si>
    <t>2-s2.0-85185860056</t>
  </si>
  <si>
    <t>Universidad de las Américas - Chile| Universidad Andrés Bello| Universidad Finis Terrae| Pontificia Universidad Católica de Chile| Universidad Bernardo O'Higgins</t>
  </si>
  <si>
    <t>60002636| 60105362| 60105368| 60029681| 60088718| 60105370</t>
  </si>
  <si>
    <t>Universidad Andrés Bello| Universidad de Las Américas Chile| Universidad Finis Terrae| Pontificia Universidad Católica de Chile| Escuela de Medicina| Universidad Bernardo O'Higgins</t>
  </si>
  <si>
    <t>Effectiveness of Vitamin D Supplementation on Biochemical, Clinical, and Inflammatory Parameters in Patients with Different Types of Diabetes: A Systematic Review and Meta-Analysis</t>
  </si>
  <si>
    <t>Bruna-Mejías, A.| Valdivia-Arroyo, R.| Becerra-Rodríguez, E.S.| Clasing-Cárdenas, I.| Castaño-Gallego, Y.T.| Granite, G.| Orellana-Donoso, M.| Oyanedel-Amaro, G.| Nova-Baeza, P.| Cifuentes-Suazo, G.| Suazo-Santibañez, A.| Sanchis-Gimeno, J.| Gutiérrez Espinoza, H.| Valenzuela-Fuenzalida, J.J.</t>
  </si>
  <si>
    <t>10.3390/nu17182991</t>
  </si>
  <si>
    <t>2-s2.0-105017155084</t>
  </si>
  <si>
    <t>Universidad de las Américas - Chile| Universidad Andrés Bello| Universidad Autónoma de Chile| Universidad San Sebastián| University of Valencia| Universidad Finis Terrae| Uniformed Services University of the Health Sciences| Universidad de Playa Ancha de Ciencias de la Educación| Universidad Bernardo O'Higgins</t>
  </si>
  <si>
    <t>60019586| 60002636| 60006762| 60279370| 60105368| 60000636| 60105371| 60105362| 60002644| 60105370</t>
  </si>
  <si>
    <t>Universidad de Playa Ancha| Universidad Andrés Bello| Uniformed Services University of the Health Sciences| F. Edward Hebert School of Medicine| Universidad Finis Terrae| Universidad San Sebastián| Universidad Autónoma de Chile| Universidad de Las Américas Chile| Universitat de València| Universidad Bernardo O'Higgins</t>
  </si>
  <si>
    <t>The role of executive functions in symbolic and situational mathematical abilities</t>
  </si>
  <si>
    <t>Khatin-Zadeh, O.| Banaruee, H.| Farsani, D.</t>
  </si>
  <si>
    <t>European Journal of Psychology of Education</t>
  </si>
  <si>
    <t>ISSN-02562928</t>
  </si>
  <si>
    <t>Springer Science and Business Media B.V.</t>
  </si>
  <si>
    <t>6.2</t>
  </si>
  <si>
    <t>10.1007/s10212-024-00903-9</t>
  </si>
  <si>
    <t>2-s2.0-85209134877</t>
  </si>
  <si>
    <t>60005465| 60022201| 60105368</t>
  </si>
  <si>
    <t>University of Electronic Science and Technology of China| Pädagogische Hochschule Weingarten| Universidad Finis Terrae</t>
  </si>
  <si>
    <t>Morphological Characteristics of the Double Mental Foramen and Its Relevance in Clinical Practice: An Observational Study</t>
  </si>
  <si>
    <t>Bruna-Mejias, A.| Nova-Baeza, P.| Torres-Riquelme, F.| Delgado-Retamal, M.F.| Orellana-Donoso, M.| Suazo-Santibañez, A.| Sepulveda-Loyola, W.| Valdés-Orrego, I.| Sanchis-Gimeno, J.| Valenzuela-Fuenzalida, J.J.</t>
  </si>
  <si>
    <t>Diagnostics</t>
  </si>
  <si>
    <t>ISSN-20754418</t>
  </si>
  <si>
    <t>5.9</t>
  </si>
  <si>
    <t>28.0</t>
  </si>
  <si>
    <t>0.773</t>
  </si>
  <si>
    <t>10.3390/diagnostics14121277</t>
  </si>
  <si>
    <t>2-s2.0-85197110778</t>
  </si>
  <si>
    <t>Universidad de Santiago de Chile| Universidad de las Américas - Chile| Universidad Andrés Bello| Universidad Autónoma de Chile| Universidad San Sebastián| University of Valencia| Universidad Finis Terrae| Universidad de Playa Ancha de Ciencias de la Educación| Universidad Bernardo O'Higgins</t>
  </si>
  <si>
    <t>60019586| 60023383| 60105370| 60002636| 60105368| 60000636| 60105362| 60105371| 60002644</t>
  </si>
  <si>
    <t>Universidad de Playa Ancha| Universidad de Santiago de Chile| Universidad Bernardo O'Higgins| Universidad Andrés Bello| Universidad Finis Terrae| Universidad San Sebastián| Universidad de Las Américas Chile| Universidad Autónoma de Chile| Universitat de València</t>
  </si>
  <si>
    <t>Molina M.</t>
  </si>
  <si>
    <t>Orthopedic postoperative infection profile and antibiotic sensitivity of 2038 patients across 24 countries – Call for region and institution specific surgical antimicrobial prophylaxis</t>
  </si>
  <si>
    <t>Mengesha, M.G.| Rajasekaran, S.| Ramachandran, K.| Sengodan, V.C.| Yasin, N.F.| Williams, L.M.| Laubscher, M.| Watanabe, K.| Dastagir, O.Z.M.| Akinmadr, A.| Fisseha, H.K.| Aziz, A.| Yurac, R.| Gebrehana, E.| AlSaifi, M.| Pathinathan, K.| Sudhir, G.| Shokri, A.A.| Chan Kim, Y.| Jonayed, S.A.| Kido, G.R.| Ignacio, J.M.| Mohammed, M.S.| Abubakar, K.| Hakim, J.| Duwal Shrestha, S.K.| Al Mamun Choudhury, A.| Diallo, M.| Molina, M.| Patwardhan, S.| Hai, Y.| Ramat, A.M.| Kawai, M.| Cho, J.H.| Shah Kalawar, R.P.| Choi, S.-W.| Zarate-Kalfopulos, B.| Guiroy, A.| Astur, N.| Buunaaim, A.B.| Human, A.L.| Zaman, A.U.</t>
  </si>
  <si>
    <t>Journal of Orthopaedics</t>
  </si>
  <si>
    <t>97-104</t>
  </si>
  <si>
    <t>ISSN-0972978X</t>
  </si>
  <si>
    <t>Reed Elsevier India Pvt. Ltd.</t>
  </si>
  <si>
    <t>2.8</t>
  </si>
  <si>
    <t>50.0</t>
  </si>
  <si>
    <t>0.67</t>
  </si>
  <si>
    <t>10.1016/j.jor.2024.04.018</t>
  </si>
  <si>
    <t>2-s2.0-85190731738</t>
  </si>
  <si>
    <t>Afe Babalola University| Université Nazi Boni| University of Ulsan| Kyung Hee University| Universiti Sains Malaysia| Instituto Nacional de Rehabilitación| Bangladesh Institute of Research and Rehabilitation in Diabetes, Endocrine and Metabolic Disorders| Universidad Finis Terrae| University of Cape Town| Hospital Italiano de Buenos Aires| Clínica Alemana de Santiago| Hawassa University| Kitasato University| Hospital Israelita Albert Einstein| University of Maiduguri| University Hospitals Bristol and Weston NHS Foundation Trust| University of Malaya| University for Development Studies Ghana| Sri Ramachandra Institute of Higher Education and Research| Universidad del Desarrollo| University of the Philippines| Keio University| Capital Medical University| Soonchunhyang University</t>
  </si>
  <si>
    <t>60109517| 60069559| 112689575| 60029157| 60170515| 60000356| 60025252| 60086033| 60106039| 131169031| 60006469| 60000146| 131168993| 117120780| 60023483| 60000906| 60025071| 60028708| 60001873| 60008557| 60071495| 131168942| 60089412| 60012765| 118727141| 60273843| 60105368| 107941851| 60073449| 60026707| 60013763| 60024396| 60068691| 60006240| 60023859| 60084250| 131168731| 60016295| 60071894| 113015433</t>
  </si>
  <si>
    <t>Hawassa University| Ganga Medical Centre &amp; Hospitals Pvt Ltd| Coimbatore Medical College| Universiti Malaya| University Hospitals Bristol and Weston NHS Foundation Trust| University of Cape Town| Keio University School of Medicine| National Institute of Traumatology and Orthopaedic Rehabilitation, Dhaka| Afe Babalola University| Orthopaedic &amp; Spine Unit at Lahore Medical &amp; Dental College / Ghurki Trust Teaching Hospital| Universidad del Desarrollo| Clinica Alemana| University for Medicine and Applied Sciences| National Hospital of Colombo| Sri Ramachandra Institute of Higher Education and Research| Universiti Sains Malaysia| Kyung Hee Medical Center| KyungHee University College of Medicine| Kyung Hee University| Hospital Italiano de Buenos Aires| University of the Philippines Manila| Hosaena University Hospital| National Orthopaedic Hospital, Lagos| Ibrahim Medical College| Nepal Armed Police Force Hospital| Université Nazi Boni| Universidad Finis Terrae| Sancheti Institute of Orthopaedics and Rehabilitation| Beijing Chao-Yang Hospital, Capital Medical University| Capital Medical University| University of Maiduguri| Kitasato University Kitasato Institute Hospital| Asan Medical Center| University of Ulsan College of Medicine| Soonchunhyang University, College of Medicine| Instituto Nacional de Rehabilitación| ClÃ-nica de Cuyo| Hospital Israelita Albert Einstein| University for Development Studies Ghana| Ghurki Trust Teaching Hospital</t>
  </si>
  <si>
    <t>Chile| India| United Kingdom| Ethiopia| Mexico| Japan| South Africa| Pakistan| Sri Lanka| Bangladesh| Brazil| Nepal| Yemen| Ghana| South Korea| China| Nigeria| Philippines| Malaysia| Burkina Faso| Argentina</t>
  </si>
  <si>
    <t>Body weight regulation models in humans: insights for testing their validity</t>
  </si>
  <si>
    <t>Fernández-Verdejo, R.| Ravussin, E.| Galgani, J.E.</t>
  </si>
  <si>
    <t>Nature Reviews Endocrinology</t>
  </si>
  <si>
    <t>703-717</t>
  </si>
  <si>
    <t>ISSN-17595029</t>
  </si>
  <si>
    <t>47.6</t>
  </si>
  <si>
    <t>10.1038/s41574-025-01149-1</t>
  </si>
  <si>
    <t>2-s2.0-105011383287</t>
  </si>
  <si>
    <t>Louisiana State University| LSU Pennington Biomedical Research Center| Universidad Finis Terrae| Pontificia Universidad Católica de Chile</t>
  </si>
  <si>
    <t>60007566| 60021235| 60105368| 60029681| 60009418</t>
  </si>
  <si>
    <t>Louisiana State University| Pennington Biomedical Research Center| Universidad Finis Terrae| Pontificia Universidad Católica de Chile| Facultad de Medicina</t>
  </si>
  <si>
    <t>Maqui and Chronic Kidney Disease: A Narrative Review on the Potential Nephroprotective Role of Anthocyanins</t>
  </si>
  <si>
    <t>Tiscornia, C.| Tapia, V.| Águila, D.| Lorca-Ponce, E.| Aicardi, V.| Vásquez, F.</t>
  </si>
  <si>
    <t>10.3390/nu17061058</t>
  </si>
  <si>
    <t>2-s2.0-105001353763</t>
  </si>
  <si>
    <t>60105368| 126633747| 60105874</t>
  </si>
  <si>
    <t>Universidad Finis Terrae| Universidad Metropolitana de Ciencias de la Educaci Santiago| Clínica Indisa</t>
  </si>
  <si>
    <t>Tapia V.</t>
  </si>
  <si>
    <t>Águila D.</t>
  </si>
  <si>
    <t>Vásquez F.</t>
  </si>
  <si>
    <t>Mechanistic influence of the torque cadence relationship on power output during exhaustive all-out field tests in professional cyclists</t>
  </si>
  <si>
    <t>Leo, P.| Martinez-Gonzalez, B.| Mujika, I.| Giorgi, A.</t>
  </si>
  <si>
    <t>Journal of Sports Sciences</t>
  </si>
  <si>
    <t>ISSN-02640414</t>
  </si>
  <si>
    <t>23.0</t>
  </si>
  <si>
    <t>10.1080/02640414.2025.2478354</t>
  </si>
  <si>
    <t>2-s2.0-105002655309</t>
  </si>
  <si>
    <t>University of Kent| Universidad Finis Terrae| University of Innsbruck| Canterbury Christ Church University| University of the Basque Country</t>
  </si>
  <si>
    <t>60009999| 60159932| 60010818| 60027856| 60105368| 121067127</t>
  </si>
  <si>
    <t>Universität Innsbruck| Kent and Medway Medical School| University of Kent| Universidad del Pais Vasco| Universidad Finis Terrae| Azienda USL Toscana Sud Est</t>
  </si>
  <si>
    <t>Chile| Austria| United Kingdom| Spain| Italy</t>
  </si>
  <si>
    <t>Undurraga R.</t>
  </si>
  <si>
    <t>The multidimensionality of care in remote work: women academics in Chile during the COVID-19 pandemic</t>
  </si>
  <si>
    <t>Mora, C.| Undurraga, R.| Simbürger, E.</t>
  </si>
  <si>
    <t>Culture and Organization</t>
  </si>
  <si>
    <t>463-484</t>
  </si>
  <si>
    <t>ISSN-14759551</t>
  </si>
  <si>
    <t>0.495</t>
  </si>
  <si>
    <t>10.1080/14759551.2023.2294999</t>
  </si>
  <si>
    <t>2-s2.0-85181196845</t>
  </si>
  <si>
    <t>Universidad Mayor| Universidad Finis Terrae| Universidad de Valparaíso</t>
  </si>
  <si>
    <t>60005881| 60105368| 60008781</t>
  </si>
  <si>
    <t>Universidad Mayor| Universidad Finis Terrae| Universidad de Valparaiso</t>
  </si>
  <si>
    <t>Nation-building and mass education in Chile: the rationales behind the expansion of education in Chile, 1810–1920</t>
  </si>
  <si>
    <t>Labraña, J.| Vanderstraeten, R.| Puyol, F.</t>
  </si>
  <si>
    <t>International Studies in Sociology of Education</t>
  </si>
  <si>
    <t>458-480</t>
  </si>
  <si>
    <t>ISSN-09620214</t>
  </si>
  <si>
    <t>20.0</t>
  </si>
  <si>
    <t>0.659</t>
  </si>
  <si>
    <t>10.1080/09620214.2025.2461718</t>
  </si>
  <si>
    <t>2-s2.0-85216733698</t>
  </si>
  <si>
    <t>Universidad Finis Terrae| Universidad de Tarapacá| Ghent University</t>
  </si>
  <si>
    <t>60030782| 60033316| 60105368</t>
  </si>
  <si>
    <t>Universidad de Tarapacá| Universiteit Gent| Universidad Finis Terrae</t>
  </si>
  <si>
    <t>Rojas-Saffie J.P.</t>
  </si>
  <si>
    <t>Emotional self-regulation and personality in the light of Thomas Aquinas’s philosophical anthropology</t>
  </si>
  <si>
    <t>Rojas-Saffie, J.P.| García-Matte, N.</t>
  </si>
  <si>
    <t>10.3389/fpsyg.2024.1419202</t>
  </si>
  <si>
    <t>2-s2.0-85195831343</t>
  </si>
  <si>
    <t>Ministerio de Planificación, Chile| Universidad Finis Terrae| Universidad de Chile| Pontificia Universidad Católica de Chile</t>
  </si>
  <si>
    <t>60105368| 60029681| 60281485| 60012464</t>
  </si>
  <si>
    <t>Universidad Finis Terrae| Pontificia Universidad Católica de Chile| Instituto Milenio para la Investigación en Depresión y Personalidad| Universidad de Chile</t>
  </si>
  <si>
    <t>García-Matte N.</t>
  </si>
  <si>
    <t>Enhancing guided bone regeneration with cross-linked collagen-conjugated xenogeneic bone blocks and membrane fixation: A preclinical in vivo study</t>
  </si>
  <si>
    <t>An, Y.-Z.| Song, Y.W.| Thoma, D.S.| Strauss, F.J.| Lee, J.-S.</t>
  </si>
  <si>
    <t>1226-1239</t>
  </si>
  <si>
    <t>10.1111/clr.14309</t>
  </si>
  <si>
    <t>2-s2.0-85195264160</t>
  </si>
  <si>
    <t>60189157| 130766578| 120682179| 60115878| 60012614| 60105368| 60016912</t>
  </si>
  <si>
    <t>Stomatological Hospital of Guangzhou Medical University| Guangdong Engineering Research Center of Oral Restoration and Reconstruction| Dental Hospital| Yonsei University College of Dentistry| Universität Zürich| Universidad Finis Terrae| Yonsei University</t>
  </si>
  <si>
    <t>Chile| South Korea| China| Switzerland</t>
  </si>
  <si>
    <t>Women with polycystic ovary syndrome (PCOS): Likelihood of cooccurring neuropsychiatric conditions and the dual hit hypothesis</t>
  </si>
  <si>
    <t>Del Río, J.P.| Tsompanidis, A.| Gaspar, P.A.| Maturana-Hurtado, A.| Rojas-Costa, G.M.| Dagnino-Subiabre, A.| Olea, A.| Maliqueo, M.| Echiburú, B.| de Guevara, A.L.| Montiel, J.F.| Baron-Cohen, S.| Crisosto, N.</t>
  </si>
  <si>
    <t>Frontiers in Neuroendocrinology</t>
  </si>
  <si>
    <t>ISSN-00913022</t>
  </si>
  <si>
    <t>Academic Press Inc.</t>
  </si>
  <si>
    <t>10.1016/j.yfrne.2025.101188</t>
  </si>
  <si>
    <t>2-s2.0-105001275073</t>
  </si>
  <si>
    <t>Universidad Diego Portales| University of Cambridge| Universidad del Desarrollo| Ministerio de Planificación, Chile| Universidad Finis Terrae| Universidad de Valparaíso| Universidad de Chile| Clínica Alemana de Santiago</t>
  </si>
  <si>
    <t>60002946| 60012464| 60281502| 60031101| 60105368| 60008781| 60013592| 60212030| 60006469| 60000146| 131502015| 60281485| 60032885| 60120005</t>
  </si>
  <si>
    <t>Facultad de Medicina de la Universidad de Chile| Universidad de Chile| Núcleo Milenio para Mejorar la Salud Mental de Adolescentes y Jóvenes| University of Cambridge| Universidad Finis Terrae| Universidad de Valparaiso| Universidad Diego Portales| Facultad de Medicina| Universidad del Desarrollo| Clinica Alemana| Foundation for the Promotion of Health and Biomedical Research of Valencia Region| Instituto Milenio para la Investigación en Depresión y Personalidad| Autism Research Centre| Department of Psychiatry</t>
  </si>
  <si>
    <t>Chile| United Kingdom| Spain</t>
  </si>
  <si>
    <t>Use of Ketamine in Patients with Multifactorial Neuropathic Pain: A Systematic Review and Meta-Analysis</t>
  </si>
  <si>
    <t>Bruna-Mejias, A.| Baeza, V.| Gamboa, J.| Baez Flores, B.| San Martin, J.| Astorga, C.| Leyton, J.| Nova-Baeza, P.| Orellana-Donoso, M.| Suazo-Santibañez, A.| Becerra-Farfán, A.| Oyanedel-Amaro, G.| Valenzuela-Fuenzalida, J.J.</t>
  </si>
  <si>
    <t>21.0</t>
  </si>
  <si>
    <t>10.3390/ph17091165</t>
  </si>
  <si>
    <t>2-s2.0-85205081067</t>
  </si>
  <si>
    <t>Universidad de las Américas - Chile| Universidad Andrés Bello| Universidad Autónoma de Chile| Universidad San Sebastián| Universidad Finis Terrae| Universidad de Playa Ancha de Ciencias de la Educación| Universidad Bernardo O'Higgins</t>
  </si>
  <si>
    <t>60019586| 60002636| 60000636| 60105368| 60105362| 60105370| 60105371</t>
  </si>
  <si>
    <t>Universidad de Playa Ancha| Universidad Andrés Bello| Universidad San Sebastián| Universidad Finis Terrae| Universidad de Las Américas Chile| Universidad Bernardo O'Higgins| Universidad Autónoma de Chile</t>
  </si>
  <si>
    <t>Curcumin-loaded nanoemulsions and phloroglucinol target hexokinase 2 to inhibit Caveolin-1-induced glycolysis and metastasis in cancer cells</t>
  </si>
  <si>
    <t>Simón, L.| Torres, K.| Guerrero, S.| Oyarzun-Ampuero, F.| Quest, A.F.G.</t>
  </si>
  <si>
    <t>15.9</t>
  </si>
  <si>
    <t>10.1016/j.biopha.2025.118339</t>
  </si>
  <si>
    <t>2-s2.0-105010435195</t>
  </si>
  <si>
    <t>Universidad de Atacama| Universidad Finis Terrae| Universidad de Chile</t>
  </si>
  <si>
    <t>60105368| 60012464| 60002946| 60012992| 60281366</t>
  </si>
  <si>
    <t>Universidad Finis Terrae| Universidad de Chile| Facultad de Medicina de la Universidad de Chile| Universidad de Atacama| Centro Avanzado de Enfermedades Crónicas</t>
  </si>
  <si>
    <t>Anatomical Variants of the Origin of the Coronary Arteries: A Systematic Review and Meta-Analysis of Prevalence</t>
  </si>
  <si>
    <t>Fuenzalida, J.J.V.| Becerra-Rodriguez, E.S.| Quivira Muñoz, A.S.| Baez Flores, B.| Escalona Manzo, C.| Orellana-Donoso, M.| Nova-Baeza, P.| Suazo-Santibañez, A.| Bruna-Mejias, A.| Sanchis-Gimeno, J.| Gutiérrez-Espinoza, H.| Granite, G.</t>
  </si>
  <si>
    <t>10.3390/diagnostics14131458</t>
  </si>
  <si>
    <t>2-s2.0-85198397605</t>
  </si>
  <si>
    <t>Unidad Central Del Valle Del Cauca| Universidad de las Américas - Chile| Universidad de las Américas - Ecuador| Universidad Andrés Bello| University of Valencia| Universidad Finis Terrae| Uniformed Services University of the Health Sciences| Universidad de Playa Ancha de Ciencias de la Educación| Universidad Bernardo O'Higgins</t>
  </si>
  <si>
    <t>60002636| 60105370| 60190577| 60105368| 60105362| 60019586| 60002644| 60104441| 60006762| 60279370</t>
  </si>
  <si>
    <t>Universidad Andrés Bello| Universidad Bernardo O'Higgins| Unidad Central del Valle del Cauca| Universidad Finis Terrae| Universidad de Las Américas Chile| Universidad de Playa Ancha| Universitat de València| Universidad de las Americas - Ecuador| Uniformed Services University of the Health Sciences| F. Edward Hebert School of Medicine</t>
  </si>
  <si>
    <t>Chile| Ecuador| Spain| United States| Colombia</t>
  </si>
  <si>
    <t>A review of IoT-based smart energy solutions for photovoltaic systems</t>
  </si>
  <si>
    <t>15049-15068</t>
  </si>
  <si>
    <t>10.1007/s00202-025-03312-3</t>
  </si>
  <si>
    <t>2-s2.0-105012953195</t>
  </si>
  <si>
    <t>Renewable Power Generation Price Prediction and Forecasting Using Machine Learning</t>
  </si>
  <si>
    <t>Microgrids for Commercial Systems</t>
  </si>
  <si>
    <t>21-47</t>
  </si>
  <si>
    <t>2-s2.0-85191534523</t>
  </si>
  <si>
    <t>Systematic Review and Meta-Analysis of Internal Jugular Vein Variants and Their Relationship to Clinical Implications in the Head and Neck</t>
  </si>
  <si>
    <t>Nova-Baeza, P.| Valenzuela-Fuenzalida, J.J.| Valdivia-Arroyo, R.| Becerra-Rodríguez, E.S.| Escalona-Manzo, C.| Castaño-Gallego, Y.T.| Luque-Bernal, R.M.| Oyanedel-Amaro, G.| Suazo-Santibáñez, A.| Orellana-Donoso, M.| Bruna-Mejias, A.| Sanchis-Gimeno, J.| Gutiérrez-Espinoza, H.</t>
  </si>
  <si>
    <t>10.3390/diagnostics14232765</t>
  </si>
  <si>
    <t>2-s2.0-85211778873</t>
  </si>
  <si>
    <t>Unidad Central Del Valle Del Cauca| Universidad de las Américas - Chile| Universidad del Rosario| Universidad de las Américas - Ecuador| Universidad Andrés Bello| Universidad Autónoma de Chile| Universidad San Sebastián| University of Valencia| Universidad Finis Terrae| Universidad Bernardo O'Higgins</t>
  </si>
  <si>
    <t>60002636| 60105370| 60190577| 60065589| 60105371| 60105362| 60105368| 60000636| 60002644| 60104441</t>
  </si>
  <si>
    <t>Universidad Andrés Bello| Universidad Bernardo O'Higgins| Unidad Central del Valle del Cauca| Universidad del Rosario| Universidad Autónoma de Chile| Universidad de Las Américas Chile| Universidad Finis Terrae| Universidad San Sebastián| Universitat de València| Universidad de las Americas - Ecuador</t>
  </si>
  <si>
    <t>Chile| Spain| Ecuador| Colombia</t>
  </si>
  <si>
    <t>Hidalgo M.</t>
  </si>
  <si>
    <t>Challenges to Applying Role Playing in Software Engineering Education: A Taxonomy Derived from a Rapid Literature Review</t>
  </si>
  <si>
    <t>Hidalgo, M.| Astudillo, H.| Castro, L.M.</t>
  </si>
  <si>
    <t>SN Computer Science</t>
  </si>
  <si>
    <t>ISSN-2662995X</t>
  </si>
  <si>
    <t>Springer</t>
  </si>
  <si>
    <t>5.8</t>
  </si>
  <si>
    <t>0.565</t>
  </si>
  <si>
    <t>10.1007/s42979-024-03044-4</t>
  </si>
  <si>
    <t>2-s2.0-85197415065</t>
  </si>
  <si>
    <t>Universidad Finis Terrae| Universidad Técnica Federico Santa Maria| University of A Coruna</t>
  </si>
  <si>
    <t>60007087| 60105368| 131769690| 60023610</t>
  </si>
  <si>
    <t>Universidad Técnica Federico Santa María| Universidad Finis Terrae| ITiSB - Universidad Andrés Bello Universidad| Universidade da Coruña</t>
  </si>
  <si>
    <t>Modeling hospital resources based on global epidemiology after earthquake-related disasters</t>
  </si>
  <si>
    <t>Merino, Y.| Ceferino, L.| Pizarro, S.| de la Llera, J.C.</t>
  </si>
  <si>
    <t>Earthquake Spectra</t>
  </si>
  <si>
    <t>2402-2429</t>
  </si>
  <si>
    <t>ISSN-87552930</t>
  </si>
  <si>
    <t>7.1</t>
  </si>
  <si>
    <t>1.25</t>
  </si>
  <si>
    <t>10.1177/87552930241262788</t>
  </si>
  <si>
    <t>2-s2.0-85202889574</t>
  </si>
  <si>
    <t>NYU Tandon School of Engineering| Universidad Finis Terrae| Pontificia Universidad Católica de Chile| New York University</t>
  </si>
  <si>
    <t>60029681| 60105877| 60108318| 60021784| 117063452| 60105368</t>
  </si>
  <si>
    <t>Pontificia Universidad Católica de Chile| Centro de Investigación para la Gestión Integrada del Riesgo de Desastres| NYU Tandon School of Engineering| New York University| Servicio de Atención Médica de Urgencia (SAMU)| Universidad Finis Terrae</t>
  </si>
  <si>
    <t>Valle M.A.</t>
  </si>
  <si>
    <t>Evolving demographics: a dynamic clustering approach to analyze residential segregation in Berlin</t>
  </si>
  <si>
    <t>Masías H, V.H.| Stier, J.| Navarro R, P.| Valle, M.A.| Laengle, S.| Vargas, A.A.| Crespo R, F.A.</t>
  </si>
  <si>
    <t>EPJ Data Science</t>
  </si>
  <si>
    <t>ISSN-21931127</t>
  </si>
  <si>
    <t>0.742</t>
  </si>
  <si>
    <t>10.1140/epjds/s13688-024-00455-4</t>
  </si>
  <si>
    <t>2-s2.0-85187672325</t>
  </si>
  <si>
    <t>WZB Berlin Social Science Center| Universidad Finis Terrae| Universidad Técnica Federico Santa Maria| Universidad de Chile| University of Granada| Universidad Alberto Hurtado</t>
  </si>
  <si>
    <t>60008911| 60027844| 60105368| 60012464| 60007087| 60088733</t>
  </si>
  <si>
    <t>Wissenschaftszentrum Berlin fur Sozialforschung| Universidad de Granada| Universidad Finis Terrae| Universidad de Chile| Universidad Técnica Federico Santa María| Universidad Alberto Hurtado</t>
  </si>
  <si>
    <t>Chile| Spain| Germany</t>
  </si>
  <si>
    <t>Bridging gaps: the role of gender and team composition in collective intelligence within STEM education</t>
  </si>
  <si>
    <t>Beroíza-Valenzuela, F.| Salas-Guzmán, N.| Huepe, D.</t>
  </si>
  <si>
    <t>0.722</t>
  </si>
  <si>
    <t>10.1080/2331186X.2024.2439655</t>
  </si>
  <si>
    <t>2-s2.0-85214386901</t>
  </si>
  <si>
    <t>115811412| 60105368| 60003942</t>
  </si>
  <si>
    <t>Programa Interdisciplinario de Investigaciones en Educación (PIIE)| Universidad Finis Terrae| Universidad Adolfo Ibáñez</t>
  </si>
  <si>
    <t>Embodiment and gestural realization of ergative verbs</t>
  </si>
  <si>
    <t>Khatin-Zadeh, O.| Hu, J.| Eskandari, Z.| Banaruee, H.| Yanjiao, Z.| Farsani, D.| He, J.</t>
  </si>
  <si>
    <t>Psychological Research</t>
  </si>
  <si>
    <t>762-772</t>
  </si>
  <si>
    <t>ISSN-03400727</t>
  </si>
  <si>
    <t>10.1007/s00426-023-01887-9</t>
  </si>
  <si>
    <t>2-s2.0-85174728321</t>
  </si>
  <si>
    <t>University of Electronic Science and Technology of China| Weingarten University of Education| Universidad Finis Terrae| Tongji University</t>
  </si>
  <si>
    <t>60005465| 60022201| 60105368| 60073652</t>
  </si>
  <si>
    <t>University of Electronic Science and Technology of China| Pädagogische Hochschule Weingarten| Universidad Finis Terrae| Tongji University</t>
  </si>
  <si>
    <t>Pino-Zúñiga J.</t>
  </si>
  <si>
    <t>Early Exercise Through Telerehabilitation After Bariatric Surgery: Is It Feasible?</t>
  </si>
  <si>
    <t>Pino-Zúñiga, J.| Olivares, M.| Muñoz, G.| Boza, C.| Duque, C.| Cancino-López, J.</t>
  </si>
  <si>
    <t>Obesity Surgery</t>
  </si>
  <si>
    <t>2101-2110</t>
  </si>
  <si>
    <t>ISSN-09608923</t>
  </si>
  <si>
    <t>10.1007/s11695-024-07185-6</t>
  </si>
  <si>
    <t>2-s2.0-85190519023</t>
  </si>
  <si>
    <t>Universidad Finis Terrae| Clínica Las Condes</t>
  </si>
  <si>
    <t>131160378| 60105368| 60017912| 60109622</t>
  </si>
  <si>
    <t>Bariatric Center BIO| Universidad Finis Terrae| Clínica Las Condes| Clinica Meds, Chile</t>
  </si>
  <si>
    <t>Olivares M.</t>
  </si>
  <si>
    <t>Treatment of small intestinal bacterial overgrowth in Chilean patients with irritable bowel syndrome: A prospective and comparative study</t>
  </si>
  <si>
    <t>von Muhlenbrock, C.| Landskron, G.| Madrid, A.M.</t>
  </si>
  <si>
    <t>Revista de Gastroenterologia de Mexico</t>
  </si>
  <si>
    <t>54-62</t>
  </si>
  <si>
    <t>ISSN-03750906</t>
  </si>
  <si>
    <t>Asociacion Mexicana de Gastroenterologia</t>
  </si>
  <si>
    <t>1.8</t>
  </si>
  <si>
    <t>0.301</t>
  </si>
  <si>
    <t>10.1016/j.rgmx.2024.08.004</t>
  </si>
  <si>
    <t>2-s2.0-105001077196</t>
  </si>
  <si>
    <t>60012464| 60011682| 60011284| 60105368</t>
  </si>
  <si>
    <t>Universidad de Chile| Hospital Clínico Universidad De Chile| Universidad de los Andes, Chile| Universidad Finis Terrae</t>
  </si>
  <si>
    <t>Current Periodization, Testing, and Monitoring Practices of Strength and Conditioning Coaches</t>
  </si>
  <si>
    <t>Washif, J.A.| James, C.| Pagaduan, J.| Lim, J.| Lum, D.| Raja Azidin, R.M.F.| Mujika, I.| Beaven, C.M.</t>
  </si>
  <si>
    <t>1239-1252</t>
  </si>
  <si>
    <t>10.1123/ijspp.2025-0051</t>
  </si>
  <si>
    <t>2-s2.0-105014129804</t>
  </si>
  <si>
    <t>University of Waikato| University of Melbourne| Hong Kong Baptist University| Universidad Finis Terrae| University of the Basque Country| Universiti Teknologi MARA| La Trobe University</t>
  </si>
  <si>
    <t>60090678| 60014347| 60026553| 60118640| 132669856| 112187323| 60006925| 60004351| 60027856| 60105368| 60004424</t>
  </si>
  <si>
    <t>Institut Sukan Negara Malaysia| Hong Kong Baptist University| University of Melbourne| Melbourne School of Psychological Sciences| Athletic Collective| High Performance Sport Institute| La Trobe University| Universiti Teknologi MARA| Universidad del Pais Vasco| Universidad Finis Terrae| University of Waikato</t>
  </si>
  <si>
    <t>Chile| Singapore| Spain| Hong Kong| Australia| Malaysia| New Zealand</t>
  </si>
  <si>
    <t>A systematic review and meta-analysis: prevalence and clinical implications of anatomical variants of the hepatic portal vein</t>
  </si>
  <si>
    <t>Valenzuela-Fuenzalida, J.J.| Rodríguez-Osorio, B.| Salgado-Torres, C.| Nova-Baeza, P.| Orellana-Donoso, M.| Bruna-Mejías, A.| Avila-Sepulveda, R.| Becerra-Farfán, Á.| Rodríguez-Luengo, M.| Sanchis-Gimeno, J.| Granite, G.| Gutiérrez-Espinoza, H.</t>
  </si>
  <si>
    <t>10.1038/s41598-024-81543-3</t>
  </si>
  <si>
    <t>2-s2.0-85211148658</t>
  </si>
  <si>
    <t>Universidad de las Américas - Chile| Universidad de las Américas - Ecuador| Universidad Andrés Bello| University of Valencia| Universidad Finis Terrae| Uniformed Services University of the Health Sciences| Universidad de Playa Ancha de Ciencias de la Educación| Universidad Bernardo O'Higgins</t>
  </si>
  <si>
    <t>60002636| 60105368| 60019586| 60105370| 60002644| 60105362| 60006762| 60279370| 60104441</t>
  </si>
  <si>
    <t>Universidad Andrés Bello| Universidad Finis Terrae| Universidad de Playa Ancha| Universidad Bernardo O'Higgins| Universitat de València| Universidad de Las Américas Chile| Uniformed Services University of the Health Sciences| F. Edward Hebert School of Medicine| Universidad de las Americas - Ecuador</t>
  </si>
  <si>
    <t>Chile| Spain| Ecuador| United States</t>
  </si>
  <si>
    <t>Herrero J.</t>
  </si>
  <si>
    <t>White matter volume and microstructural integrity are associated with fatigue in relapsing multiple sclerosis</t>
  </si>
  <si>
    <t>Figueroa-Vargas, A.| Navarrete-Caro, S.| Cárcamo, C.| Ciampi, E.| Vásquez-Torres, M.| Soler, B.| Montalba, C.| Iriarte-Carter, M.| Martínez-Molina, M.P.| Carvajal-Paredes, P.| Ayala-Ochoa, M.| Márquez-Rodríguez, V.| Figueroa-Taiba, P.| Díaz-Díaz, M.| Herrero, J.| Henríquez-Ch, R.| Stecher, X.| Manterola, C.| Zamorano, F.| Guevara, P.| Aboitiz, F.| Billeke, P.</t>
  </si>
  <si>
    <t>0.893</t>
  </si>
  <si>
    <t>10.1038/s41598-025-01465-6</t>
  </si>
  <si>
    <t>2-s2.0-105004777660</t>
  </si>
  <si>
    <t>Universidad San Sebastián| Universidad del Desarrollo| Universidad Finis Terrae| Pontificia Universidad Católica de Chile| Clínica Alemana de Santiago| Universidad de Concepción</t>
  </si>
  <si>
    <t>60006469| 60029681| 60009418| 60001282| 60025321| 132561557| 60000636| 60105368| 60000146</t>
  </si>
  <si>
    <t>Universidad del Desarrollo| Pontificia Universidad Católica de Chile| Facultad de Medicina| Universidad de Concepcion| Hospital Dr. Sotero del Rio| Academia Politécnica Aeronáutica (APA)Fuerza Aérea de Chile| Universidad San Sebastián| Universidad Finis Terrae| Clinica Alemana</t>
  </si>
  <si>
    <t>Castiglioni C.</t>
  </si>
  <si>
    <t>Mapping variants in thyroid hormone transporter MCT8 to disease severity by genomic, phenotypic, functional, structural and deep learning integration</t>
  </si>
  <si>
    <t>Groeneweg, S.| van Geest, F.S.| Martín, M.| Dias, M.| Frazer, J.| Medina-Gomez, C.| Sterenborg, R.B.T.M.| Wang, H.| Dolcetta-Capuzzo, A.| de Rooij, L.J.| Teumer, A.| Abaci, A.| van den Akker, E.L.T.| Ambegaonkar, G.P.| Armour, C.M.| Bacos, I.| Bakhtiani, P.| Barca, D.| Bauer, A.J.| van den Berg, S.A.A.| van den Berge, A.| Bertini, E.| van Beynum, I.M.| Brunetti-Pierri, N.| Brunner, D.| Cappa, M.| Cappuccio, G.| Castellotti, B.| Castiglioni, C.| Chatterjee, K.| Chesover, A.| Christian, P.| Coenen-van der Spek, J.| de Coo, I.F.M.| Coutant, R.| Craiu, D.| Crock, P.| DeGoede, C.| Demir, K.| Dewey, C.| Dica, A.| Dimitri, P.| Dremmen, M.H.G.| Dubey, R.| Enderli, A.| Fairchild, J.| Gallichan, J.| Garibaldi, L.| George, B.| Gevers, E.F.| Greenup, E.| Hackenberg, A.| Halász, Z.| Heinrich, B.| Hurst, A.C.| Huynh, T.| Isaza, A.R.| Klosowska, A.| van der Knoop, M.M.| Konrad, D.| Koolen, D.A.| Krude, H.| Kulkarni, A.| Laemmle, A.| LaFranchi, S.H.| Lawson-Yuen, A.| Lebl, J.| Leeuwenburgh, S.| Linder-Lucht, M.| López Martí, A.| Lorea, C.F.| Lourenço, C.M.| Lunsing, R.J.| Lyons, G.| Malikova, J.K.| Mancilla, E.E.| McCormick, K.L.| McGowan, A.| Mericq, V.| Lora, F.M.| Moran, C.| Muller, K.E.| Nicol, L.E.| Oliver-Petit, I.| Paone, L.| Paul, P.G.| Polak, M.| Porta, F.| Poswar, F.O.| Reinauer, C.| Rozenkova, K.| Seckold, R.| Seven Menevse, T.| Simm, P.| Simon, A.| Singh, Y.| Spada, M.| Stals, M.A.M.| Stegenga, M.T.| Stoupa, A.| Subramanian, G.M.| Szeifert, L.| Tonduti, D.| Turan, S.| Vanderniet, J.| van der Walt, A.| Wémeau, J.-L.| van Wermeskerken, A.-M.| Wierzba, J.| de Wit, M.-C.Y.| Wolf, N.I.| Wurm, M.| Zibordi, F.| Zung, A.| Zwaveling-Soonawala, N.| Rivadeneira, F.| Meima, M.E.| Marks, D.S.| Nicola, J.P.| Chen, C.-H.| Medici, M.| Visser, W.E.</t>
  </si>
  <si>
    <t>24.3</t>
  </si>
  <si>
    <t>10.1038/s41467-025-56628-w</t>
  </si>
  <si>
    <t>2-s2.0-105000111424</t>
  </si>
  <si>
    <t>Harvard University| University of Zurich| University of Melbourne| Great Ormond Street Hospital for Children NHS Foundation Trust| Fondazione Telethon| University of Pittsburgh| East Kent Hospitals University NHS Foundation Trust| University of Alabama at Birmingham| Semmelweis University| University of Bern| Hunter New England Health| Children’s Health Queensland| Carol Davila University of Medicine and Pharmacy| IRCCS Fondazione Istituto Neurologico Carlo Besta - Milano| Université Paris Cité| Hebrew University of Jerusalem| Heinrich Heine University Düsseldorf| Université d'Angers| Faculdade de Medicina de São José do Rio Preto| University of Amsterdam| Charité – Universitätsmedizin Berlin| University Hospitals Plymouth NHS Trust| Azienda Ospedaliera - Universitaria Città della Salute e della Scienza di Torino| Women's and Children's Hospital Adelaide| Queen Mary University of London| Clínica Las Condes| Orlando Regional Medical Center| University of California at Davis| Vrije Universiteit Amsterdam| Universidade Federal do Rio Grande do Sul| Medical University of Gdańsk| Université de Lille| Christian Medical College| The Children's Hospital of Philadelphia| Radboud University Nijmegen| Lancashire Teaching Hospitals NHS Foundation Trust| Oregon Health and Science University| Institut national de la santé et de la recherche médicale| University of California at San Diego| Marmara University| Amsterdam UMC| Dokuz Eylul University| Kaiser Permanente| University of Cambridge| Maastricht University| University of Turin| University of Pennsylvania| Multicare Health System| Universidad Finis Terrae| Ospedale dei Bambini Vittore Buzzi | Institute for Bioengineering of Catalonia| University of Newcastle| University of Greifswald| Universidade Federal de Pelotas| University of Toronto| German Centre for Cardiovascular Research| Hunter Medical Research Institute| University of Freiburg| IRCCS Ospedale pediatrico Bambino Gesù - Roma| University of Groningen| University of Naples Federico II| University of Ottawa| CHU de Toulouse| St. John's National Academy of Health Sciences| Universidad Nacional de Córdoba| University of Louisville| Cambridge University Hospitals NHS Foundation Trust| Centre for Genomic Regulation| Charles University| University of Regensburg| Pompeu Fabra University| Baylor College of Medicine| Kaplan Medical Center Israel| Erasmus University Rotterdam| Medanta (The Medicity)| Universidad de Chile| University of Milan| Scuola Superiore Meridionale| University of Sheffield| Children's Hospital Los Angeles</t>
  </si>
  <si>
    <t>60032114| 60000658| 60104011| 60108879| 60002746| 60005479| 60032942| 60002573| 60030612| 60022786| 60106629| 60014930| 60015627| 60016390| 60017488| 60018471| 60028897| 127796965| 60020633| 60033150| 60030118| 60017905| 60017293| 60083943| 60283178| 101174550| 60002441| 60017275| 60109622| 60105368| 60120909| 60031101| 60016849| 60030319| 60028801| 60102054| 60007815| 60018869| 60009445| 60010571| 60089816| 60022315| 60033034| 60001881| 60283446| 60002695| 60012614| 60015153| 60005671| 60005708| 60021990| 60021435| 60022109| 60027086| 60022661| 60341487| 60024812| 60119069| 60160783| 60012383| 60026245| 60257798| 60010987| 60017195| 60016733| 60017457| 60023469| 60016605| 60024805| 60014598| 60049617| 132374211| 60010023| 60006027| 60012464| 60017912| 60341654| 131489155| 60024960| 60000653| 60123804| 60123796| 60111308| 60012259| 60014120| 60072305| 60004502| 60026553| 60083540| 60030318| 127797290| 60104665| 112731742| 60008734| 60070178| 60001157| 60264478| 60020016| 60030807| 60033289| 60007903| 60002483| 60020565| 60018207| 60093945| 60022104| 60006726| 60014439</t>
  </si>
  <si>
    <t>Erasmus MC| Universidad Nacional de Córdoba| Instituto de Bioingeniería de Cataluña| Barcelona Institute of Science and Technology (BIST)| Harvard Medical School| Centro de Regulacion Genomica, Barcelona| Universitat Pompeu Fabra Barcelona| Radboud University Medical Center| University of California, San Diego| Universitätsmedizin Greifswald| Deutsches Zentrum für Herz-Kreislauf-Forschung e. V.| Dokuz Eylül Üniversitesi| Erasmus MC Sophia Children’s Hospital| Cambridge University Hospitals NHS Foundation Trust| Addenbrooke's Hospital| Children's Hospital of Eastern Ontario, Ottawa| University of Ottawa| Centrul Medical Dr. Bacos Cosma| University of Louisville| Universitatea de Medicina si Farmacie Carol Davila din Bucuresti| The Children's Hospital of Philadelphia| IRCCS Ospedale Pediatrico Bambino Gesù| Università degli Studi di Napoli Federico II| TIGEM Telethon Institute of Genetics and Medicine| Scuola Superiore Meridionale| Gottfried von Preyer Children Hospital| Baylor College of Medicine| Foundation IRCCS Neurological Institute "C. Besta"| Clinica Meds, Chile| Universidad Finis Terrae| Wellcome-MRC Institute of Metabolic Science| University of Cambridge| University of Toronto| The Hospital for Sick Children| East Kent Hospitals University NHS Foundation Trust| Donders Institute for Brain, Cognition and Behaviour| School for Mental Health and Neuroscience| Universiteit Maastricht| CHU Angers| The University of Newcastle, Australia| Hunter Medical Research Institute, Australia| Lancashire Teaching Hospitals NHS Foundation Trust| Multicare Health System| The University of Sheffield| Medanta Super Speciality Hospital, Indore| Kinderspital Zürich| Universität Zürich| Women's and Children's Hospital Adelaide| University Hospitals Plymouth NHS Trust| UPMC Children’s Hospital of Pittsburgh| St. John's National Academy Of Health Sciences India| Barts and The London School of Medicine and Dentistry| Queen Mary University of London| The University of Alabama at Birmingham| UAB Department of Pediatrics| Division of Pediatric Endocrinology and Diabetes| Semmelweis Egyetem| Department of Genetics| Queensland Children’s Hospital| Gdanski Uniwersytet Medyczny| Charité – Universitätsmedizin Berlin| SRCC Children’s Hospital| University Hospital Bern| Doernbecher Children's Hospital| Oregon Health &amp; Science University| Kaiser Permanente| Fakultní Nemocnice v Motole| Charles University| Universitätsklinikum Freiburg| Universidade Federal de Pelotas| Faculdade de Medicina de São José do Rio Preto| Personalized Medicine area -Special Education Sector at DLE/Grupo Pardini| Rijksuniversiteit Groningen| Universitair Medisch Centrum Groningen| Universidad de Chile| Clínica Las Condes| Sabará Hospital Infantil| Heim Pál National Pediatric Institute| CHU de Toulouse| Christian Medical College, Vellore| l'Institut des Maladies Génétiques Imagine| Université Paris Cité| Azienda Ospedaliera - Universitaria Città della Salute e della Scienza di Torino| Università degli Studi di Torino| Hospital de Clinicas de Porto Alegre| Universitätsklinikum Düsseldorf| Marmara Üniversitesi Tip Fakültesi| University of Melbourne| Ospedale dei Bambini Vittore Buzzi| Università degli Studi di Milano| Private Paediatric Neurology Practice of Dr A Van der Walt| Université de Lille| Flevoziekenhuis| Vrije Universiteit Amsterdam| Emma Kinderziekenhuis| Amsterdam UMC - University of Amsterdam| Amsterdam Neuroscience| Klinikum der Universität Regensburg und Medizinische Fakultät| Universität Regensburg| Kaplan Medical Center</t>
  </si>
  <si>
    <t>Chile| India| United Kingdom| Austria| Spain| South Africa| France| Italy| Hungary| Romania| Czech Republic| Brazil| Israel| Poland| United States| Germany| Australia| Turkey| Switzerland| Netherlands| Argentina| Canada</t>
  </si>
  <si>
    <t>Mariotti-Cellis M.S.</t>
  </si>
  <si>
    <t>Inhibition of the formation of 2-amino-1-methyl-6-phenylimidazo[4,5-b]pyridine (PhIP) and 2-amino-3,8-dimethyl-3H-imidazo[4,5-f]quinoxaline (MeIQx) by phenolics in model systems and beef patties</t>
  </si>
  <si>
    <t>Caro-Cabarcas, A.D.| Alcon, E.| Mariotti-Cellis, M.S.| Pedreschi, F.| Hidalgo, F.J.| Zamora, R.</t>
  </si>
  <si>
    <t>Food Chemistry</t>
  </si>
  <si>
    <t>ISSN-03088146</t>
  </si>
  <si>
    <t>17.5</t>
  </si>
  <si>
    <t>10.1016/j.foodchem.2025.144091</t>
  </si>
  <si>
    <t>2-s2.0-105001475943</t>
  </si>
  <si>
    <t>CSIC| CSIC - Institute for Fats| Universidad Finis Terrae| Pontificia Universidad Católica de Chile</t>
  </si>
  <si>
    <t>60068643| 60006754| 60029681| 60105368</t>
  </si>
  <si>
    <t>CSIC - Instituto de la Grasa (IG)| Consejo Superior de Investigaciones Científicas| Pontificia Universidad Católica de Chile| Universidad Finis Terrae</t>
  </si>
  <si>
    <t>Ultrasound-Assisted Extraction and Microencapsulation of Durvillaea incurvata Polyphenols: Toward a Stable Anti-Inflammatory Ingredient for Functional Foods</t>
  </si>
  <si>
    <t>Muñoz-Molina, N.| Parada, J.| Zambrano, A.| Chipon, C.| Robert, P.| Mariotti-Celis, M.S.</t>
  </si>
  <si>
    <t>10.3390/foods14132240</t>
  </si>
  <si>
    <t>2-s2.0-105010256496</t>
  </si>
  <si>
    <t>Universidad Austral de Chile| Universidad Finis Terrae| Universidad de Chile</t>
  </si>
  <si>
    <t>60003634| 60012464| 60105368</t>
  </si>
  <si>
    <t>Universidad Austral de Chile| Universidad de Chile| Universidad Finis Terrae</t>
  </si>
  <si>
    <t>Henriquez-Olguin C.</t>
  </si>
  <si>
    <t>mTOR Ser1261 is an AMPK-dependent phosphosite in mouse and human skeletal muscle not required for mTORC2 activity</t>
  </si>
  <si>
    <t>Li, J.| Madsen, A.B.| Knudsen, J.R.| Henriquez-Olguin, C.| Persson, K.W.| Li, Z.| Raun, S.H.| Li, T.| Kiens, B.| Wojtaszewski, J.F.P.| Richter, E.A.| Nogara, L.| Blaauw, B.| Ogasawara, R.| Jensen, T.E.</t>
  </si>
  <si>
    <t>FASEB Journal</t>
  </si>
  <si>
    <t>ISSN-08926638</t>
  </si>
  <si>
    <t>10.1096/fj.202402064R</t>
  </si>
  <si>
    <t>2-s2.0-85215813917</t>
  </si>
  <si>
    <t>University of Copenhagen| Huzhou University| Nagoya Institute of Technology| Chongqing University| Universidad Finis Terrae| University of Padua</t>
  </si>
  <si>
    <t>60030840| 60073558| 60105368| 60023380| 60000481| 60024751</t>
  </si>
  <si>
    <t>Københavns Universitet| Huzhou University| Universidad Finis Terrae| Chongqing University| Università degli Studi di Padova| Nagoya Institute of Technology</t>
  </si>
  <si>
    <t>Chile| China| Japan| Denmark| Italy</t>
  </si>
  <si>
    <t>Nazer M.I.</t>
  </si>
  <si>
    <t>Cemented versus cementless unicompartmental knee arthroplasty</t>
  </si>
  <si>
    <t>Iñiguez C., M.| Anastasiadis, Z.| Nazer, M.I.| Sandoval, R.</t>
  </si>
  <si>
    <t>Journal of ISAKOS</t>
  </si>
  <si>
    <t>ISSN-20597754</t>
  </si>
  <si>
    <t>10.1016/j.jisako.2024.100340</t>
  </si>
  <si>
    <t>2-s2.0-85209407253</t>
  </si>
  <si>
    <t>60109622| 60025321| 60017912| 60105368| 60105948</t>
  </si>
  <si>
    <t>Clinica Meds, Chile| Hospital Dr. Sotero del Rio| Clínica Las Condes| Universidad Finis Terrae| Hospital San Martín de Quillota</t>
  </si>
  <si>
    <t>Stock market pattern recognition using symbol entropy analysis</t>
  </si>
  <si>
    <t>Lavín, J.F.| Valle, M.A.| Magner, N.S.</t>
  </si>
  <si>
    <t>North American Journal of Economics and Finance</t>
  </si>
  <si>
    <t>ISSN-10629408</t>
  </si>
  <si>
    <t>0.961</t>
  </si>
  <si>
    <t>10.1016/j.najef.2024.102161</t>
  </si>
  <si>
    <t>2-s2.0-85192173231</t>
  </si>
  <si>
    <t>Universidad Diego Portales| Universidad Adolfo Ibáñez| Universidad Finis Terrae</t>
  </si>
  <si>
    <t>60003942| 60105368| 60013592</t>
  </si>
  <si>
    <t>Universidad Adolfo Ibáñez| Universidad Finis Terrae| Universidad Diego Portales</t>
  </si>
  <si>
    <t>Vallejos-Penaloza G.</t>
  </si>
  <si>
    <t>Clinical Characteristics Associated with the PLP-PLS Index, a New Potential Metric to Phenotype Phantom Limb Pain</t>
  </si>
  <si>
    <t>Ortega-Márquez, J.| Garnier, J.| Mena, L.| Palagi Vigano, A.V.| Grützmacher, E.B.| Vallejos-Penaloza, G.| Costa, V.| Martinez-Magallanes, D.| Vaz de Macedo, A.| de Paula-Garcia, W.N.| Schwartz, D.S.| Fregni, F.| Pacheco-Barrios, K.</t>
  </si>
  <si>
    <t>Biomedicines</t>
  </si>
  <si>
    <t>ISSN-22279059</t>
  </si>
  <si>
    <t>6.8</t>
  </si>
  <si>
    <t>10.3390/biomedicines12092035</t>
  </si>
  <si>
    <t>2-s2.0-85205043671</t>
  </si>
  <si>
    <t>Universidad San Ignacio de Loyola| Harvard University| Massachusetts General Hospital| Universidade Federal de São Carlos| A.C.Camargo Cancer Center| Universidad del Desarrollo| Universidade de São Paulo| Fundação Universitaria do ABC, Faculdade de Medicina do ABC| Universidad Finis Terrae| Spaulding Rehabilitation Hospital| Clínica Alemana de Santiago| SWPS University of Social Sciences and Humanities</t>
  </si>
  <si>
    <t>60002746| 60031620| 60008088| 60018756| 118420477| 60006469| 60000146| 60105368| 60000568| 60029929| 60013792| 100765058| 60020303| 60104719</t>
  </si>
  <si>
    <t>Harvard Medical School| SWPS Uniwersytet Humanistycznospołeczny| Universidade de São Paulo| Centro Universitário FMABC| Augenzentrum Lichterfelde West| Universidad del Desarrollo| Clinica Alemana| Universidad Finis Terrae| Spaulding Rehabilitation Hospital Network| Massachusetts General Hospital| Universidade Federal de São Carlos| Hospital da Polícia Militar| A.C.Camargo Cancer Center| Universidad San Ignacio de Loyola</t>
  </si>
  <si>
    <t>Chile| Poland| United States| Germany| Peru| Brazil</t>
  </si>
  <si>
    <t>Dog companionship and cortisol levels in youth. A systematic review and meta-analysis</t>
  </si>
  <si>
    <t>Peña-Jorquera, H.| Hernández-Jaña, S.| Sanchez-Martinez, J.| Espinoza-Puelles, J.P.| Martínez-Flores, R.| Barreto-Schuch, F.| Yáñez-Sepúlveda, R.| Delgado-Floody, P.| Ferrari, G.| Sadarangani, K.P.| Cancino-López, J.| Bento-Torres, J.| Espinoza-Salinas, A.| Stamatakis, E.| Cristi-Montero, C.</t>
  </si>
  <si>
    <t>Social Science and Medicine</t>
  </si>
  <si>
    <t>ISSN-02779536</t>
  </si>
  <si>
    <t>8.2</t>
  </si>
  <si>
    <t>10.1016/j.socscimed.2025.117815</t>
  </si>
  <si>
    <t>2-s2.0-85217709541</t>
  </si>
  <si>
    <t>Universidad Diego Portales| The University of Sydney| Universidad de Santiago de Chile| Universidad de la Frontera| Universidade Federal do Rio de Janeiro| Universidad Autónoma de Chile| Universidad Santo Tomás, Santiago| Pontificia Universidad Católica de Valparaíso| Universidad Andrés Bello| Universidad Finis Terrae| Universidade Federal de Santa Maria| University of Granada| Universidade Federal do Pará</t>
  </si>
  <si>
    <t>60023520| 60027844| 60033356| 60000036| 60105371| 60002636| 60012035| 60023383| 60013592| 113913700| 60105368| 60001890| 60009128| 60010710| 60025709| 60001491</t>
  </si>
  <si>
    <t>Pontificia Universidad Católica de Valparaíso| Universidad de Granada| Universidade Federal de Santa Maria| Universidade Federal do Rio de Janeiro| Universidad Autónoma de Chile| Universidad Andrés Bello| Universidad de la Frontera| Universidad de Santiago de Chile| Universidad Diego Portales| Instituto Teletón| Universidad Finis Terrae| Universidade Federal do Pará| Universidad Santo Tomas, Santiago| Faculty of Medicine and Health| The University of Sydney| The University of Sydney School of Health Sciences</t>
  </si>
  <si>
    <t>Orellana Donoso M.</t>
  </si>
  <si>
    <t>Association between types of abdominopelvic cancer in patients with situs inversus total: Systematic review</t>
  </si>
  <si>
    <t>Valenzuela-Fuenzalida, J.J.| Martínez Hernández, D.| Milos-Brandenberg, D.| Koscina, Z.| Avila-Sepulveda, R.| Baez, B.| Perez-Jimenez, D.| Nova Baeza, P.| Orellana Donoso, M.| Bruna-Mejias, A.</t>
  </si>
  <si>
    <t>10.1097/MD.0000000000037093</t>
  </si>
  <si>
    <t>2-s2.0-85185865636</t>
  </si>
  <si>
    <t>Universidad de las Américas - Chile| Universidad Andrés Bello| Universidad Finis Terrae| Universidad de Playa Ancha de Ciencias de la Educación| Universidad Pedro de Valdivia| Universidad Bernardo O'Higgins</t>
  </si>
  <si>
    <t>60105362| 60105370| 60002636| 60086395| 60105368| 60019586</t>
  </si>
  <si>
    <t>Universidad de Las Américas Chile| Universidad Bernardo O'Higgins| Universidad Andrés Bello| Universidad del Alba| Universidad Finis Terrae| Universidad de Playa Ancha</t>
  </si>
  <si>
    <t>Intelligent Energy Management System of a Microgrid Using Optimization Techniques</t>
  </si>
  <si>
    <t>Microgrid: Design, Optimization, and Applications</t>
  </si>
  <si>
    <t>155-173</t>
  </si>
  <si>
    <t>CRC Press</t>
  </si>
  <si>
    <t>10.1201/9781003481836-10</t>
  </si>
  <si>
    <t>2-s2.0-85194527504</t>
  </si>
  <si>
    <t>Navigating the Indeterminate Zone: Surgeons' Decision-Making Factors in Treating Vertebral Metastases with Spinal Instability Scores of 7–12</t>
  </si>
  <si>
    <t>Landriel, F.| White, K.| Guiroy, A.| Silva, Á.| Carazzo, C.| Simões, C.| Giraldo, G.| Cabrera, J.P.| Molina, M.| Valacco, M.| Astur, N.| Teixeira, W.| Hem, S.</t>
  </si>
  <si>
    <t>World Neurosurgery</t>
  </si>
  <si>
    <t>e1338-e1347</t>
  </si>
  <si>
    <t>ISSN-18788750</t>
  </si>
  <si>
    <t>0.709</t>
  </si>
  <si>
    <t>10.1016/j.wneu.2024.03.084</t>
  </si>
  <si>
    <t>2-s2.0-85191345659</t>
  </si>
  <si>
    <t>Universidade de Passo Fundo| Hospital Felício Rocho| Universidad del Desarrollo| Hospital Pablo Tobon Uribe| Universidad Finis Terrae| Hospital Italiano de Buenos Aires| Clínica Alemana de Santiago| Hospital Israelita Albert Einstein</t>
  </si>
  <si>
    <t>60008557| 126267999| 113974492| 60000146| 60006469| 60025701| 60061718| 60058437| 60106887| 60086383| 60105368| 60069880| 60016295| 130684481</t>
  </si>
  <si>
    <t>Hospital Italiano de Buenos Aires| ScienceRight Research Consulting| Clínica de Cuyo| Clinica Alemana| Universidad del Desarrollo| Universidade de Passo Fundo| Hospital Felicio Rocho| Hospital Pablo Tobon Uribe| Clínica Las Américas| Hospital Clínico Regional de Concepción Dr. Guillermo Grant Benavente| Universidad Finis Terrae| Churruca Visca Hospital| Hospital Israelita Albert Einstein| DWO Médicos Associados</t>
  </si>
  <si>
    <t>Chile| Colombia| Brazil| Argentina| Canada</t>
  </si>
  <si>
    <t>Unlocking Eco-Innovation Potential: An Integrated Approach to Sustainability</t>
  </si>
  <si>
    <t>Mansilla-Obando, K.| Bravo-Ortega, C.| Egana-del Sol, P.</t>
  </si>
  <si>
    <t>Sustainable Development</t>
  </si>
  <si>
    <t>885-902</t>
  </si>
  <si>
    <t>ISSN-09680802</t>
  </si>
  <si>
    <t>10.1002/sd.70021</t>
  </si>
  <si>
    <t>2-s2.0-105009804221</t>
  </si>
  <si>
    <t>60105368| 60003942| 127833865</t>
  </si>
  <si>
    <t>Universidad Finis Terrae| Universidad Adolfo Ibáñez| Millennium Nucleus on the Evolution of Work (MNEW)</t>
  </si>
  <si>
    <t>Hernandez A.</t>
  </si>
  <si>
    <t>Mood states and academic performance in the objective structured clinical examination. The mediating effect of self-efficacy</t>
  </si>
  <si>
    <t>Hernandez, A.| Busquets, P.| Jimenez, R.| Scanlan, J.</t>
  </si>
  <si>
    <t>Nurse Education Today</t>
  </si>
  <si>
    <t>ISSN-02606917</t>
  </si>
  <si>
    <t>Churchill Livingstone</t>
  </si>
  <si>
    <t>10.1016/j.nedt.2024.106116</t>
  </si>
  <si>
    <t>2-s2.0-85185493715</t>
  </si>
  <si>
    <t>Universidad Autónoma de Chile| University of Manitoba| Universidad Finis Terrae</t>
  </si>
  <si>
    <t>60105368| 60105371| 60009697</t>
  </si>
  <si>
    <t>Universidad Finis Terrae| Universidad Autónoma de Chile| University of Manitoba</t>
  </si>
  <si>
    <t>Chile| Canada</t>
  </si>
  <si>
    <t>Busquets P.</t>
  </si>
  <si>
    <t>Writing High-Quality Case Studies in Sport Science</t>
  </si>
  <si>
    <t>Mujika, I.| Yamashita, D.| Solli, G.S.</t>
  </si>
  <si>
    <t>1768-1771</t>
  </si>
  <si>
    <t>10.1123/ijspp.2025-0025</t>
  </si>
  <si>
    <t>2-s2.0-105022195058</t>
  </si>
  <si>
    <t>Universidad Finis Terrae| Nord University| Japan Institute of Sports Sciences| University of the Basque Country</t>
  </si>
  <si>
    <t>60027856| 60105368| 60253095| 60021876</t>
  </si>
  <si>
    <t>Universidad del Pais Vasco| Universidad Finis Terrae| Japan Institute of Sports Sciences| Nord Universitet</t>
  </si>
  <si>
    <t>Chile| Norway| Spain| Japan</t>
  </si>
  <si>
    <t>Peñaloza P.F.</t>
  </si>
  <si>
    <t>MARKED TRAJECTORIES: FAMILY HEALTH NARRATIVES PRODUCED BY ANTHROPOGENIC POLLUTION IN THE QUINTERO-PUCHUNCAVÍ SACRIFICE ZONE, CHILE</t>
  </si>
  <si>
    <t>Soto, A.E.| Peñaloza, P.F.| Pérez-Abarca, R.| Saldivia, I.V.| Hernández, H.K.</t>
  </si>
  <si>
    <t>Revista de Estudios Latinoamericanos sobre Reduccion del Riesgo de Desastres</t>
  </si>
  <si>
    <t>52-67</t>
  </si>
  <si>
    <t>ISSN-07198477</t>
  </si>
  <si>
    <t>Corporation for the Management and Reduction of Disaster Risk in Chile (GRID-Chile)</t>
  </si>
  <si>
    <t>Spanish</t>
  </si>
  <si>
    <t>59.0</t>
  </si>
  <si>
    <t>0.239</t>
  </si>
  <si>
    <t>10.55467/reder.v8i2.157</t>
  </si>
  <si>
    <t>2-s2.0-85198825082</t>
  </si>
  <si>
    <t>Universidad Finis Terrae| Universidad de Valparaíso| Universidad de Chile</t>
  </si>
  <si>
    <t>60012464| 60105368| 60008781</t>
  </si>
  <si>
    <t>Universidad de Chile| Universidad Finis Terrae| Universidad de Valparaiso</t>
  </si>
  <si>
    <t>Skeletal muscle Rac1 mediates exercise training adaptations towards muscle glycogen resynthesis and protein synthesis</t>
  </si>
  <si>
    <t>Raun, S.H.| Henriquez-Olguín, C.| Frank, E.| Schlabs, F.| Hahn, N.J.| Knudsen, J.R.| Ali, M.S.| Andersen, N.R.| Møller, L.L.V.| Davey, J.| Qian, H.| Coelho, A.| Carl, C.S.| Voldstedlund, C.T.| Kiens, B.| Holmdahl, R.| Gregorevic, P.| Jensen, T.E.| Deshmukh, A.S.| Richter, E.A.| Sylow, L.</t>
  </si>
  <si>
    <t>Redox Biology</t>
  </si>
  <si>
    <t>ISSN-22132317</t>
  </si>
  <si>
    <t>20.8</t>
  </si>
  <si>
    <t>10.1016/j.redox.2025.103844</t>
  </si>
  <si>
    <t>2-s2.0-105014537995</t>
  </si>
  <si>
    <t>University of Copenhagen| Karolinska Institutet| University of Melbourne| Universidad Finis Terrae</t>
  </si>
  <si>
    <t>60013332| 60030840| 60105368| 60253102| 60026553| 60343038| 60343000| 60012311</t>
  </si>
  <si>
    <t>Det Sundhedsvidenskabelige Fakultet| Københavns Universitet| Universidad Finis Terrae| Novo Nordisk Foundation Center for Basic Metabolic Research| University of Melbourne| Centre for Muscle Research| Department of Anatomy and Physiology| Karolinska Institutet</t>
  </si>
  <si>
    <t>Chile| Australia| Denmark| Sweden</t>
  </si>
  <si>
    <t>Influence of Iodine Substitutions on the Photophysical Properties of Rhenium(I) Tricarbonyl Complexes With Pyridine Schiff Base (PSB-IHB)</t>
  </si>
  <si>
    <t>Morales-Guevara, R.| Páez-Hernández, D.| Ancede-Gallardo, E.| Carreño, A.</t>
  </si>
  <si>
    <t>International Journal of Quantum Chemistry</t>
  </si>
  <si>
    <t>ISSN-00207608</t>
  </si>
  <si>
    <t>0.402</t>
  </si>
  <si>
    <t>10.1002/qua.70005</t>
  </si>
  <si>
    <t>2-s2.0-85214904344</t>
  </si>
  <si>
    <t>Universidad de Santiago de Chile| Universidad Andrés Bello| Universidad Finis Terrae</t>
  </si>
  <si>
    <t>60002636| 60023383| 60105368</t>
  </si>
  <si>
    <t>Universidad Andrés Bello| Universidad de Santiago de Chile| Universidad Finis Terrae</t>
  </si>
  <si>
    <t>Cognitive function at first episode in patients subsequently developing treatment-resistant schizophrenia</t>
  </si>
  <si>
    <t>Aguirre, J.M.| Díaz Dellarossa, C.| Barbagelata, D.| Vásquez, J.| Mena, C.| Tepper, Á.| Ramírez-Mahaluf, J.P.| Aceituno, D.| Nachar, R.| Undurraga, J.| González-Valderrama, A.| Crossley, N.A.</t>
  </si>
  <si>
    <t>Schizophrenia Research</t>
  </si>
  <si>
    <t>178-184</t>
  </si>
  <si>
    <t>ISSN-09209964</t>
  </si>
  <si>
    <t>1.23</t>
  </si>
  <si>
    <t>10.1016/j.schres.2025.01.017</t>
  </si>
  <si>
    <t>2-s2.0-85216599084</t>
  </si>
  <si>
    <t>Universidad de Antioquia| Universidad del Desarrollo| Universidad Finis Terrae| University of Oxford| Pontificia Universidad Católica de Chile| Clínica Alemana de Santiago</t>
  </si>
  <si>
    <t>60029681| 132204868| 60105368| 60006469| 60000146| 60055833| 60002634| 60026851</t>
  </si>
  <si>
    <t>Pontificia Universidad Católica de Chile| Instituto Psiquiátrico José Horwitz Barack| Universidad Finis Terrae| Universidad del Desarrollo| Clinica Alemana| Universidad de Antioquia| University of Oxford Medical Sciences Division| University of Oxford</t>
  </si>
  <si>
    <t>Chile| United Kingdom| Colombia</t>
  </si>
  <si>
    <t>Nachar R.</t>
  </si>
  <si>
    <t>González-Valderrama A.</t>
  </si>
  <si>
    <t>Gender disparities in higher education: development and validation of the FACT-GÉN instrument</t>
  </si>
  <si>
    <t>10.3389/feduc.2024.1456085</t>
  </si>
  <si>
    <t>2-s2.0-85210945354</t>
  </si>
  <si>
    <t>Universidad Adolfo Ibáñez| Universidad Finis Terrae| Universidad Metropolitana de Ciencias de la Educación</t>
  </si>
  <si>
    <t>60003126| 60105368| 60003942</t>
  </si>
  <si>
    <t>Universidad Metropolitana de Ciencias de la Educación| Universidad Finis Terrae| Universidad Adolfo Ibáñez</t>
  </si>
  <si>
    <t>Giglio A.</t>
  </si>
  <si>
    <t>Decoding Sepsis: A 16-Year Retrospective Analysis of Activation Patterns, Mortality Predictors, and Outcomes from a Hospital-Wide Sepsis Protocol</t>
  </si>
  <si>
    <t>Borges-Sa, M.| Giglio, A.| Aranda, M.| Socias, A.| del Castillo, A.| Mena, J.| Franco, S.| Ortega, M.| Nieto, Y.| Estrada, V.| de la Rica, R.</t>
  </si>
  <si>
    <t>0.9</t>
  </si>
  <si>
    <t>10.3390/jcm14165759</t>
  </si>
  <si>
    <t>2-s2.0-105015569770</t>
  </si>
  <si>
    <t>University of the Balearic Islands| Fundació Institut d'Investigació Sanitària Illes Balears| Hospital Universitario Son Llàtzer| Universidad Finis Terrae| Clínica Las Condes</t>
  </si>
  <si>
    <t>60068628| 60117551| 60009780| 133150971| 60017912| 60105368</t>
  </si>
  <si>
    <t>Hospital Universitari Son Llàtzer| Fundació Institut d'Investigació Sanitaria Illes Balears| Universitat de les Illes Balears| Fundación Código Sepsis| Clínica Las Condes| Universidad Finis Terrae</t>
  </si>
  <si>
    <t>Lopez-Arana S.</t>
  </si>
  <si>
    <t>Food labelling in India: a scoping review of consumer engagement, comprehension, and purchase behaviour</t>
  </si>
  <si>
    <t>Pahlani, M.| Narendra Talati, K.| Lopez-Arana, S.| Narayanan, P.</t>
  </si>
  <si>
    <t>Global Health Action</t>
  </si>
  <si>
    <t>ISSN-16549880</t>
  </si>
  <si>
    <t>0.926</t>
  </si>
  <si>
    <t>10.1080/16549716.2025.2574132</t>
  </si>
  <si>
    <t>2-s2.0-105021462010</t>
  </si>
  <si>
    <t>Universidad Finis Terrae| Manipal Academy of Higher Education</t>
  </si>
  <si>
    <t>60254905| 60016524| 60105368</t>
  </si>
  <si>
    <t>Prasanna School of Public Health| Manipal Academy of Higher Education| Universidad Finis Terrae</t>
  </si>
  <si>
    <t>Integrated strategies for reducing acrylamide, 5-HMF, and furan in colored native and commercial potato chips: Synergistic effects of nutrient solution conductivity and pre-frying treatments</t>
  </si>
  <si>
    <t>García-Ríos, D.| Pedreschi, F.| Mariotti-Celis, M.S.| Contreras, C.| Campos, D.| Alvaro, J.E.| Pedreschi, R.</t>
  </si>
  <si>
    <t>10.1016/j.lwt.2025.118398</t>
  </si>
  <si>
    <t>2-s2.0-105014339563</t>
  </si>
  <si>
    <t>Pontificia Universidad Católica de Valparaíso| Ministerio de Planificación, Chile| Universidad Austral de Chile| Universidad Finis Terrae| Pontificia Universidad Católica de Chile| Universidad Nacional Agraria La Molina</t>
  </si>
  <si>
    <t>60023520| 60029681| 60105368| 60003634| 60071254| 60281572</t>
  </si>
  <si>
    <t>Pontificia Universidad Católica de Valparaíso| Pontificia Universidad Católica de Chile| Universidad Finis Terrae| Universidad Austral de Chile| Universidad Nacional Agraria La Molina| Millennium Institute Center for Genome Regulation</t>
  </si>
  <si>
    <t>Tissue integration and vascularization of volume collagen matrices and connective tissue grafts following peri-implant soft tissue augmentation: a secondary histological analysis</t>
  </si>
  <si>
    <t>Smirani, R.| Strauss, F.J.| Hitz, S.| Jung, R.E.| Kraus, R.| Thoma, D.S.</t>
  </si>
  <si>
    <t>Swiss dental journal</t>
  </si>
  <si>
    <t>37-42</t>
  </si>
  <si>
    <t>ISSN-22966498</t>
  </si>
  <si>
    <t>1.1</t>
  </si>
  <si>
    <t>0.227</t>
  </si>
  <si>
    <t>10.61872/sdj-2025-02-04</t>
  </si>
  <si>
    <t>2-s2.0-105004779394</t>
  </si>
  <si>
    <t>University of Zurich| CHU de Bordeaux| Universidad Finis Terrae| Yonsei University| Institut national de la santé et de la recherche médicale| Université de Bordeaux</t>
  </si>
  <si>
    <t>60012614| 60106800| 60000905| 60102125| 60021564| 60105368| 60115878</t>
  </si>
  <si>
    <t>Universität Zürich| Bioingénierie Tissulaire| Inserm| Université de Bordeaux| Centre Hospitalier Universitaire de Bordeaux| Universidad Finis Terrae| Yonsei University College of Dentistry</t>
  </si>
  <si>
    <t>Chile| South Korea| Switzerland| France</t>
  </si>
  <si>
    <t>In situ simulation in the intensive care unit: A phenomenological study of staff experiences</t>
  </si>
  <si>
    <t>Ferre, A.| Giglio, A.| Van Sint Jan, N.| Garcia, J.| Benites, M.| Vergara, K.| Galleguillos, M.| Dreyse, J.| Hasbun, P.</t>
  </si>
  <si>
    <t>Perfusion (United Kingdom)</t>
  </si>
  <si>
    <t>962-973</t>
  </si>
  <si>
    <t>ISSN-02676591</t>
  </si>
  <si>
    <t>0.493</t>
  </si>
  <si>
    <t>10.1177/02676591241272058</t>
  </si>
  <si>
    <t>2-s2.0-85200962404</t>
  </si>
  <si>
    <t>Universidad Finis Terrae| Pennsylvania State University| Clínica Las Condes</t>
  </si>
  <si>
    <t>60017912| 60105368| 131554645| 60001439| 131554329</t>
  </si>
  <si>
    <t>Clínica Las Condes| Universidad Finis Terrae| Laerdal Medical Corporation| Pennsylvania State University| Hospital Virtual Valdecilla</t>
  </si>
  <si>
    <t>Van Sint Jan N.</t>
  </si>
  <si>
    <t>Benites M.</t>
  </si>
  <si>
    <t>Hasbun P.</t>
  </si>
  <si>
    <t>Two-Step Periosteal Releasing Incision for Tension-Free Flap Closure After Implant Placement With Simultaneous Guided Bone Regeneration</t>
  </si>
  <si>
    <t>Neira, P.| Moreno, X.| Caric, Y.| Strauss, F.J.| Cavalla, F.</t>
  </si>
  <si>
    <t>Journal of Oral Implantology</t>
  </si>
  <si>
    <t>317-321</t>
  </si>
  <si>
    <t>ISSN-01606972</t>
  </si>
  <si>
    <t>Allen Press Inc.</t>
  </si>
  <si>
    <t>41.0</t>
  </si>
  <si>
    <t>0.359</t>
  </si>
  <si>
    <t>10.1563/aaid-joi-D-24-00032</t>
  </si>
  <si>
    <t>2-s2.0-85201029704</t>
  </si>
  <si>
    <t>Universidad Andrés Bello| University of Zurich| Universidad Finis Terrae| Universidad de Chile</t>
  </si>
  <si>
    <t>60109659| 60002636| 60012464| 60012614| 60105368</t>
  </si>
  <si>
    <t>Hospital San Camilo| Universidad Andrés Bello| Universidad de Chile| Universität Zürich| Universidad Finis Terrae</t>
  </si>
  <si>
    <t>Gubbins V.</t>
  </si>
  <si>
    <t>Subjective theories of the Chilean teachers’ union about school climate and violence after the pandemic: a study of web news</t>
  </si>
  <si>
    <t>Castro-Carrasco, P.| Cuadra-Martínez, D.| Gubbins, V.| Rodríguez-Pastene-Vicencio, F.| Carrasco-Aguilar, C.| Caamaño-Vega, V.| Zelaya, M.</t>
  </si>
  <si>
    <t>10.3389/feduc.2024.1455387</t>
  </si>
  <si>
    <t>2-s2.0-85211612326</t>
  </si>
  <si>
    <t>Universidad de Atacama| Universidad Santo Tomás, Santiago| Universidad Finis Terrae| Universidad de La Serena| Universidad de Playa Ancha de Ciencias de la Educación| Universidad Católica del Maule</t>
  </si>
  <si>
    <t>60016754| 60009462| 60012992| 60105368| 60019586| 60009128</t>
  </si>
  <si>
    <t>Universidad de La Serena| Universidad Católica del Maule| Universidad de Atacama| Universidad Finis Terrae| Universidad de Playa Ancha| Universidad Santo Tomas, Santiago</t>
  </si>
  <si>
    <t>Augmentation of keratinized tissue using autogenous soft-tissue grafts and collagen-based soft-tissue substitutes at teeth and dental implants: Histological findings in a pilot pre-clinical study</t>
  </si>
  <si>
    <t>Lim, H.-C.| Strauss, F.J.| Shin, S.-I.| Jung, R.E.| Jung, U.-W.| Thoma, D.S.</t>
  </si>
  <si>
    <t>Journal of Clinical Periodontology</t>
  </si>
  <si>
    <t>665-677</t>
  </si>
  <si>
    <t>ISSN-03036979</t>
  </si>
  <si>
    <t>12.2</t>
  </si>
  <si>
    <t>10.1111/jcpe.13949</t>
  </si>
  <si>
    <t>2-s2.0-85183446128</t>
  </si>
  <si>
    <t>Kyung Hee University| University of Zurich| Universidad Finis Terrae| Yonsei University</t>
  </si>
  <si>
    <t>60012614| 60025071| 60001873| 60105368| 60115878</t>
  </si>
  <si>
    <t>Universität Zürich| Kyung Hee Medical Center| Kyung Hee University| Universidad Finis Terrae| Yonsei University College of Dentistry</t>
  </si>
  <si>
    <t>The Effects of Maca (Lepidium meyenii Walp) on Cellular Oxidative Stress: A Systematic Review and Meta-Analysis</t>
  </si>
  <si>
    <t>Huerta Ojeda, Á.| Rodríguez Rojas, J.| Cuevas Guíñez, J.| Ciriza Velásquez, S.| Cancino-López, J.| Barahona-Fuentes, G.| Yeomans-Cabrera, M.-M.| Pavez, L.| Jorquera-Aguilera, C.</t>
  </si>
  <si>
    <t>10.3390/antiox13091046</t>
  </si>
  <si>
    <t>2-s2.0-85205080327</t>
  </si>
  <si>
    <t>Moyano Davila C.</t>
  </si>
  <si>
    <t>What time does the bell ring? Problems and potentialities in experiences of temporality in school</t>
  </si>
  <si>
    <t>Galioto, C.| Moyano Davila, C.</t>
  </si>
  <si>
    <t>International Journal of Qualitative Studies in Education</t>
  </si>
  <si>
    <t>1839-1852</t>
  </si>
  <si>
    <t>ISSN-09518398</t>
  </si>
  <si>
    <t>0.735</t>
  </si>
  <si>
    <t>10.1080/09518398.2023.2233930</t>
  </si>
  <si>
    <t>2-s2.0-85165269048</t>
  </si>
  <si>
    <t>Universidad de O'Higgins| Universidad Finis Terrae</t>
  </si>
  <si>
    <t>60157974| 60105368</t>
  </si>
  <si>
    <t>Universidad de O’Higgins| Universidad Finis Terrae</t>
  </si>
  <si>
    <t>Santibáñez D.</t>
  </si>
  <si>
    <t>A map of collective pedagogical content knowledge as a basis for studying the development of biology teachers’ personal PCK of evolution</t>
  </si>
  <si>
    <t>Vergara, C.| Bassaber, A.| Núñez Nieto, P.| Becerra, B.| Hurtado, H.| Santibáñez, D.| Cofré, H.</t>
  </si>
  <si>
    <t>International Journal of Science Education</t>
  </si>
  <si>
    <t>2279-2301</t>
  </si>
  <si>
    <t>ISSN-09500693</t>
  </si>
  <si>
    <t>0.875</t>
  </si>
  <si>
    <t>10.1080/09500693.2024.2381841</t>
  </si>
  <si>
    <t>2-s2.0-85200249531</t>
  </si>
  <si>
    <t>Pontificia Universidad Católica de Valparaíso| Universidad Finis Terrae| Universidad Alberto Hurtado</t>
  </si>
  <si>
    <t>60088733| 60023520| 60105368</t>
  </si>
  <si>
    <t>Universidad Alberto Hurtado| Pontificia Universidad Católica de Valparaíso| Universidad Finis Terrae</t>
  </si>
  <si>
    <t>Revisiting insulin-stimulated hydrogen peroxide dynamics reveals a cytosolic reductive shift in skeletal muscle</t>
  </si>
  <si>
    <t>Henríquez-Olguín, C.| Gallero, S.| Reddy, A.| Persson, K.W.| Schlabs, F.L.| Voldstedlund, C.T.| Valentinaviciute, G.| Meneses-Valdés, R.| Sigvardsen, C.M.| Kiens, B.| Chouchani, E.T.| Richter, E.A.| Jensen, T.E.</t>
  </si>
  <si>
    <t>10.1016/j.redox.2025.103607</t>
  </si>
  <si>
    <t>2-s2.0-105001686445</t>
  </si>
  <si>
    <t>Harvard University| University of Copenhagen| Universidad Finis Terrae| Dana-Farber Cancer Institute</t>
  </si>
  <si>
    <t>60030840| 60105368| 60002746| 60014334</t>
  </si>
  <si>
    <t>Københavns Universitet| Universidad Finis Terrae| Harvard Medical School| Dana-Farber Cancer Institute</t>
  </si>
  <si>
    <t>Chile| United States| Denmark</t>
  </si>
  <si>
    <t>Functional echocardiography identifies association between early ventricular dysfunction and outcome in pediatric sepsis</t>
  </si>
  <si>
    <t>Reveco, S.| Barbagelata, S.| Cruces, P.| Diaz, F.| Yohanessen, K.| Larraín, M.| Guerra, M.| Bataszew, A.</t>
  </si>
  <si>
    <t>4.2</t>
  </si>
  <si>
    <t>0.733</t>
  </si>
  <si>
    <t>10.3389/fped.2025.1570519</t>
  </si>
  <si>
    <t>2-s2.0-105008230374</t>
  </si>
  <si>
    <t>60281394| 60015638| 60105896| 60002636| 60281764| 60105368| 60002946| 60012464| 60012467</t>
  </si>
  <si>
    <t>Hospital El Carmen Dr. Luis Valentín Ferrada| Hospital San Juan de Dios, Santiago de Chile| Clínica Dávila| Universidad Andrés Bello| Facultad de Ciencias de la Vida| Universidad Finis Terrae| Facultad de Medicina de la Universidad de Chile| Universidad de Chile| Hospital de Niños Roberto del Río</t>
  </si>
  <si>
    <t>Martínez M.</t>
  </si>
  <si>
    <t>Functional results and feasibility of a teleprehabilitation program in patients who are candidates for elective colorectal cancer surgery during the COVID-19 pandemic</t>
  </si>
  <si>
    <t>Lorca, L.A.| Ribeiro, I.L.| Pizarro, M.| Martínez, M.| Vivallos, J.</t>
  </si>
  <si>
    <t>Asia-Pacific Journal of Clinical Oncology</t>
  </si>
  <si>
    <t>251-258</t>
  </si>
  <si>
    <t>ISSN-17437555</t>
  </si>
  <si>
    <t>3.9</t>
  </si>
  <si>
    <t>51.0</t>
  </si>
  <si>
    <t>0.57</t>
  </si>
  <si>
    <t>10.1111/ajco.13939</t>
  </si>
  <si>
    <t>2-s2.0-85147288447</t>
  </si>
  <si>
    <t>Hospital del Salvador| Universidad Finis Terrae| Universidad Católica del Maule</t>
  </si>
  <si>
    <t>60006634| 60009462| 60105368</t>
  </si>
  <si>
    <t>Hospital del Salvador| Universidad Católica del Maule| Universidad Finis Terrae</t>
  </si>
  <si>
    <t>Varas-Diaz G.</t>
  </si>
  <si>
    <t>Concurrent ankle-assisted movement, biofeedback, and proprioceptive stimulation reduces lower limb motor impairment and improves gait in persons with stroke</t>
  </si>
  <si>
    <t>Varas-Diaz, G.| Bhatt, T.| Oken, B.| Roth, E.| Hayes, J.| Cordo, P.</t>
  </si>
  <si>
    <t>Physiotherapy Theory and Practice</t>
  </si>
  <si>
    <t>477-486</t>
  </si>
  <si>
    <t>ISSN-09593985</t>
  </si>
  <si>
    <t>32.0</t>
  </si>
  <si>
    <t>0.683</t>
  </si>
  <si>
    <t>10.1080/09593985.2022.2122763</t>
  </si>
  <si>
    <t>2-s2.0-85138401582</t>
  </si>
  <si>
    <t>Northwestern University| Pacific University Oregon| University of Illinois at Chicago| Universidad Finis Terrae| Oregon Health and Science University</t>
  </si>
  <si>
    <t>60105368| 60027561| 60016733| 60032702| 60007363| 60013227| 60021540| 60027504| 121936866</t>
  </si>
  <si>
    <t>Universidad Finis Terrae| University of Illinois at Chicago| Oregon Health &amp; Science University| OHSU School of Medicine| Northwestern University| Northwestern University Feinberg School of Medicine| Pacific University College of Optometry| Pacific University| AMES TECHNOLOGY, INC.</t>
  </si>
  <si>
    <t>Clinical implications of aberrant anatomy of the common hepatic duct in liver surgery: a systematic review and meta-analysis</t>
  </si>
  <si>
    <t>Valenzuela-Fuenzalida, J.J.| Avalos-Díaz, C.| Droguett-Utreras, A.| Guerra-Loyola, J.| Nova-Baeza, P.| Orellana-Donoso, M.| Suazo-Santibañez, A.| Oyanedel-Amaro, G.| Sanchis-Gimeno, J.| Bruna-Mejias, A.| Chatzioglou, G.N.</t>
  </si>
  <si>
    <t>2027-2047</t>
  </si>
  <si>
    <t>10.1007/s00276-024-03494-8</t>
  </si>
  <si>
    <t>2-s2.0-85205318422</t>
  </si>
  <si>
    <t>Universidad de Antofagasta| Universidad de las Américas - Chile| Universidad Andrés Bello| Universidad Autónoma de Chile| Universidad San Sebastián| Istanbul Health and Technology University| University of Valencia| Universidad Finis Terrae| Universidad Bernardo O'Higgins</t>
  </si>
  <si>
    <t>60105368| 60105362| 60002636| 60105370| 60011527| 60000636| 60105371| 60002644| 60209941</t>
  </si>
  <si>
    <t>Universidad Finis Terrae| Universidad de Las Américas Chile| Universidad Andrés Bello| Universidad Bernardo O'Higgins| Universidad de Antofagasta| Universidad San Sebastián| Universidad Autónoma de Chile| Universitat de València| Istanbul Health and Technology University</t>
  </si>
  <si>
    <t>Chile| Spain| Turkey</t>
  </si>
  <si>
    <t>Biomarkers of minimal residual disease and treatment</t>
  </si>
  <si>
    <t>Advances in Clinical Chemistry</t>
  </si>
  <si>
    <t>33-70</t>
  </si>
  <si>
    <t>ISSN-00652423</t>
  </si>
  <si>
    <t>0.776</t>
  </si>
  <si>
    <t>10.1016/bs.acc.2024.02.002</t>
  </si>
  <si>
    <t>2-s2.0-85186210719</t>
  </si>
  <si>
    <t>What Is the Process? A Metamodel of the Requirements Elicitation Process Derived from a Systematic Literature Review</t>
  </si>
  <si>
    <t>Hidalgo, M.| Yanine, F.| Paredes, R.| Frez, J.| Solar, M.</t>
  </si>
  <si>
    <t>Processes</t>
  </si>
  <si>
    <t>ISSN-22279717</t>
  </si>
  <si>
    <t>0.576</t>
  </si>
  <si>
    <t>10.3390/pr13010020</t>
  </si>
  <si>
    <t>2-s2.0-85215782826</t>
  </si>
  <si>
    <t>Universidad Diego Portales| Universidad Finis Terrae| Universidad Técnica Federico Santa Maria</t>
  </si>
  <si>
    <t>60105368| 60007087| 60013592</t>
  </si>
  <si>
    <t>Universidad Finis Terrae| Universidad Técnica Federico Santa María| Universidad Diego Portales</t>
  </si>
  <si>
    <t>Yanine F.</t>
  </si>
  <si>
    <t>Paredes R.</t>
  </si>
  <si>
    <t>Effectiveness of Duloxetine versus Other Therapeutic Modalities in Patients with Diabetic Neuropathic Pain: A Systematic Review and Meta-Analysis</t>
  </si>
  <si>
    <t>Valenzuela-Fuenzalida, J.J.| López-Chaparro, M.| Barahona-Vásquez, M.| Campos-Valdes, J.| Cordero Gonzalez, J.| Nova-Baeza, P.| Orellana-Donoso, M.| Suazo-Santibañez, A.| Oyanedel-Amaro, G.| Gutiérrez Espinoza, H.</t>
  </si>
  <si>
    <t>10.3390/ph17070856</t>
  </si>
  <si>
    <t>2-s2.0-85199872756</t>
  </si>
  <si>
    <t>Diagnosing grid's service quality issues: the virtual microgrid and the digitization and innovations in the power distribution grid</t>
  </si>
  <si>
    <t>Córdova, F.| Yanine, F.| Carrasco, S.| Rother, H.| Duarte, V.</t>
  </si>
  <si>
    <t>Procedia Computer Science</t>
  </si>
  <si>
    <t>1307-1314</t>
  </si>
  <si>
    <t>ISSN-18770509</t>
  </si>
  <si>
    <t>4.1</t>
  </si>
  <si>
    <t>10.1016/j.procs.2024.08.134</t>
  </si>
  <si>
    <t>Conference Paper</t>
  </si>
  <si>
    <t>2-s2.0-85203338380</t>
  </si>
  <si>
    <t>131663996| 60105368| 130085243</t>
  </si>
  <si>
    <t>University San SebastiáRecoletan| Universidad Finis Terrae| S.A.</t>
  </si>
  <si>
    <t>Hyperthermia during open water swimming: risks, monitoring and mitigation strategies</t>
  </si>
  <si>
    <t>Ramos da Silva, E.| Zacca, R.| Mujika, I.| Diefenthaeler, F.</t>
  </si>
  <si>
    <t>3441-3462</t>
  </si>
  <si>
    <t>5.4</t>
  </si>
  <si>
    <t>0.985</t>
  </si>
  <si>
    <t>10.1007/s00421-025-05945-5</t>
  </si>
  <si>
    <t>2-s2.0-105014875925</t>
  </si>
  <si>
    <t>University of Porto| Universidad Finis Terrae| Universidade Federal de Santa Catarina| University of the Basque Country| Universidad Adventista de Chile</t>
  </si>
  <si>
    <t>100809422| 60017609| 60007249| 126083578| 60105372| 60027856| 60105368</t>
  </si>
  <si>
    <t>Colégio Militar de Porto Alegre (CMPA)| Universidade Federal de Santa Catarina| Universidade do Porto| Laboratory for Integrative and Translational Research in Population Health (ITR)| Universidad Adventista de Chile| Universidad del Pais Vasco| Universidad Finis Terrae</t>
  </si>
  <si>
    <t>Chile| Spain| Portugal| Brazil</t>
  </si>
  <si>
    <t>Anatomical Variants in Pancreatic Irrigation and Their Clinical Considerations for the Pancreatic Approach and Surrounding Structures: A Systematic Review with Meta-Analysis</t>
  </si>
  <si>
    <t>Valenzuela-Fuenzalida, J.J.| Núñez-Castro, C.I.| Morán-Durán, V.B.| Nova-Baeza, P.| Orellana-Donoso, M.| Suazo-Santibáñez, A.| Becerra-Farfan, A.| Oyanedel-Amaro, G.| Bruna-Mejias, A.| Granite, G.| Casanova-Martinez, D.| Sanchis-Gimeno, J.</t>
  </si>
  <si>
    <t>Medicina (Lithuania)</t>
  </si>
  <si>
    <t>ISSN-1010660X</t>
  </si>
  <si>
    <t>4.6</t>
  </si>
  <si>
    <t>10.3390/medicina61040666</t>
  </si>
  <si>
    <t>2-s2.0-105003554304</t>
  </si>
  <si>
    <t>Universidad de las Américas - Chile| Universidad Andrés Bello| Universidad Autónoma de Chile| Universidad San Sebastián| University of Valencia| Universidad Finis Terrae| Universidad de Valparaíso| Uniformed Services University of the Health Sciences| Universidad de Playa Ancha de Ciencias de la Educación| Universidad de Buenos Aires| Universidad Bernardo O'Higgins</t>
  </si>
  <si>
    <t>60002636| 60105368| 60000636| 60105362| 60105370| 60105371| 60019586| 60006762| 60279370| 60008781| 60001563| 60002644</t>
  </si>
  <si>
    <t>Universidad Andrés Bello| Universidad Finis Terrae| Universidad San Sebastián| Universidad de Las Américas Chile| Universidad Bernardo O'Higgins| Universidad Autónoma de Chile| Universidad de Playa Ancha| Uniformed Services University of the Health Sciences| F. Edward Hebert School of Medicine| Universidad de Valparaiso| Universidad de Buenos Aires| Universitat de València</t>
  </si>
  <si>
    <t>Chile| Spain| United States| Argentina</t>
  </si>
  <si>
    <t>Cheating Modulated by Time Pressure in the Matrix Task</t>
  </si>
  <si>
    <t>Campos, V.F.| Valle, M.A.| Bueno, J.L.O.</t>
  </si>
  <si>
    <t>Trends in Psychology</t>
  </si>
  <si>
    <t>1201-1214</t>
  </si>
  <si>
    <t>ISSN-23581883</t>
  </si>
  <si>
    <t>3.4</t>
  </si>
  <si>
    <t>47.0</t>
  </si>
  <si>
    <t>0.444</t>
  </si>
  <si>
    <t>10.1007/s43076-022-00148-9</t>
  </si>
  <si>
    <t>2-s2.0-85124551018</t>
  </si>
  <si>
    <t>Universidade de São Paulo| Universidad Finis Terrae</t>
  </si>
  <si>
    <t>60008088| 60105368</t>
  </si>
  <si>
    <t>Effects of exercise, physical activity and sports on physical fitness and body composition in children and adolescents with Down syndrome: a systematic review</t>
  </si>
  <si>
    <t>Montalva-Valenzuela, F.| Andrades-Ramírez, O.| Ferrari, G.| Adsuar, J.C.| Gorla, J.I.| Farías-Valenzuela, C.| Mendoza-Muñoz, M.| Nanjarí-Miranda, R.| Castillo-Paredes, A.</t>
  </si>
  <si>
    <t>Discover Social Science and Health</t>
  </si>
  <si>
    <t>ISSN-27310469</t>
  </si>
  <si>
    <t>Springer Nature</t>
  </si>
  <si>
    <t>1.3</t>
  </si>
  <si>
    <t>55.0</t>
  </si>
  <si>
    <t>0.471</t>
  </si>
  <si>
    <t>10.1007/s44155-025-00241-1</t>
  </si>
  <si>
    <t>2-s2.0-105009721590</t>
  </si>
  <si>
    <t>Universidad Central de Chile| Universidad de Santiago de Chile| Universidade Estadual de Campinas| Universidad de las Américas - Chile| Universidad Andrés Bello| Universidad Autónoma de Chile| Universidad Católica de la Santísima Concepción| Universidad Finis Terrae| University of Extremadura| Universidade Norte do Paraná</t>
  </si>
  <si>
    <t>60105368| 132764528| 60002636| 60031536| 60023383| 60105371| 60017838| 60029570| 60000513| 60088669| 60105362</t>
  </si>
  <si>
    <t>Universidad Finis Terrae| INAF| Universidad Andrés Bello| Universidad Catolica de la Santisima Concepcion| Universidad de Santiago de Chile| Universidad Autónoma de Chile| Universidad de Extremadura| Universidade Estadual de Campinas| Universidade Norte do Parana| Universidad Central de Chile| Universidad de Las Américas Chile</t>
  </si>
  <si>
    <t>Chile| Spain| Brazil</t>
  </si>
  <si>
    <t>Pomegranate peel extract counteracts palmitate-induced insulin resistance by inducing mitophagy, reducing inflammation, and regulating MAPK signaling in C2C12 myotubes</t>
  </si>
  <si>
    <t>Bustamante, A.| Gutiérrez, J.| Chávez, V.| Lemus, R.| Muñoz-Medina, C.| Carriel-Nesvara, A.| León, E.| Fredes, C.| Aguirre, C.| Parada, A.| Castro-Sepúlveda, M.| Echeverría, F.</t>
  </si>
  <si>
    <t>Food Bioscience</t>
  </si>
  <si>
    <t>ISSN-22124292</t>
  </si>
  <si>
    <t>10.1016/j.fbio.2025.107433</t>
  </si>
  <si>
    <t>2-s2.0-105013654794</t>
  </si>
  <si>
    <t>60002946| 60105368| 60012464| 60009418</t>
  </si>
  <si>
    <t>Facultad de Medicina de la Universidad de Chile| Universidad Finis Terrae| Universidad de Chile| Facultad de Medicina</t>
  </si>
  <si>
    <t>Muñoz-Medina C.</t>
  </si>
  <si>
    <t>Effects of Physical Activity or Exercise on Depressive Symptoms and Self-Esteem in Older Adults: A Systematic Review</t>
  </si>
  <si>
    <t>Muñoz Pinto, M.| Montalva-Valenzuela, F.| Farías-Valenzuela, C.| Ferrero Hernández, P.| Ferrari, G.| Castillo-Paredes, A.</t>
  </si>
  <si>
    <t>Psychiatry International</t>
  </si>
  <si>
    <t>ISSN-26735318</t>
  </si>
  <si>
    <t>1.5</t>
  </si>
  <si>
    <t>60.0</t>
  </si>
  <si>
    <t>0.473</t>
  </si>
  <si>
    <t>10.3390/psychiatryint6020046</t>
  </si>
  <si>
    <t>2-s2.0-105009309845</t>
  </si>
  <si>
    <t>Universidad de Santiago de Chile| Universidad San Sebastián| Universidad Finis Terrae| Universidad Arturo Prat</t>
  </si>
  <si>
    <t>60023383| 60105368| 60000636| 60010144</t>
  </si>
  <si>
    <t>Universidad de Santiago de Chile| Universidad Finis Terrae| Universidad San Sebastián| Universidad Arturo Prat</t>
  </si>
  <si>
    <t>Henríquez-Olguin C.</t>
  </si>
  <si>
    <t>Activin receptor type IIA/IIB blockade increases muscle mass and strength, but compromises glycemic control in mice: Activin receptor inhibition increases muscle mass and strength, but compromises glycemic control</t>
  </si>
  <si>
    <t>Carlsson, M.| Frank, E.| Màrmol, J.M.| Ali, M.S.| Raun, S.H.| Battey, E.| Andersen, N.R.| Irazoki, A.| Lund, C.| Henríquez-Olguin, C.| Højfeldt, M.K.| Blomquist, P.| Bromer, F.D.| Mocciaro, G.| Lodberg, A.| Folsted Andersen, C.B.| Eijken, M.| Fritzen, A.M.| Knudsen, J.R.| Richter, E.A.| Sylow, L.</t>
  </si>
  <si>
    <t>Molecular Metabolism</t>
  </si>
  <si>
    <t>ISSN-22128778</t>
  </si>
  <si>
    <t>Elsevier GmbH</t>
  </si>
  <si>
    <t>11.9</t>
  </si>
  <si>
    <t>10.1016/j.molmet.2025.102261</t>
  </si>
  <si>
    <t>2-s2.0-105018969990</t>
  </si>
  <si>
    <t>University of Copenhagen| Novo Nordisk Foundation| Universidad Finis Terrae| Aarhus University</t>
  </si>
  <si>
    <t>60030840| 60013332| 60006179| 60105368| 60029616| 60023882</t>
  </si>
  <si>
    <t>Københavns Universitet| Det Sundhedsvidenskabelige Fakultet| Novo Nordisk A/S| Universidad Finis Terrae| Aarhus Universitet| Aarhus Universitetshospital</t>
  </si>
  <si>
    <t>Latin American social sciences in a managerial university regime</t>
  </si>
  <si>
    <t>Labraña, J.| Matus, T.| Puyol, F.</t>
  </si>
  <si>
    <t>Cinta de Moebio</t>
  </si>
  <si>
    <t>119-131</t>
  </si>
  <si>
    <t>ISSN-0717554X</t>
  </si>
  <si>
    <t>Universidad de Chile, Facultad de Ciencias Sociales</t>
  </si>
  <si>
    <t>0.7</t>
  </si>
  <si>
    <t>0.141</t>
  </si>
  <si>
    <t>10.4067/S0717-554X2024000200119</t>
  </si>
  <si>
    <t>2-s2.0-85208406087</t>
  </si>
  <si>
    <t>Universidad Finis Terrae| Universidad de Tarapacá| Universidad de Chile</t>
  </si>
  <si>
    <t>60030782| 60012464| 60105368</t>
  </si>
  <si>
    <t>Universidad de Tarapacá| Universidad de Chile| Universidad Finis Terrae</t>
  </si>
  <si>
    <t>Coloma C.R.-T.</t>
  </si>
  <si>
    <t>An index of intergenerational justice: main concepts and preliminary evidence from the Age-It Research Program</t>
  </si>
  <si>
    <t>Galasso, V.| Galeotti, A.E.| Bellia, A.| Biale, E.| Burelli, C.| Pala, D.| Coloma, C.R.-T.| Amantini, L.S.| Zuccarelli, G.</t>
  </si>
  <si>
    <t>Journals of Gerontology - Series B Psychological Sciences and Social Sciences</t>
  </si>
  <si>
    <t>S169-S179</t>
  </si>
  <si>
    <t>ISSN-10795014</t>
  </si>
  <si>
    <t>Gerontological Society of America</t>
  </si>
  <si>
    <t>10.1093/geronb/gbaf192</t>
  </si>
  <si>
    <t>2-s2.0-105025709994</t>
  </si>
  <si>
    <t>University of Eastern Piedmont| Bocconi University| Universidad Finis Terrae</t>
  </si>
  <si>
    <t>60021796| 60003668| 60105368</t>
  </si>
  <si>
    <t>Università Bocconi| Università degli Studi del Piemonte Orientale “Amedeo Avogadro”| Universidad Finis Terrae</t>
  </si>
  <si>
    <t>Risk of sarcopenia: A red flag for cognitive decline in postmenopause?</t>
  </si>
  <si>
    <t>Vallejo, M.S.| Blümel, J.E.| Chedraui, P.| Tserotas, K.| Salinas, C.| Rodrigues, M.A.| Rodríguez-Vidal, D.| Rey, C.| Ojeda, E.| Ñañez, M.| Monterrosa-Castro, Á.| Gómez-Tabares, G.| Espinoza, M.T.| Escalante, C.| Elizalde, A.| Dextre, M.| Calle, A.| Aedo, S.</t>
  </si>
  <si>
    <t>Maturitas</t>
  </si>
  <si>
    <t>ISSN-03785122</t>
  </si>
  <si>
    <t>Elsevier Ireland Ltd</t>
  </si>
  <si>
    <t>10.1016/j.maturitas.2025.108193</t>
  </si>
  <si>
    <t>2-s2.0-85215067709</t>
  </si>
  <si>
    <t>Universidad Nacional de Córdoba| Universidad Espíritu Santo, Ecuador| Universidad de Cartagena| Universidad Tecnológica Indoamérica| Universidade Federal de Minas Gerais| University of Costa Rica| Universidad Finis Terrae| Universidad Andina del Cusco| Universidad de Chile| Universidad del Valle| Universidad de Buenos Aires| Universidad Nacional del Nordeste</t>
  </si>
  <si>
    <t>60011682| 60002946| 60012464| 60104602| 125551913| 105888846| 60030074| 60001563| 60009065| 101550488| 60112686| 60000658| 60055678| 60066812| 126710413| 60195990| 60071929| 60019006| 60003542| 123413173| 60110777| 60105368</t>
  </si>
  <si>
    <t>Hospital Clínico Universidad De Chile| Facultad de Medicina de la Universidad de Chile| Universidad de Chile| Universidad Espíritu Santo| Clínica Tserotas| Hospital Ángeles| Universidade Federal de Minas Gerais| Universidad de Buenos Aires| Hospital de Clínicas "José de San Martín"| Asociación Argentina para el Estudio del Climaterio| Universidad Andina del Cusco| Universidad Nacional de Córdoba| Universidad de Cartagena| Universidad del Valle, Cali| Clínica Los Ángeles| Universidad de Costa Rica, Facultad de Medicina| Universidad de Costa Rica| Fundacion Barcelo, Facultad de Medicina| Universidad Nacional del Nordeste| Ginecología y Obstetricia| Universidad Tecnológica Indoamérica| Universidad Finis Terrae</t>
  </si>
  <si>
    <t>Chile| Mexico| Costa Rica| Ecuador| Panama| Colombia| Bolivia| Peru| Brazil| Argentina</t>
  </si>
  <si>
    <t>Artificial Intelligence in Speech-Language Pathology and Dysphagia: A Review From Latin American Perspective and Pilot Test of LLMs for Rehabilitation Planning</t>
  </si>
  <si>
    <t>Gallano, G.| Giglio, A.| Ferre, A.</t>
  </si>
  <si>
    <t>Journal of Voice</t>
  </si>
  <si>
    <t>ISSN-08921997</t>
  </si>
  <si>
    <t>0.56</t>
  </si>
  <si>
    <t>10.1016/j.jvoice.2025.04.010</t>
  </si>
  <si>
    <t>2-s2.0-105003932507</t>
  </si>
  <si>
    <t>130262327| 60017912| 60105368</t>
  </si>
  <si>
    <t>Independent Scholar| Clínica Las Condes| Universidad Finis Terrae</t>
  </si>
  <si>
    <t>Ferre Contreras A.</t>
  </si>
  <si>
    <t>Pharmacological Research Agenda on Adult Extracorporeal Membrane Oxygenation Using the Delphi Method: A Position Paper of the Extracorporeal Membrane Oxygenation Pharmacology Network</t>
  </si>
  <si>
    <t>Morales Castro, D.| Al-Fares, A.A.| Paternoster, G.| Lyster, H.| Hohlfelder, B.| Arias Ortiz, J.| Abdul-Aziz, M.H.| Herr, D.| Alraish, R.| Ferre Contreras, A.| Palavecino, M.| Milella, L.| Watt, K.| Alkazemi, A.| Carini, F.C.| Roberts, J.A.| Riera del Brio, J.| Pau Parra, A.| Kakar, V.| Dureau, P.| Duceppe, M.-A.| Alm, M.| Cha, S.| Shekar, K.| Dzierba, A.L.| on behalf of the Extracorporeal Membrane Oxygenation Pharmacology Network| Castro, D.M.| Shekar, K.| Dzierba, A.L.</t>
  </si>
  <si>
    <t>Critical Care Medicine</t>
  </si>
  <si>
    <t>e2246-e2260</t>
  </si>
  <si>
    <t>ISSN-00903493</t>
  </si>
  <si>
    <t>10.8</t>
  </si>
  <si>
    <t>10.1097/CCM.0000000000006806</t>
  </si>
  <si>
    <t>2-s2.0-105012890637</t>
  </si>
  <si>
    <t>Ospedale San Carlo, Potenza| New York Presbyterian Hospital| University of Basilicata| University of Montreal| Universidad Finis Terrae| Hospital Italiano de Buenos Aires| Pontificia Universidad Católica de Chile| University Health Network| University of Utah| Queensland Health| Johns Hopkins University| Cleveland Clinic Abu Dhabi| Kuwait University| Royal Brisbane and Women's Hospital| University of Toronto| Medical University of South Carolina| Columbia University| Instituto de Salud Carlos III| Cleveland Clinic Foundation| Charité – Universitätsmedizin Berlin| Royal Brompton and Harefield NHS Foundation Trust| Sorbonne Université| Vall d'Hebron Research Institute| Clínica Las Condes| McGill University| Université de Montpellier| Al-Amiri Hospital| Centro de Investigación Biomédica en Red| University of Queensland| CHU de Nîmes| Case Western Reserve University</t>
  </si>
  <si>
    <t>60016849| 60023022| 60021600| 60040363| 60020919| 60086662| 60022023| 60021160| 132822923| 60110780| 60023222| 60026245| 60017912| 60105368| 60029681| 60025488| 60038812| 60008557| 60031004| 60165386| 123733501| 60028435| 60000292| 60108488| 60108505| 60102756| 60012486| 60121845| 60080345| 60000305| 60001422| 60015622| 60006558| 60009507| 60001117| 60003208| 60018043| 60030162| 60027565</t>
  </si>
  <si>
    <t>University of Toronto| Toronto General Hospital| University of Toronto Faculty of Medicine| Al-Amiri Hospital| Università degli Studi della Basilicata| Ospedale San Carlo, Potenza| Royal Brompton &amp; Harefield NHS Foundation Trust| Cleveland Clinic Foundation| Hospital R. A. Calderón Guardia| UQ Centre for Clinical Research| Medical University of South Carolina| Charité – Universitätsmedizin Berlin| Clínica Las Condes| Universidad Finis Terrae| Pontificia Universidad Católica de Chile| The University of Utah| Kuwait University| Hospital Italiano de Buenos Aires| The University of Queensland| Faculty of Medicine| Metro North Health| Royal Brisbane and Women's Hospital| Centre Hospitalier Universitaire de Nîmes| Université de Montpellier| Vall d'Hebron Institut de Recerca| Centro de Investigación Biomédica en Red de Enfermedades Respiratorias| Hospital Universitari Vall d'Hebron| Cleveland Clinic Abu Dhabi| Cleveland Clinic Lerner College of Medicine of Case Western Reserve University| Case Western Reserve University| Sorbonne Université| Hôpital Universitaire Pitié Salpêtrière| Centre Universitaire de Santé McGill| University of Montreal| Johns Hopkins University School of Medicine| The Prince Charles Hospital| New York Presbyterian Hospital| Columbia University| Columbia University Irving Medical Center</t>
  </si>
  <si>
    <t>United Arab Emirates| Chile| United Kingdom| Spain| Costa Rica| United States| Germany| Australia| Italy| France| Kuwait| Argentina| Canada</t>
  </si>
  <si>
    <t>Cavada G.</t>
  </si>
  <si>
    <t>Sex Differences in Profile and In-Hospital Death for Acute Stroke in Chile: Data From a Nationwide Hospital Registry</t>
  </si>
  <si>
    <t>Nuñez, M.| Allende, M.I.| González, F.| Cavada, G.| Anderson, C.S.| Venturelli, P.M.</t>
  </si>
  <si>
    <t>ISSN-20479980</t>
  </si>
  <si>
    <t>American Heart Association Inc.</t>
  </si>
  <si>
    <t>10.1161/JAHA.123.035152</t>
  </si>
  <si>
    <t>2-s2.0-85200827817</t>
  </si>
  <si>
    <t>Universidad del Desarrollo| Ramon Llull University| Universidad Finis Terrae| Universidad de Chile| University of New South Wales| Clínica Alemana de Santiago</t>
  </si>
  <si>
    <t>60211751| 60026905| 60002946| 60105368| 60000146| 60011463</t>
  </si>
  <si>
    <t>Facultad de Medicina Clinica Alemana Universidad del Desarrollo| Universitat Ramon Llull| Facultad de Medicina de la Universidad de Chile| Universidad Finis Terrae| Clinica Alemana| UNSW Medicine</t>
  </si>
  <si>
    <t>Chile| Spain| Australia</t>
  </si>
  <si>
    <t>Donoso M.O.</t>
  </si>
  <si>
    <t>The Association between Anatomical Variants of Musculoskeletal Structures and Nerve Compressions of the Lower Limb: A Systematic Review and Meta-Analysis</t>
  </si>
  <si>
    <t>Valenzuela-Fuenzalida, J.J.| Inostroza-Wegner, A.| Osorio-Muñoz, F.| Milos-Brandenberg, D.| Santana-Machuca, A.| Nova Baeza, P.| Donoso, M.O.| Bruna-Mejias, A.| Iwanaga, J.| Sanchis-Gimeno, J.| Gutierrez-Espinoza, H.</t>
  </si>
  <si>
    <t>10.3390/diagnostics14070695</t>
  </si>
  <si>
    <t>2-s2.0-85190275980</t>
  </si>
  <si>
    <t>Universidad de las Américas - Chile| Universidad de las Américas - Ecuador| Universidad Andrés Bello| University of Valencia| Universidad Finis Terrae| Universidad Pedro de Valdivia| Institute of Science Tokyo| Tulane University</t>
  </si>
  <si>
    <t>60105362| 60002636| 60086395| 60105368| 60283164| 60172570| 60015112| 60002644| 60104441</t>
  </si>
  <si>
    <t>Universidad de Las Américas Chile| Universidad Andrés Bello| Universidad del Alba| Universidad Finis Terrae| Institute of Science Tokyo| Graduate School of Medical and Dental Sciences| Tulane University School of Medicine| Universitat de València| Universidad de las Americas - Ecuador</t>
  </si>
  <si>
    <t>Chile| Spain| Ecuador| Japan| United States</t>
  </si>
  <si>
    <t>Impact of strength-based video-feedback intervention on maternal sensitivity in mother–infant dyads with maternal depressive symptoms</t>
  </si>
  <si>
    <t>Olhaberry, M.| Morán-Kneer, J.| Sieverson, C.| Costa-Cordella, S.| Muzard, A.| Honorato, C.| León, M.J.| Leyton, F.</t>
  </si>
  <si>
    <t>Infant Mental Health Journal</t>
  </si>
  <si>
    <t>160-180</t>
  </si>
  <si>
    <t>ISSN-01639641</t>
  </si>
  <si>
    <t>0.951</t>
  </si>
  <si>
    <t>10.1002/imhj.22154</t>
  </si>
  <si>
    <t>2-s2.0-85213032194</t>
  </si>
  <si>
    <t>Universidad Diego Portales| Ministerio de Planificación, Chile| Universidad Finis Terrae| Universidad de Valparaíso| Pontificia Universidad Católica de Chile</t>
  </si>
  <si>
    <t>60029681| 60281485| 60008781| 60013592| 60105368| 132077003</t>
  </si>
  <si>
    <t>Pontificia Universidad Católica de Chile| Instituto Milenio para la Investigación en Depresión y Personalidad| Universidad de Valparaiso| Universidad Diego Portales| Universidad Finis Terrae| Centro Interdisciplinario de Estudios en Salud (CIESAL)</t>
  </si>
  <si>
    <t>Ultrasound Pattern of Cutis Verticis Gyrata</t>
  </si>
  <si>
    <t>Ortiz-Orellana, G.| Ferreira-Wortsman, C.| Wortsman, X.</t>
  </si>
  <si>
    <t>405-409</t>
  </si>
  <si>
    <t>10.1002/jum.16373</t>
  </si>
  <si>
    <t>2-s2.0-85176452294</t>
  </si>
  <si>
    <t>60105368| 60281369| 60002946| 60012464</t>
  </si>
  <si>
    <t>Universidad Finis Terrae| Instituto de Investigación y Diagnóstico por Imágenes en Piel y Tejidos Blandos| Facultad de Medicina de la Universidad de Chile| Universidad de Chile</t>
  </si>
  <si>
    <t>Ferreira-Wortsman C.</t>
  </si>
  <si>
    <t>Study of the textural properties of non-ionic resins and their influence on polyphenol adsorption and desorption</t>
  </si>
  <si>
    <t>Huamán-Castilla, N.L.| Luque-Vilca, O.M.| Arroyo-Japura, G.| Quispe-Pérez, M.L.| León-Calvo, N.C.| Pérez-Correa, J.R.| Escalona, N.| Mariotti-Celis, M.S.</t>
  </si>
  <si>
    <t>357-364</t>
  </si>
  <si>
    <t>ISSN-15563758</t>
  </si>
  <si>
    <t>10.1515/ijfe-2023-0025</t>
  </si>
  <si>
    <t>2-s2.0-85189448734</t>
  </si>
  <si>
    <t>Universidad Nacional de Moquegua| Universidad Finis Terrae| Pontificia Universidad Católica de Chile| Universidad Nacional de Juliaca</t>
  </si>
  <si>
    <t>60122402| 60121627| 60029681| 60105368</t>
  </si>
  <si>
    <t>Universidad Nacional de Moquegua| National University of Juliaca| Pontificia Universidad Católica de Chile| Universidad Finis Terrae</t>
  </si>
  <si>
    <t>The role of the circadian clock in regulating mitochondrial dynamics and their impact on skeletal muscle function and metabolism</t>
  </si>
  <si>
    <t>Carriel-Nesvara, A.| Muñoz-Medina, C.| Deldicque, L.| Castro-Sepulveda, M.</t>
  </si>
  <si>
    <t>10.1113/JP289019</t>
  </si>
  <si>
    <t>2-s2.0-105008897804</t>
  </si>
  <si>
    <t>60105368| 60000874</t>
  </si>
  <si>
    <t>Universidad Finis Terrae| UCLouvain</t>
  </si>
  <si>
    <t>Castro-Sepulveda M.</t>
  </si>
  <si>
    <t>Mild Cold Stress at Ambient Temperature Elevates Muscle Calcium Cycling and Exercise Adaptations in Obese Female Mice</t>
  </si>
  <si>
    <t>Raun, S.H.| Braun, J.L.| Karavaeva, I.| Henriquez-Olguín, C.| Ali, M.S.| Møller, L.L.V.| Gerhart-Hines, Z.| Fajardo, V.A.| Richter, E.A.| Sylow, L.</t>
  </si>
  <si>
    <t>Endocrinology (United States)</t>
  </si>
  <si>
    <t>ISSN-00137227</t>
  </si>
  <si>
    <t>Endocrine Society</t>
  </si>
  <si>
    <t>8.1</t>
  </si>
  <si>
    <t>10.1210/endocr/bqae102</t>
  </si>
  <si>
    <t>2-s2.0-85202564711</t>
  </si>
  <si>
    <t>University of Copenhagen| Universidad Finis Terrae| Brock University</t>
  </si>
  <si>
    <t>60030840| 60001343| 60253102| 60105368</t>
  </si>
  <si>
    <t>Københavns Universitet| Brock University| Novo Nordisk Foundation Center for Basic Metabolic Research| Universidad Finis Terrae</t>
  </si>
  <si>
    <t>Chile| Denmark| Canada</t>
  </si>
  <si>
    <t>Marín G.J.</t>
  </si>
  <si>
    <t>Chilean brush-tailed mouse (Octodon degus): a diurnal precocial rodent as a new model to study visual receptive field properties of superior colliculus neurons</t>
  </si>
  <si>
    <t>Márquez, N.I.| Deichler, A.| Fernández-Aburto, P.| Perales, I.| Letelier, J.-C.| Marín, G.J.| Mpodozis, J.| Pallas, S.L.</t>
  </si>
  <si>
    <t>Journal of Neurophysiology</t>
  </si>
  <si>
    <t>358-373</t>
  </si>
  <si>
    <t>ISSN-00223077</t>
  </si>
  <si>
    <t>American Physiological Society</t>
  </si>
  <si>
    <t>10.1152/jn.00128.2024</t>
  </si>
  <si>
    <t>2-s2.0-85215558958</t>
  </si>
  <si>
    <t>University of Massachusetts| Universidad Finis Terrae| Universidad de Chile</t>
  </si>
  <si>
    <t>60012464| 60105368| 60014313</t>
  </si>
  <si>
    <t>Universidad de Chile| Universidad Finis Terrae| University of Massachusetts Amherst</t>
  </si>
  <si>
    <t>Clinical Characteristics of Neuropathic Pain and Its Relationship with Cancer in Different Corporal Areas—A Systematic Review</t>
  </si>
  <si>
    <t>Danés-López, F.| Diaz-Palominos, C.| Ortiz Domínguez, A.| Silva Rodriguez, A.| Astorga, C.| Martínez-Hernández, D.| Valenzuela-Fuenzalida, J.J.| Sanchis-Gimeno, J.| Nova-Baeza, P.| Suazo-Santibáñez, A.| Oyanedel-Amaro, G.| Orellana-Donoso, M.| Gutiérrez Espinoza, H.</t>
  </si>
  <si>
    <t>0.848</t>
  </si>
  <si>
    <t>10.3390/diagnostics15010116</t>
  </si>
  <si>
    <t>2-s2.0-85214481964</t>
  </si>
  <si>
    <t>Universidad de las Américas - Chile| Universidad de las Américas - Ecuador| Universidad Andrés Bello| Universidad Autónoma de Chile| Universidad San Sebastián| University of Valencia| Universidad Finis Terrae| Universidad Bernardo O'Higgins</t>
  </si>
  <si>
    <t>60002636| 60000636| 60105370| 60002644| 60105362| 60105371| 60105368| 60104441</t>
  </si>
  <si>
    <t>Universidad Andrés Bello| Universidad San Sebastián| Universidad Bernardo O'Higgins| Universitat de València| Universidad de Las Américas Chile| Universidad Autónoma de Chile| Universidad Finis Terrae| Universidad de las Americas - Ecuador</t>
  </si>
  <si>
    <t>Stöwhas K.</t>
  </si>
  <si>
    <t>The Critical Shoulder Angle: A Significant Radiological Measure in Rotator Cuff vs. Glenohumeral Osteoarthritis in Chilean Patients—A Descriptive Cross-Sectional Study</t>
  </si>
  <si>
    <t>Rojas, W.| Vargas, P.| Droppelmann, G.| Jorquera, C.| Stöwhas, K.| Godoy, A.| García, N.</t>
  </si>
  <si>
    <t>10.3390/jcm13123408</t>
  </si>
  <si>
    <t>2-s2.0-85197148575</t>
  </si>
  <si>
    <t>Universidad Mayor| Harvard University| Universidad Finis Terrae| Universidad de Valparaíso</t>
  </si>
  <si>
    <t>60109622| 60008781| 60032499| 60005881| 60105368</t>
  </si>
  <si>
    <t>Clinica Meds, Chile| Universidad de Valparaiso| Harvard T.H. Chan School of Public Health| Universidad Mayor| Universidad Finis Terrae</t>
  </si>
  <si>
    <t>CCL5 Induces a Sarcopenic-like Phenotype via the CCR5 Receptor</t>
  </si>
  <si>
    <t>Aguirre, F.| Tacchi, F.| Valero-Breton, M.| Orozco-Aguilar, J.| Conejeros-Lillo, S.| Bonicioli, J.| Iturriaga-Jofré, R.| Cabrera, D.| Soto, J.A.| Castro-Sepúlveda, M.| Portal-Rodríguez, M.| Elorza, Á.A.| Matamoros, A.| Simon, F.| Cabello-Verrugio, C.</t>
  </si>
  <si>
    <t>10.3390/antiox14010084</t>
  </si>
  <si>
    <t>2-s2.0-85215954210</t>
  </si>
  <si>
    <t>Universidad Andrés Bello| Universidad de los Andes Mérida| Ministerio de Planificación, Chile| Universidad Finis Terrae| Universidad Bernardo O'Higgins</t>
  </si>
  <si>
    <t>60002636| 60281764| 60281450| 60002439| 60105370| 60105368</t>
  </si>
  <si>
    <t>Universidad Andrés Bello| Facultad de Ciencias de la Vida| Instituto Milenio en Inmunología e Inmunoterapia| Universidad De Los Andes, Merida| Universidad Bernardo O'Higgins| Universidad Finis Terrae</t>
  </si>
  <si>
    <t>Chile| Venezuela</t>
  </si>
  <si>
    <t>Pineda T.</t>
  </si>
  <si>
    <t>The rectus femoris tendon demonstrates comparable ultimate stress to the patellar tendon: A paired biomechanical study</t>
  </si>
  <si>
    <t>Pineda, T.| Sewpaul, Y.| Morin, V.| Jacquet, C.| Horteur, C.| Ollivier, M.</t>
  </si>
  <si>
    <t>Knee Surgery, Sports Traumatology, Arthroscopy</t>
  </si>
  <si>
    <t>ISSN-09422056</t>
  </si>
  <si>
    <t>10.1002/ksa.70132</t>
  </si>
  <si>
    <t>2-s2.0-105020593436</t>
  </si>
  <si>
    <t>Aix-Marseille Université| Universidad Andrés Bello| Assistance publique - Hôpitaux de Marseille| CNRS| Lancaster University| Universidad Finis Terrae| CHU de Grenoble</t>
  </si>
  <si>
    <t>60019103| 60002636| 60105368| 60117765| 60102127| 60007084| 60008134| 60004797| 116235692| 60072152| 60005851</t>
  </si>
  <si>
    <t>Hospital del Trabajador de Santiago| Universidad Andrés Bello| Universidad Finis Terrae| Lancaster Medical School| Aix Marseille Université| Hôpital Sainte Marguerite| CNRS Centre National de la Recherche Scientifique| AP-HM Assistance Publique - Hôpitaux de Marseille| Médipôle de Savoie| Hôpital Sud CHU de Grenoble| Centre Hospitalier Universitaire de Grenoble</t>
  </si>
  <si>
    <t>Chile| United Kingdom| France</t>
  </si>
  <si>
    <t>Schematic Embodiment of Perseverance in Persian</t>
  </si>
  <si>
    <t>Khatin-Zadeh, O.| Hu, J.| Eskandari, Z.| Banaruee, H.| Farsani, D.</t>
  </si>
  <si>
    <t>Journal of Psycholinguistic Research</t>
  </si>
  <si>
    <t>ISSN-00906905</t>
  </si>
  <si>
    <t>0.528</t>
  </si>
  <si>
    <t>10.1007/s10936-024-10055-y</t>
  </si>
  <si>
    <t>2-s2.0-85184790914</t>
  </si>
  <si>
    <t>Distributed embodiment of the Persian term dæqi:qæn in forward gestures</t>
  </si>
  <si>
    <t>Khatin-Zadeh, O.| Banaruee, H.| Farsani, D.| Hernandez-Barajas, F.| Farina, M.| Marmolejo-Ramos, F.</t>
  </si>
  <si>
    <t>Journal of Cultural Cognitive Science</t>
  </si>
  <si>
    <t>87-97</t>
  </si>
  <si>
    <t>ISSN-25201018</t>
  </si>
  <si>
    <t>2.6</t>
  </si>
  <si>
    <t>0.403</t>
  </si>
  <si>
    <t>10.1007/s41809-023-00136-0</t>
  </si>
  <si>
    <t>2-s2.0-85180248342</t>
  </si>
  <si>
    <t>University of Electronic Science and Technology of China| Universidad Nacional de Colombia| University of Religions and Denominations| Weingarten University of Education| Adelaide University| Universidad Finis Terrae</t>
  </si>
  <si>
    <t>60005465| 60022201| 60105368| 60055696| 60194953| 60031846</t>
  </si>
  <si>
    <t>University of Electronic Science and Technology of China| Pädagogische Hochschule Weingarten| Universidad Finis Terrae| Universidad Nacional de Colombia| University of Religions and Denominations| University of South Australia</t>
  </si>
  <si>
    <t>Chile| China| Germany| Colombia| Australia| Iran</t>
  </si>
  <si>
    <t>van Sint Jan D N.</t>
  </si>
  <si>
    <t>Generalities of the physiology of extracorporeal oxygenation (ECMO): Understanding through comparison</t>
  </si>
  <si>
    <t>van Sint Jan D, N.| Ferre, A.| Fajardo J, C.</t>
  </si>
  <si>
    <t>Revista Medica Clinica Las Condes</t>
  </si>
  <si>
    <t>30-38</t>
  </si>
  <si>
    <t>ISSN-07168640</t>
  </si>
  <si>
    <t>56.0</t>
  </si>
  <si>
    <t>0.151</t>
  </si>
  <si>
    <t>10.1016/j.rmclc.2023.11.004</t>
  </si>
  <si>
    <t>2-s2.0-85184615443</t>
  </si>
  <si>
    <t>Universidad de los Andes Chile| Universidad Finis Terrae| Clínica Las Condes</t>
  </si>
  <si>
    <t>60017912| 60105368| 60011284</t>
  </si>
  <si>
    <t>Clínica Las Condes| Universidad Finis Terrae| Universidad de los Andes, Chile</t>
  </si>
  <si>
    <t>Bassa J.C.</t>
  </si>
  <si>
    <t>Renal cell carcinoma in a patient with crossed and fused renal ectopy: A case report</t>
  </si>
  <si>
    <t>Bassa, J.C.| Fernández Wenzel, J.| Almonacid Grunert, J.| Aroca Siré, P.| Muñoz Fuentes, C.</t>
  </si>
  <si>
    <t>Urology Case Reports</t>
  </si>
  <si>
    <t>ISSN-22144420</t>
  </si>
  <si>
    <t>72.0</t>
  </si>
  <si>
    <t>0.222</t>
  </si>
  <si>
    <t>10.1016/j.eucr.2024.102749</t>
  </si>
  <si>
    <t>2-s2.0-85191944493</t>
  </si>
  <si>
    <t>Universidad de los Andes Chile| Universidad Finis Terrae</t>
  </si>
  <si>
    <t>60211544| 60011284| 60105368</t>
  </si>
  <si>
    <t>Hospital Dra. Eloísa Díaz I. De La Florida| Universidad de los Andes, Chile| Universidad Finis Terrae</t>
  </si>
  <si>
    <t>Aroca Siré P.</t>
  </si>
  <si>
    <t>Muñoz Fuentes C.</t>
  </si>
  <si>
    <t>Ibáñez-Muñoz R.C.</t>
  </si>
  <si>
    <t>Learning mediation in early childhood virtual spaces</t>
  </si>
  <si>
    <t>Ibáñez-Muñoz, R.C.</t>
  </si>
  <si>
    <t>Autoctonia</t>
  </si>
  <si>
    <t>565-594</t>
  </si>
  <si>
    <t>ISSN-07198213</t>
  </si>
  <si>
    <t>Universidad Bernardo O'Higgins</t>
  </si>
  <si>
    <t>0.2</t>
  </si>
  <si>
    <t>67.0</t>
  </si>
  <si>
    <t>10.23854/autoc.v8i1.357</t>
  </si>
  <si>
    <t>2-s2.0-85184910868</t>
  </si>
  <si>
    <t>Cancino-Lopez J.</t>
  </si>
  <si>
    <t>Adherence to an Early Exercise Plan Promotes Visceral Fat Loss in the First Month Following Bariatric Surgery</t>
  </si>
  <si>
    <t>Pino-Zuñiga, J.| Lillo-Urzua, P.| Olivares-Galvez, M.| Palacio-Aguero, A.| Duque, J.C.| Luengas, R.| Cancino-Lopez, J.</t>
  </si>
  <si>
    <t>746-754</t>
  </si>
  <si>
    <t>10.1007/s11695-025-07685-z</t>
  </si>
  <si>
    <t>2-s2.0-85217797698</t>
  </si>
  <si>
    <t>Universidad de Santiago de Chile| Universidad del Desarrollo| Universidad Finis Terrae</t>
  </si>
  <si>
    <t>131160378| 60023383| 60006469| 60105368| 132246755</t>
  </si>
  <si>
    <t>Bariatric Center BIO| Universidad de Santiago de Chile| Universidad del Desarrollo| Universidad Finis Terrae| NFT Center</t>
  </si>
  <si>
    <t>What It Takes to Win: Examining Predicted Versus Actual Swimming Performances at the Paris 2024 Olympic Games, and What Comes Next</t>
  </si>
  <si>
    <t>Powell, C.| Pyne, D.B.| Crowley, E.| Mujika, I.</t>
  </si>
  <si>
    <t>504-514</t>
  </si>
  <si>
    <t>10.1123/ijspp.2024-0409</t>
  </si>
  <si>
    <t>2-s2.0-105001037901</t>
  </si>
  <si>
    <t>University of Limerick| University of Canberra| Universidad Finis Terrae| University of the Basque Country</t>
  </si>
  <si>
    <t>128374626| 60009602| 60022193| 60027856| 60105368</t>
  </si>
  <si>
    <t>Sport Ireland| University of Limerick| University of Canberra| Universidad del Pais Vasco| Universidad Finis Terrae</t>
  </si>
  <si>
    <t>Chile| Spain| Ireland| Australia</t>
  </si>
  <si>
    <t>Martín M.J.S.</t>
  </si>
  <si>
    <t>Accurate prognostic awareness is associated with increased emotional distress in Latino patients with advanced cancer</t>
  </si>
  <si>
    <t>Pérez-Cruz, P.E.| Martín, M.J.S.| Palacios, J.| Tupper-Satt, L.| González-Otaíza, M.| Repetto, P.</t>
  </si>
  <si>
    <t>Palliative and Supportive Care</t>
  </si>
  <si>
    <t>ISSN-14789515</t>
  </si>
  <si>
    <t>0.612</t>
  </si>
  <si>
    <t>10.1017/S1478951525000252</t>
  </si>
  <si>
    <t>2-s2.0-105003481210</t>
  </si>
  <si>
    <t>60029681| 60009418| 60105368| 60025321</t>
  </si>
  <si>
    <t>Pontificia Universidad Católica de Chile| Facultad de Medicina| Universidad Finis Terrae| Hospital Dr. Sotero del Rio</t>
  </si>
  <si>
    <t>Lagos M.</t>
  </si>
  <si>
    <t>Mathematical framework for the plastic flow of fine-grained solids, from yield to fracture</t>
  </si>
  <si>
    <t>Lagos, M.| Conte, V.</t>
  </si>
  <si>
    <t>Physica B: Condensed Matter</t>
  </si>
  <si>
    <t>ISSN-09214526</t>
  </si>
  <si>
    <t>31.0</t>
  </si>
  <si>
    <t>0.506</t>
  </si>
  <si>
    <t>10.1016/j.physb.2024.416570</t>
  </si>
  <si>
    <t>2-s2.0-85205228998</t>
  </si>
  <si>
    <t>Universidad Autónoma de Chile| Universidad Finis Terrae</t>
  </si>
  <si>
    <t>60105368| 60105371</t>
  </si>
  <si>
    <t>Universidad Finis Terrae| Universidad Autónoma de Chile</t>
  </si>
  <si>
    <t>Cottin M.</t>
  </si>
  <si>
    <t>Validation of the Argentine version of the epistemic trust, mistrust, and credulity questionnaire</t>
  </si>
  <si>
    <t>Quiroga, A.R.| Loray, J.S.P.| Bongiardino, L.| Malleville, M.E.| Borensztein, L.| Arredondo, A.Y.| Najas-García, A.| Aufenacker, S.I.| Yosa, C.| Asencio, M.S.| Guido, M.| Cottin, M.| Botero, C.</t>
  </si>
  <si>
    <t>PLoS ONE</t>
  </si>
  <si>
    <t>ISSN-19326203</t>
  </si>
  <si>
    <t>Public Library of Science</t>
  </si>
  <si>
    <t>0.803</t>
  </si>
  <si>
    <t>10.1371/journal.pone.0311352</t>
  </si>
  <si>
    <t>2-s2.0-85205794317</t>
  </si>
  <si>
    <t>131761827| 60105368</t>
  </si>
  <si>
    <t>Fundación Turning Point para la Salud y la Sostenibilidad| Universidad Finis Terrae</t>
  </si>
  <si>
    <t>María José H.</t>
  </si>
  <si>
    <t>The introduction of microvascular free tissue transfer in primary burn reconstruction. Experience report of the national burn center in Chile</t>
  </si>
  <si>
    <t>Carolina, S.| Jimena, D.| Adriana, A.| Ekaterina, T.| María José, H.| Diego, G.| Manuel, C.| María Elsa, C.| Nicolás, F.| Marco, R.</t>
  </si>
  <si>
    <t>Burns Open</t>
  </si>
  <si>
    <t>169-174</t>
  </si>
  <si>
    <t>ISSN-24689122</t>
  </si>
  <si>
    <t>62.0</t>
  </si>
  <si>
    <t>0.249</t>
  </si>
  <si>
    <t>10.1016/j.burnso.2024.03.005</t>
  </si>
  <si>
    <t>2-s2.0-85191878500</t>
  </si>
  <si>
    <t>60281406| 60105368</t>
  </si>
  <si>
    <t>Hospital de Urgencia Asistencia Pública| Universidad Finis Terrae</t>
  </si>
  <si>
    <t>Analysis of bone dimensional stability after two-stage maxillary sinus floor augmentation with autogenous bone versus bovine bone mineral combined with autogenous bone chips: results from a 1-year multicenter split-mouth randomized controlled trial</t>
  </si>
  <si>
    <t>Reis, I.N.R.D.| Jue, A.| Wolvius, E.| Pijpe, J.| Spin-Neto, R.| Jung, R.E.| Naenni, N.| Strauss, F.J.| Jonker, B.</t>
  </si>
  <si>
    <t>7.8</t>
  </si>
  <si>
    <t>10.1016/j.jdent.2025.105889</t>
  </si>
  <si>
    <t>2-s2.0-105007847416</t>
  </si>
  <si>
    <t>University of Zurich| Universidade de São Paulo| Universidad Finis Terrae| Aarhus University| Erasmus University Rotterdam| Catharina Hospital</t>
  </si>
  <si>
    <t>60008088| 60012614| 60032114| 60070251| 60029616| 60105368| 60031750</t>
  </si>
  <si>
    <t>Universidade de São Paulo| Universität Zürich| Erasmus MC| St. Anna Ziekenhuis| Aarhus Universitet| Universidad Finis Terrae| Catharina Ziekenhuis</t>
  </si>
  <si>
    <t>Chile| Switzerland| Denmark| Netherlands| Brazil</t>
  </si>
  <si>
    <t>Predicting academic success in undergraduate students from the Nutrition and Dietetics degree program from the Pontificia Universidad Católica de Chile</t>
  </si>
  <si>
    <t>Pettinelli, P.| Fernández-Verdejo, R.| Fredes, C.| Parada, A.| Aguirre, C.</t>
  </si>
  <si>
    <t>421-428</t>
  </si>
  <si>
    <t>10.1016/j.rmclc.2024.09.002</t>
  </si>
  <si>
    <t>2-s2.0-85208565505</t>
  </si>
  <si>
    <t>129683763| 60105368| 60007566| 60021235| 60029681| 60009418| 60088718</t>
  </si>
  <si>
    <t>European Renal Association| Universidad Finis Terrae| Louisiana State University| Pennington Biomedical Research Center| Pontificia Universidad Católica de Chile| Facultad de Medicina| Escuela de Medicina</t>
  </si>
  <si>
    <t>Chile| United States| Italy</t>
  </si>
  <si>
    <t>Bodily events in metaphorical embodiment of stress relief</t>
  </si>
  <si>
    <t>Khatin-Zadeh, O.| Hu, J.| Eskandari, Z.| Farsani, D.| Banaruee, H.</t>
  </si>
  <si>
    <t>Current Psychology</t>
  </si>
  <si>
    <t>33465-33474</t>
  </si>
  <si>
    <t>ISSN-10461310</t>
  </si>
  <si>
    <t>10.1007/s12144-024-06884-8</t>
  </si>
  <si>
    <t>2-s2.0-85211105603</t>
  </si>
  <si>
    <t>60005465| 60105368| 60022201</t>
  </si>
  <si>
    <t>University of Electronic Science and Technology of China| Universidad Finis Terrae| Pädagogische Hochschule Weingarten</t>
  </si>
  <si>
    <t>Soccer and creatine, a systematic review</t>
  </si>
  <si>
    <t>Monsalve Guevara, V.| Montalva-Valenzuela, F.| Andrades-Ramírez, O.| Narrea Vargas, J.J.| Flores, I.| Castillo-Paredes, A.</t>
  </si>
  <si>
    <t>Retos</t>
  </si>
  <si>
    <t>763-770</t>
  </si>
  <si>
    <t>ISSN-15791726</t>
  </si>
  <si>
    <t>Federacion Espanola de Docentes de Educacion Fisica</t>
  </si>
  <si>
    <t>3.6</t>
  </si>
  <si>
    <t>0.338</t>
  </si>
  <si>
    <t>10.47197/RETOS.V51.97367</t>
  </si>
  <si>
    <t>2-s2.0-85179083166</t>
  </si>
  <si>
    <t>Universidad Privada del Norte| Universidad de las Américas - Chile| Universidad Andrés Bello| Universidad Científica del Sur| Universidad Finis Terrae</t>
  </si>
  <si>
    <t>60078117| 60105368| 60002636| 60078122| 60112389| 60105362</t>
  </si>
  <si>
    <t>Universidad Privada del Norte| Universidad Finis Terrae| Universidad Andrés Bello| Universidad Científica del Sur| Universidad María Auxiliadora| Universidad de Las Américas Chile</t>
  </si>
  <si>
    <t>A Systematic Review with a Meta-Analysis of the Morphological Variants of the Corpus Callosum: Related Neurocognitive Clinical Implications</t>
  </si>
  <si>
    <t>Valenzuela-Fuenzalida, J.J.| Orellana-Hidalgo, S.| Baeza-Garrido, V.| Trujillo-Riveros, M.| Aguilar-Aguirre, I.| Nova-Baeza, P.| Orellana-Donoso, M.| Cifuentes-Suazo, G.| Bruna Mejias, A.| Casanova-Martinez, D.| Sanchis-Gimeno, J.| Piagkou, M.| Triantafyllou, G.| Konschake, M.</t>
  </si>
  <si>
    <t>0.682</t>
  </si>
  <si>
    <t>10.1016/j.wneu.2025.124317</t>
  </si>
  <si>
    <t>2-s2.0-105013783691</t>
  </si>
  <si>
    <t>Innsbruck Medical University| Universidad Andrés Bello| Universidad Católica de la Santísima Concepción| University of Valencia| Universidad Finis Terrae| Universidad de Valparaíso| Universidad de Playa Ancha de Ciencias de la Educación| National and Kapodistrian University of Athens| Universidad de Buenos Aires| Universidad Bernardo O'Higgins</t>
  </si>
  <si>
    <t>60002636| 60105370| 60105368| 60031536| 60019586| 60008781| 60001563| 60002644| 60067083| 60008222</t>
  </si>
  <si>
    <t>Universidad Andrés Bello| Universidad Bernardo O'Higgins| Universidad Finis Terrae| Universidad Catolica de la Santisima Concepcion| Universidad de Playa Ancha| Universidad de Valparaiso| Universidad de Buenos Aires| Universitat de València| School of Medicine| Medizinische Universitat Innsbruck</t>
  </si>
  <si>
    <t>Austria| Chile| Spain| Greece| Argentina</t>
  </si>
  <si>
    <t>Association Between Exclusive Breastfeeding, Nutritional Status and Eating Behavior, in Chilean Schoolchildren: A Cross-Sectional Study</t>
  </si>
  <si>
    <t>Lasserre-Laso, N.| Leiva-Manzor, G.| Bustos-Arriagada, E.| Etchegaray-Armijo, K.</t>
  </si>
  <si>
    <t>10.3390/nu17213444</t>
  </si>
  <si>
    <t>2-s2.0-105021636801</t>
  </si>
  <si>
    <t>Universidad Santo Tomás, Santiago| Universidad Finis Terrae</t>
  </si>
  <si>
    <t>60009128| 60105368</t>
  </si>
  <si>
    <t>Universidad Santo Tomas, Santiago| Universidad Finis Terrae</t>
  </si>
  <si>
    <t>The Effect of Diabetes Mellitus on Central Corneal Thickness Values: A Systematic Review and Meta-Analysis</t>
  </si>
  <si>
    <t>Uzunoglu, A.| Valenzuela-Fuenzalida, J.J.| Morales-Calderón, K.| Aguilar-Aguirre, I.| Bruna-Mejias, A.| Nova-Baeza, P.| Orellana-Donoso, M.| Oyanedel-Amaro, G.| Suazo-Santibañez, A.| Sanchis-Gimeno, J.A.| León Rojas, J.E.| Granite, G.</t>
  </si>
  <si>
    <t>10.3390/ijms26178695</t>
  </si>
  <si>
    <t>2-s2.0-105015841990</t>
  </si>
  <si>
    <t>Universidad de las Américas - Chile| Universidad de las Américas - Ecuador| Universidad Andrés Bello| Universidad Autónoma de Chile| Universidad San Sebastián| University of Valencia| Universidad Finis Terrae| Uniformed Services University of the Health Sciences| Universidad Bernardo O'Higgins</t>
  </si>
  <si>
    <t>125750965| 60002636| 60105370| 60000636| 60105368| 60105371| 60105362| 60002644| 60104441| 60279370| 60006762</t>
  </si>
  <si>
    <t>Republic of Turkey Ministry of National Education| Universidad Andrés Bello| Universidad Bernardo O'Higgins| Universidad San Sebastián| Universidad Finis Terrae| Universidad Autónoma de Chile| Universidad de Las Américas Chile| Universitat de València| Universidad de las Americas - Ecuador| F. Edward Hebert School of Medicine| Uniformed Services University of the Health Sciences</t>
  </si>
  <si>
    <t>Chile| Ecuador| Spain| United States| Turkey</t>
  </si>
  <si>
    <t>Olive F.</t>
  </si>
  <si>
    <t>Analysis of household-like waste discarded by health institutions in Chile: A descriptive study</t>
  </si>
  <si>
    <t>Olive, F.| Sanhueza, M.B.| Giglio, A.| Ferre, A.</t>
  </si>
  <si>
    <t>Journal of Climate Change and Health</t>
  </si>
  <si>
    <t>ISSN-26672782</t>
  </si>
  <si>
    <t>6.5</t>
  </si>
  <si>
    <t>10.1016/j.joclim.2025.100437</t>
  </si>
  <si>
    <t>2-s2.0-105002338312</t>
  </si>
  <si>
    <t>60017912| 60105368</t>
  </si>
  <si>
    <t>Clínica Las Condes| Universidad Finis Terrae</t>
  </si>
  <si>
    <t>Sanhueza M.B.</t>
  </si>
  <si>
    <t>Rodríguez M.F.</t>
  </si>
  <si>
    <t>Exploring Students’ Perceptions of Active Learning in Teaching Ethical Deliberation: A Case Study in Higher Education’</t>
  </si>
  <si>
    <t>Barahona, C.| Arriagada-Bruneau, G.| Rodríguez, M.F.</t>
  </si>
  <si>
    <t>Journal of Academic Ethics</t>
  </si>
  <si>
    <t>1897-1913</t>
  </si>
  <si>
    <t>ISSN-15701727</t>
  </si>
  <si>
    <t>10.1007/s10805-025-09633-z</t>
  </si>
  <si>
    <t>2-s2.0-105003198608</t>
  </si>
  <si>
    <t>Massa A.A.</t>
  </si>
  <si>
    <t>The Inter-American Convention on the Protection of the Human Rights of Older Persons - a step towards an international convention on the rights of older people?</t>
  </si>
  <si>
    <t>Massa, A.A.</t>
  </si>
  <si>
    <t>Research Handbook on Law, Society and Ageing</t>
  </si>
  <si>
    <t>28-43</t>
  </si>
  <si>
    <t>Edward Elgar Publishing Ltd.</t>
  </si>
  <si>
    <t>10.4337/9781803925295.00010</t>
  </si>
  <si>
    <t>2-s2.0-85217317761</t>
  </si>
  <si>
    <t>González A.</t>
  </si>
  <si>
    <t>Interpretable machine learning model for characterizing magnetic susceptibility-based biomarkers in first episode psychosis</t>
  </si>
  <si>
    <t>Franco, P.| Montalba, C.| Caulier-Cisterna, R.| Milovic, C.| González, A.| Ramirez-Mahaluf, J.P.| Undurraga, J.| Salas, R.| Crossley, N.| Tejos, C.| Uribe, S.</t>
  </si>
  <si>
    <t>Computer Methods and Programs in Biomedicine</t>
  </si>
  <si>
    <t>ISSN-01692607</t>
  </si>
  <si>
    <t>10.1016/j.cmpb.2025.109067</t>
  </si>
  <si>
    <t>2-s2.0-105015299960</t>
  </si>
  <si>
    <t>Universidad Andrés Bello| Pontificia Universidad Católica de Valparaíso| Universidad del Desarrollo| Ministerio de Planificación, Chile| Universidad Finis Terrae| Universidad de Valparaíso| Monash University| Pontificia Universidad Católica de Chile| Clínica Alemana de Santiago| Universidad Tecnológica Metropolitana</t>
  </si>
  <si>
    <t>60002636| 60281458| 60029681| 60001755| 60023520| 60105368| 60006469| 60000146| 60008781| 60019578</t>
  </si>
  <si>
    <t>Universidad Andrés Bello| Instituto Milenio en Ingeniería e Inteligencia Artificial para la Salud| Pontificia Universidad Católica de Chile| Universidad Tecnológica Metropolitana| Pontificia Universidad Católica de Valparaíso| Universidad Finis Terrae| Universidad del Desarrollo| Clinica Alemana| Universidad de Valparaiso| Monash University</t>
  </si>
  <si>
    <t>Chile| Australia</t>
  </si>
  <si>
    <t>Minimal Residual Disease in Breast Cancer: Tumour Microenvironment Interactions, Detection Methods and Therapeutic Approaches</t>
  </si>
  <si>
    <t>Murray, N.P.| Aedo, S.</t>
  </si>
  <si>
    <t>10.3390/ijms262311346</t>
  </si>
  <si>
    <t>2-s2.0-105024621696</t>
  </si>
  <si>
    <t>60281395| 60105368</t>
  </si>
  <si>
    <t>Hospital de Carabineros de Chile| Universidad Finis Terrae</t>
  </si>
  <si>
    <t>Giglio Jiménez A.</t>
  </si>
  <si>
    <t>Should we move beyond the concept of fluid responsiveness?</t>
  </si>
  <si>
    <t>Giglio Jiménez, A.| Tovar, W.| Pedreros, C.| Ferre, A.</t>
  </si>
  <si>
    <t>Intensive Care Medicine</t>
  </si>
  <si>
    <t>820-821</t>
  </si>
  <si>
    <t>ISSN-03424642</t>
  </si>
  <si>
    <t>22.2</t>
  </si>
  <si>
    <t>10.1007/s00134-025-07787-3</t>
  </si>
  <si>
    <t>2-s2.0-85217262308</t>
  </si>
  <si>
    <t>60105368| 60017912</t>
  </si>
  <si>
    <t>Tovar W.</t>
  </si>
  <si>
    <t>Pedreros C.</t>
  </si>
  <si>
    <t>Study protocol and rationale of “the UP project”: evaluating the effectiveness of active breaks on health indicators in desk-based workers</t>
  </si>
  <si>
    <t>Cristi-Montero, C.| Martínez-Flores, R.| Espinoza-Puelles, J.P.| Favero-Ramirez, L.| Zurita-Corvalan, N.| Cañete, I.C.| Leppe, J.| Ferrari, G.| Sadarangani, K.P.| Cancino-López, J.| Hernandez-Jaña, S.| Farias, T.Y.| Lemes, V.B.| Rodríguez-Rodríguez, F.| Brand, C.</t>
  </si>
  <si>
    <t>Frontiers in Public Health</t>
  </si>
  <si>
    <t>ISSN-22962565</t>
  </si>
  <si>
    <t>5.5</t>
  </si>
  <si>
    <t>10.3389/fpubh.2024.1363015</t>
  </si>
  <si>
    <t>2-s2.0-85189331104</t>
  </si>
  <si>
    <t>Universidade Federal do Rio Grande do Sul| Universidad Diego Portales| Universidad de Santiago de Chile| Universidad Santo Tomás, Santiago| Universidad Autónoma de Chile| Pontificia Universidad Católica de Valparaíso| Universidad del Desarrollo| Universidad Finis Terrae| Clínica Alemana de Santiago</t>
  </si>
  <si>
    <t>60023520| 60006469| 60000146| 60023383| 60105371| 60013592| 60105368| 60009128| 60006726</t>
  </si>
  <si>
    <t>Pontificia Universidad Católica de Valparaíso| Universidad del Desarrollo| Clinica Alemana| Universidad de Santiago de Chile| Universidad Autónoma de Chile| Universidad Diego Portales| Universidad Finis Terrae| Universidad Santo Tomas, Santiago| Universidade Federal do Rio Grande do Sul</t>
  </si>
  <si>
    <t>Analysis of Vancomycin Dosage and Plasma Levels in Critically Ill Adult Patients Requiring Extracorporeal Membrane Oxygenation (ECMO)</t>
  </si>
  <si>
    <t>Ferre, A.| Giglio, A.| Zylbersztajn, B.| Valenzuela, R.| Van Sint Jan, N.| Fajardo, C.| Reccius, A.| Dreyse, J.| Hasbun, P.</t>
  </si>
  <si>
    <t>Journal of Intensive Care Medicine</t>
  </si>
  <si>
    <t>909-915</t>
  </si>
  <si>
    <t>ISSN-08850666</t>
  </si>
  <si>
    <t>0.866</t>
  </si>
  <si>
    <t>10.1177/08850666241243306</t>
  </si>
  <si>
    <t>2-s2.0-85189157391</t>
  </si>
  <si>
    <t>60105368| 60017912| 60011284</t>
  </si>
  <si>
    <t>Universidad Finis Terrae| Clínica Las Condes| Universidad de los Andes, Chile</t>
  </si>
  <si>
    <t>Reccius A.</t>
  </si>
  <si>
    <t>Cartaya M.A.</t>
  </si>
  <si>
    <t>Use of the pectoralis minor and coracoacromial ligament for a biplanar coracoclavicular and acromioclavicular reconstruction: A cadaveric feasibility study</t>
  </si>
  <si>
    <t>Cartaya, M.A.| Vargas, J.M.</t>
  </si>
  <si>
    <t>Journal of Experimental Orthopaedics</t>
  </si>
  <si>
    <t>ISSN-21971153</t>
  </si>
  <si>
    <t>0.937</t>
  </si>
  <si>
    <t>10.1002/jeo2.70032</t>
  </si>
  <si>
    <t>2-s2.0-85206253906</t>
  </si>
  <si>
    <t>60105368| 60017912| 60019103</t>
  </si>
  <si>
    <t>Universidad Finis Terrae| Clínica Las Condes| Hospital del Trabajador de Santiago</t>
  </si>
  <si>
    <t>Gutierrez M.</t>
  </si>
  <si>
    <t>Sleep Restriction and Weekend Sleep Compensation Relate to Eating Behavior in School-Aged Children</t>
  </si>
  <si>
    <t>Chamorro, R.| Garrido-González, M.| Gutierrez, M.| Santos, J.L.| Weisstaub, G.</t>
  </si>
  <si>
    <t>Nature and Science of Sleep</t>
  </si>
  <si>
    <t>1671-1681</t>
  </si>
  <si>
    <t>ISSN-11791608</t>
  </si>
  <si>
    <t>Dove Medical Press Ltd</t>
  </si>
  <si>
    <t>30.0</t>
  </si>
  <si>
    <t>10.2147/NSS.S509636</t>
  </si>
  <si>
    <t>2-s2.0-105012222866</t>
  </si>
  <si>
    <t>Universidad Diego Portales| Universidad Finis Terrae| Universidad de Chile| Pontificia Universidad Católica de Chile| Public University of Navarre</t>
  </si>
  <si>
    <t>60002946| 60012464| 60013592| 60105368| 60029681| 60033019</t>
  </si>
  <si>
    <t>Facultad de Medicina de la Universidad de Chile| Universidad de Chile| Universidad Diego Portales| Universidad Finis Terrae| Pontificia Universidad Católica de Chile| Universidad Pública de Navarra (UPNA)</t>
  </si>
  <si>
    <t>Baseline Body Fat Percentage Is Associated to Weight and Fat Mass Gain from High-Fat Overfeeding over 8 Weeks</t>
  </si>
  <si>
    <t>Galgani, J.E.| Fernández-Verdejo, R.| Bray, G.A.| Smith, S.R.| Ghosh, S.| Javvadi, P.| Ravussin, E.</t>
  </si>
  <si>
    <t>Journal of Clinical Endocrinology and Metabolism</t>
  </si>
  <si>
    <t>e4038-e4048</t>
  </si>
  <si>
    <t>ISSN-0021972X</t>
  </si>
  <si>
    <t>10.1210/clinem/dgaf247</t>
  </si>
  <si>
    <t>2-s2.0-105022004567</t>
  </si>
  <si>
    <t>60029681| 60009418| 60088718| 60021235| 60007566| 60105368| 113900100</t>
  </si>
  <si>
    <t>Pontificia Universidad Católica de Chile| Facultad de Medicina| Escuela de Medicina| Pennington Biomedical Research Center| Louisiana State University| Universidad Finis Terrae| Translational Research Institute</t>
  </si>
  <si>
    <t>Public Discourse of the Chilean Ministry of Education on School Violence and Convivencia Escolar: A Subjective Theories Approach</t>
  </si>
  <si>
    <t>Castro-Carrasco, P.J.| Gubbins, V.| Caamaño, V.| González-Palta, I.| Rodríguez-Pastene Vicencio, F.| Zelaya, M.| Carrasco-Aguilar, C.</t>
  </si>
  <si>
    <t>Social Sciences</t>
  </si>
  <si>
    <t>ISSN-20760760</t>
  </si>
  <si>
    <t>0.557</t>
  </si>
  <si>
    <t>10.3390/socsci14090539</t>
  </si>
  <si>
    <t>2-s2.0-105017463254</t>
  </si>
  <si>
    <t>Universidad Santo Tomás, Santiago| University of Málaga| Universidad Finis Terrae| Universidad de La Serena| Universidad de Playa Ancha de Ciencias de la Educación| Universidad Alberto Hurtado</t>
  </si>
  <si>
    <t>60016754| 60105368| 60009128| 60088733| 60019586| 60003662</t>
  </si>
  <si>
    <t>Universidad de La Serena| Universidad Finis Terrae| Universidad Santo Tomas, Santiago| Universidad Alberto Hurtado| Universidad de Playa Ancha| Universidad de Málaga</t>
  </si>
  <si>
    <t>Retamal M.J.</t>
  </si>
  <si>
    <t>Wrinkled TiNAgNW Nanocomposites for High-Performance Flexible Electrodes on TEMPO-Oxidized Nanocellulose</t>
  </si>
  <si>
    <t>Gence, L.| Quero, F.| Escalona, M.| Wheatley, R.| Seifert, B.| Diaz-Droguett, D.| Retamal, M.J.| Wallentowitz, S.| Volkmann, U.G.| Bhuyan, H.</t>
  </si>
  <si>
    <t>Nanomaterials</t>
  </si>
  <si>
    <t>ISSN-20794991</t>
  </si>
  <si>
    <t>9.2</t>
  </si>
  <si>
    <t>0.811</t>
  </si>
  <si>
    <t>10.3390/nano14141178</t>
  </si>
  <si>
    <t>2-s2.0-85199926245</t>
  </si>
  <si>
    <t>60029681| 131507576| 60012464| 60122504| 60281462| 131507126| 60105368</t>
  </si>
  <si>
    <t>Pontificia Universidad Católica de Chile| Centro de Investigación en Nanotecnología y Materiales Avanzados (CIEN-UC)| Universidad de Chile| Facultad de Ciencias Físicas y Matemáticas de la Universidad de Chile| Instituto Milenio de Investigación en Óptica| Centro de Energía UC| Universidad Finis Terrae</t>
  </si>
  <si>
    <t>Caffarena-Barcenilla C.</t>
  </si>
  <si>
    <t>The influence of temperament and sex on inhibitory control games: reward strategies</t>
  </si>
  <si>
    <t>Caffarena-Barcenilla, C.| Rojas-Barahona, C.A.</t>
  </si>
  <si>
    <t>5839-5853</t>
  </si>
  <si>
    <t>10.1007/s12144-023-04779-8</t>
  </si>
  <si>
    <t>2-s2.0-85160420923</t>
  </si>
  <si>
    <t>Universidad de Talca| Universidad Finis Terrae| Pontificia Universidad Católica de Chile</t>
  </si>
  <si>
    <t>60029681| 60105368| 60016278</t>
  </si>
  <si>
    <t>Pontificia Universidad Católica de Chile| Universidad Finis Terrae| Universidad de Talca</t>
  </si>
  <si>
    <t>Effects of school closure on lifestyle behaviours and health outcomes in children during the COVID-19 pandemic in Chile: A time-matched analysis</t>
  </si>
  <si>
    <t>Suárez-Reyes, M.| Fernández-Verdejo, R.| Quintiliano, D.| Pinheiro, A.C.| Pizarro, T.</t>
  </si>
  <si>
    <t>Pediatric Obesity</t>
  </si>
  <si>
    <t>ISSN-20476302</t>
  </si>
  <si>
    <t>10.1111/ijpo.13182</t>
  </si>
  <si>
    <t>2-s2.0-85205918921</t>
  </si>
  <si>
    <t>Universidad de Santiago de Chile| LSU Pennington Biomedical Research Center| Universidad del Desarrollo| Universidad Finis Terrae| Clínica Alemana de Santiago</t>
  </si>
  <si>
    <t>60021235| 60023383| 60105368| 60000146| 60006469</t>
  </si>
  <si>
    <t>Pennington Biomedical Research Center| Universidad de Santiago de Chile| Universidad Finis Terrae| Clinica Alemana| Universidad del Desarrollo</t>
  </si>
  <si>
    <t>De la fuente López M.</t>
  </si>
  <si>
    <t>Enhancing the Affinity of a Novel Selective scFv for Soluble ST2 through Computational Design</t>
  </si>
  <si>
    <t>Matthies, D.J.| Novoa-Gundel, P.| Vásquez, G.| Dubois-Camacho, K.| De la fuente López, M.| Donoso, B.| Toledo-Stuardo, K.| Gutiérrez-González, M.| Landskron, G.| Valdebenito-Silva, S.| Sánchez, O.| Fierro, A.| Teimoori, S.| Chaicumpa, W.| Eugenin, E.| Zapata-Torres, G.| Molina, M.C.| Hermoso, M.A.</t>
  </si>
  <si>
    <t>Journal of Chemical Information and Modeling</t>
  </si>
  <si>
    <t>5586-5595</t>
  </si>
  <si>
    <t>ISSN-15499596</t>
  </si>
  <si>
    <t>American Chemical Society</t>
  </si>
  <si>
    <t>1.43</t>
  </si>
  <si>
    <t>10.1021/acs.jcim.4c02027</t>
  </si>
  <si>
    <t>2-s2.0-105005943336</t>
  </si>
  <si>
    <t>Mahidol University| University of Groningen| University of Texas Medical Branch at Galveston| Universidad Finis Terrae| Universidad de Chile| Pontificia Universidad Católica de Chile| Universidad de Concepción</t>
  </si>
  <si>
    <t>60012464| 60002946| 60001282| 60006027| 60010023| 60105368| 60014569| 60029681| 60307765| 60012718| 60011189</t>
  </si>
  <si>
    <t>Universidad de Chile| Facultad de Medicina de la Universidad de Chile| Universidad de Concepcion| Universitair Medisch Centrum Groningen| Rijksuniversiteit Groningen| Universidad Finis Terrae| The University of Texas Medical Branch at Galveston| Pontificia Universidad Católica de Chile| Biotechrabbit GmbH| Mahidol University| Faculty of Medicine Siriraj Hospital, Mahidol University</t>
  </si>
  <si>
    <t>Chile| United States| Germany| Thailand| Netherlands</t>
  </si>
  <si>
    <t>Bibliometric analysis of pedagogical content knowledge: Countries, authors, and fields of knowledge</t>
  </si>
  <si>
    <t>Santibáñez, D.| Vega, A.| Cofré, H.| Salas, N.| Adsuar, J.</t>
  </si>
  <si>
    <t>Eurasia Journal of Mathematics, Science and Technology Education</t>
  </si>
  <si>
    <t>ISSN-13058215</t>
  </si>
  <si>
    <t>Modestum LTD</t>
  </si>
  <si>
    <t>0.693</t>
  </si>
  <si>
    <t>10.29333/ejmste/15953</t>
  </si>
  <si>
    <t>2-s2.0-85219507393</t>
  </si>
  <si>
    <t>Universidad Central de Chile| Pontificia Universidad Católica de Valparaíso| University of Lisbon| Universidad Finis Terrae| University of Extremadura| Universidad Arturo Prat</t>
  </si>
  <si>
    <t>60105368| 60088669| 60010144| 60023520| 60017838| 60043089| 60106051</t>
  </si>
  <si>
    <t>Universidad Finis Terrae| Universidad Central de Chile| Universidad Arturo Prat| Pontificia Universidad Católica de Valparaíso| Universidad de Extremadura| Faculdade de Motricidade Humana, Universidade de Lisboa| Universidade de Lisboa</t>
  </si>
  <si>
    <t>Chile| Spain| Portugal</t>
  </si>
  <si>
    <t>Salas N.</t>
  </si>
  <si>
    <t>Flores P.C.</t>
  </si>
  <si>
    <t>Fuelling climate change disinformation: Global narratives distorting environmental risks in North America, Europe and Latin America</t>
  </si>
  <si>
    <t>Palau-Sampio, D.| Flores, P.C.| Garcés, M.J.P.</t>
  </si>
  <si>
    <t>Catalan Journal of Communication and Cultural Studies</t>
  </si>
  <si>
    <t>217-236</t>
  </si>
  <si>
    <t>ISSN-17571898</t>
  </si>
  <si>
    <t>Intellect Ltd.</t>
  </si>
  <si>
    <t>1.4</t>
  </si>
  <si>
    <t>0.204</t>
  </si>
  <si>
    <t>10.1386/cjcs_00110_1</t>
  </si>
  <si>
    <t>2-s2.0-85215785622</t>
  </si>
  <si>
    <t>University of Valencia| Universidad Finis Terrae</t>
  </si>
  <si>
    <t>60002644| 60105368</t>
  </si>
  <si>
    <t>Universitat de València| Universidad Finis Terrae</t>
  </si>
  <si>
    <t>A Systematic Review of Anatomical Variations of the Inferior Thyroid Artery: Clinical and Surgical Considerations</t>
  </si>
  <si>
    <t>Bruna-Mejias, A.| Pérez-Farías, C.| Prieto-Heredia, T.| Vergara-Vargas, F.| Martínez-Cid, J.| Sanchis-Gimeno, J.| Afandi-Rebolledo, S.| Valdés-Orrego, I.| Nova-Baeza, P.| Suazo-Santibáñez, A.| Valenzuela-Fuenzalida, J.J.| Orellana-Donoso, M.</t>
  </si>
  <si>
    <t>10.3390/diagnostics15151858</t>
  </si>
  <si>
    <t>2-s2.0-105013309795</t>
  </si>
  <si>
    <t>Universidad de las Américas - Chile| Universidad Andrés Bello| Universidad Autónoma de Chile| Universidad San Sebastián| University of Valencia| Universidad Finis Terrae| Universidad de Playa Ancha de Ciencias de la Educación| Universidad Bernardo O'Higgins</t>
  </si>
  <si>
    <t>60019586| 60002636| 60002644| 60000636| 60105371| 60105362| 60105370| 60105368</t>
  </si>
  <si>
    <t>Universidad de Playa Ancha| Universidad Andrés Bello| Universitat de València| Universidad San Sebastián| Universidad Autónoma de Chile| Universidad de Las Américas Chile| Universidad Bernardo O'Higgins| Universidad Finis Terrae</t>
  </si>
  <si>
    <t>Tapia-Curimil G.</t>
  </si>
  <si>
    <t>Effect of epicatechin consumption on the inflammatory pathway and mitochondria morphology in PBMC from a R350P desminopathy patient: A case report</t>
  </si>
  <si>
    <t>Tapia-Curimil, G.| Castro-Sepulveda, M.| Zbinden-Foncea, H.</t>
  </si>
  <si>
    <t>Physiological Reports</t>
  </si>
  <si>
    <t>ISSN-2051817X</t>
  </si>
  <si>
    <t>53.0</t>
  </si>
  <si>
    <t>0.766</t>
  </si>
  <si>
    <t>10.14814/phy2.16020</t>
  </si>
  <si>
    <t>2-s2.0-85191194456</t>
  </si>
  <si>
    <t>60105368| 60022810| 60108692</t>
  </si>
  <si>
    <t>Universidad Finis Terrae| Clinica Santa Maria| Universidad Francisco de Vitoria</t>
  </si>
  <si>
    <t>Immunomodulation and Immunotherapy for Patients with Prostate Cancer: An Up-to-Date Review</t>
  </si>
  <si>
    <t>10.3390/biomedicines13051179</t>
  </si>
  <si>
    <t>2-s2.0-105006749271</t>
  </si>
  <si>
    <t>Valdés C.Á.</t>
  </si>
  <si>
    <t>Transforming the pedagogy of reflection in initial teacher education: a program for practicum mentors</t>
  </si>
  <si>
    <t>Vargas, A.R.| Valdés, C.Á.</t>
  </si>
  <si>
    <t>Pensamiento Educativo</t>
  </si>
  <si>
    <t>ISSN-07171013</t>
  </si>
  <si>
    <t>Pontificia Universidad Catolica de Chile</t>
  </si>
  <si>
    <t>0.233</t>
  </si>
  <si>
    <t>10.7764/PEL.62.2.2025.7</t>
  </si>
  <si>
    <t>2-s2.0-105017683036</t>
  </si>
  <si>
    <t>60012464| 60105368</t>
  </si>
  <si>
    <t>Universidad de Chile| Universidad Finis Terrae</t>
  </si>
  <si>
    <t>Lomboy Finsterbusch M.I.</t>
  </si>
  <si>
    <t>Emotional intelligence and authentic leadership. A comparative study of university students in Chile, Spain and Mexico</t>
  </si>
  <si>
    <t>Lomboy Finsterbusch, M.I.| López González, J.</t>
  </si>
  <si>
    <t>10.1080/2331186X.2025.2548097</t>
  </si>
  <si>
    <t>2-s2.0-105015407727</t>
  </si>
  <si>
    <t>60105368| 60108692</t>
  </si>
  <si>
    <t>Universidad Finis Terrae| Universidad Francisco de Vitoria</t>
  </si>
  <si>
    <t>Allport, Aristotle and Aquinas: An interdisciplinary definition of personality</t>
  </si>
  <si>
    <t>Rojas-Saffie, J.P.| García-Matte, N.| Silva-Beyer, V.</t>
  </si>
  <si>
    <t>New Ideas in Psychology</t>
  </si>
  <si>
    <t>ISSN-0732118X</t>
  </si>
  <si>
    <t>5.1</t>
  </si>
  <si>
    <t>0.913</t>
  </si>
  <si>
    <t>10.1016/j.newideapsych.2024.101096</t>
  </si>
  <si>
    <t>2-s2.0-85195847219</t>
  </si>
  <si>
    <t>Universidad de los Andes Chile| Ministerio de Planificación, Chile| Universidad Finis Terrae| Universidad de Chile| Pontificia Universidad Católica de Chile</t>
  </si>
  <si>
    <t>60105368| 60281485| 60012464| 60029681| 60011284</t>
  </si>
  <si>
    <t>Universidad Finis Terrae| Instituto Milenio para la Investigación en Depresión y Personalidad| Universidad de Chile| Pontificia Universidad Católica de Chile| Universidad de los Andes, Chile</t>
  </si>
  <si>
    <t>Avilès Dorlhiac R.</t>
  </si>
  <si>
    <t>Impact of Teleworking on Work-Related and Home-Related Stress at During the First Global Lockdown–The International COVISTRESS Study</t>
  </si>
  <si>
    <t>Couarraze, S.| Decormeille, G.| Delamarre, L.| Marhar, F.| Gbaglo, K.| Avilès Dorlhiac, R.| Berthon, M.| Su-I Liu, A.| Antunes, S.| Pereira, B.| Baker, J.S.| Charkhabi, M.| Ugbolue, U.C.| Bagheri, R.| Gil-Cosano, J.J.| Zak, M.| Clinchamps, M.| Dutheil, F.</t>
  </si>
  <si>
    <t>Brain and Behavior</t>
  </si>
  <si>
    <t>ISSN-21623279</t>
  </si>
  <si>
    <t>57.0</t>
  </si>
  <si>
    <t>0.882</t>
  </si>
  <si>
    <t>10.1002/brb3.70592</t>
  </si>
  <si>
    <t>2-s2.0-105008048845</t>
  </si>
  <si>
    <t>Université Clermont Auvergne| Université Toulouse Jean Jaurès| Alzahra University| Hong Kong Baptist University| Universidad Finis Terrae| CHU de Toulouse| University of Isfahan| Institute of Applied Psychology| University of the West of Scotland| CNRS| University of Taipei| Institut national de la santé et de la recherche médicale| Université Fédérale Toulouse Midi-Pyrénées| CHU de Clermont-Ferrand| Jan Kochanowski University in Kielce| Université Paul Sabatier Toulouse III| Loyola University Andalusia</t>
  </si>
  <si>
    <t>60027245| 60210189| 60123084| 60005899| 60024960| 60138276| 60008134| 132860886| 60281394| 60105368| 60138744| 60104521| 60029444| 60007548| 60014347| 60008542| 60097343| 60024836| 60086940| 60030302| 60348782</t>
  </si>
  <si>
    <t>Université de Toulouse| CERPOP - Centre d'Epidémiologie et de Recherche en Santé des Populations| Laboratoire Cognition, Langues, Langage, Ergonomie| Université Toulouse - Jean Jaurès| CHU de Toulouse| Université Clermont Auvergne| CNRS Centre National de la Recherche Scientifique| Health Ministery| Hospital El Carmen Dr. Luis Valentín Ferrada| Universidad Finis Terrae| Laboratoire de Psychologie Sociale et Cognitive| University of Taipei| ISPA - Instituto Universitário| Centre Hospitalier Universitaire de Clermont-Ferrand| Hong Kong Baptist University| Alzahra University| University of the West of Scotland| University of Isfahan| Universidad Loyola Andalucia| Jan Kochanowski University, Kielce| Wittyfit</t>
  </si>
  <si>
    <t>Taiwan| Chile| United Kingdom| Spain| Hong Kong| Poland| Benin| Portugal| France| Iran</t>
  </si>
  <si>
    <t>Coma Prevalence in Critical Care Units in Chile: Results of a Cross-Sectional Survey on World Coma Day</t>
  </si>
  <si>
    <t>Giglio, A.| Reccius, A.| Regueira, T.| Carvajal, C.| Pedreros, C.| Pino, M.| Riquelme, C.| Aguilera, S.| Ferre, A.| Suarez, J.I.</t>
  </si>
  <si>
    <t>Neurocritical Care</t>
  </si>
  <si>
    <t>393-399</t>
  </si>
  <si>
    <t>ISSN-15416933</t>
  </si>
  <si>
    <t>10.1007/s12028-024-01986-4</t>
  </si>
  <si>
    <t>2-s2.0-85191040175</t>
  </si>
  <si>
    <t>Johns Hopkins University| Universidad Finis Terrae| Universidad de Valparaíso| Clínica Las Condes</t>
  </si>
  <si>
    <t>60105368| 60017912| 60022810| 131182565| 60008781| 60001117</t>
  </si>
  <si>
    <t>Universidad Finis Terrae| Clínica Las Condes| Clinica Santa Maria| Neurosurgery Department of Herminda Martin Hospital| Universidad de Valparaiso| Johns Hopkins University School of Medicine</t>
  </si>
  <si>
    <t>Gonzalez-Valderrama A.</t>
  </si>
  <si>
    <t>Human development, inequality, and their associations with brain structure across 29 countries</t>
  </si>
  <si>
    <t>Medel, V.| Alliende, L.M.| Bethlehem, R.| Seidlitz, J.| Ringlein, G.| Arango, C.| Arnatkevičiūtė, A.| Asmal, L.| Bellgrove, M.| Benegal, V.| Bernardo, M.| Billeke, P.| Bosch-Bayard, J.| Bressan, R.| Busatto, G.| Castro, M.| Chaim-Avancini, T.| Costanzi, M.| Czepielewski, L.| Dazzan, P.| De La Fuente-Sandoval, C.| Diaz-Caneja, C.M.| Di Forti, M.| Diaz-Zuluaga, A.M.| Du Plessis, S.| Duran, F.| Fittipaldi, S.| Fornito, A.| Freimer, N.| Gadelha, A.| Gama, C.| Garani, R.| Garcia-Rizo, C.| Gonzalez Campo, C.| Gonzalez-Valderrama, A.| Guinjoan, S.| Holla, B.| Ibañez, A.| Ivanovic, D.| Jackowski, A.| Leon-Ortiz, P.| Lochner, C.| Lopez-Jaramillo, C.| Luckhoff, H.| Massuda, R.| Mcguire, P.| Miyata, J.| Mizrahi, R.| Murray, R.| Ozerdem, A.| Pan, P.| Parellada, M.| Phahladira, L.| Ramirez-Mahaluf, J.P.| Reckziegel, R.| Marques, T.R.| Reyes-Madrigal, F.| Roos, A.| Rosa, P.| Salum, G.| Scheffler, F.| Schumann, G.| Serpa, M.| Stein, D.J.| Tepper, A.| Tiego, J.| Ueno, T.| Undurraga, J.| Undurraga, E.A.| Valdes-Sosa, P.| Valli, I.| Villarreal, M.| Winton-Brown, T.T.| Yalin, N.| Zamorano, F.| Zanetti, M.| Winkler, A.M.| Evans-Lacko, S.| Crossley, N.A.</t>
  </si>
  <si>
    <t>European Psychiatry</t>
  </si>
  <si>
    <t>ISSN-09249338</t>
  </si>
  <si>
    <t>10.1192/j.eurpsy.2025.10060</t>
  </si>
  <si>
    <t>2-s2.0-105010933575</t>
  </si>
  <si>
    <t>Universidade Federal do Paraná| Kyoto University| Universidad San Sebastián| University of Melbourne| Universidade Federal de São Paulo| University of Cape Town| Fundación para la Lucha contra las Enfermedades Neurológicas de la Infancia| University of Texas Rio Grande Valley| South African Medical Research Council| Universidad del Desarrollo| Monash University| National Institute for Health and Care Research| Instituto de Salud Carlos III| Oxford Health NHS Foundation Trust| Charité – Universitätsmedizin Berlin| Universidade de São Paulo| Universidad Adolfo Ibáñez| Laureate Institute for Brain Research| King's College London| Clínica Alemana de Santiago| Universidad de Buenos Aires| McGill University| University of Oldenburg| Aichi Medical University| Universidade Federal do Rio Grande do Sul| Fudan University| University of California at Los Angeles| The Children's Hospital of Philadelphia| Hospital General Universitario Gregorio Marañon| Consejo Nacional de Investigaciones Científicas y Técnicas| University of Electronic Science and Technology of China| University of Cambridge| University of Pennsylvania| Universidad Finis Terrae| University of Oxford| Canadian Institute for Advanced Research| Pontificia Universidad Católica de Chile| The London School of Economics and Political Science| Johns Hopkins University| Northwestern University| Child Mind Institute, Inc.| Østfold University College| South London and Maudsley NHS Foundation Trust| University of California at San Francisco| Complutense University| Mayo Clinic Rochester, MN| Universidad de Antioquia| Universidad de San Andrés| Sisters Hospitallers Research Foundation| National Institute of Mental Health and Neurosciences| Hospital Sirio-Libanes| Trinity College Dublin| Centro de Investigación Biomédica en Red| Instituto Nacional de Neurologia y Neurocirugia| Stellenbosch University| August Pi i Sunyer Biomedical Research Institute| University of Barcelona</t>
  </si>
  <si>
    <t>60003942| 60007363| 60120005| 60032885| 60031101| 60003711| 60006297| 60030118| 60006183| 60104561| 60001602| 60108393| 60031799| 60033237| 60027282| 60019578| 60118640| 60002522| 60001565| 60016175| 60001576| 60010814| 60030315| 60006469| 60191846| 60030616| 60002494| 60020306| 60014992| 60008088| 60024120| 60004518| 60001563| 60014120| 60006726| 60011520| 60000029| 60028884| 60171762| 60278571| 60055833| 60027550| 60006511| 60028973| 60008314| 60011149| 60023691| 60105879| 60105368| 60138288| 60101843| 60225362| 60015043| 60002634| 60026851| 60172674| 60116889| 60004395| 60011001| 60119317| 60028492| 60191838| 60005558| 113079621| 60029681| 60000356| 60114313| 60009860| 60026245| 60010881| 60000146| 60105877| 60082875| 60005465| 60077495| 60120188| 127167887| 60000636| 60005896| 60108705| 60279384| 60003059</t>
  </si>
  <si>
    <t>Universidad Adolfo Ibáñez| Northwestern University| Department of Psychiatry| Autism Research Centre| University of Cambridge| University of Pennsylvania Perelman School of Medicine| University of Pennsylvania| The Children's Hospital of Philadelphia| Johns Hopkins Bloomberg School of Public Health| Centro de Investigación Biomédica En Red de Salud Mental| Instituto de Salud Carlos III| Instituto de Investigación Sanitaria Gregorio Marañón| Universidad Complutense de Madrid, Facultad de Medicina| Hospital General Universitario Gregorio Marañón| Universidad Complutense de Madrid| Monash University| Melbourne School of Psychological Sciences| Stellenbosch University, Faculty of Medicine and Health Sciences| Stellenbosch University| National Institute of Mental Health and Neuro Sciences| Universitat de Barcelona| Institut d'Investigacions Biomèdiques August Pi i Sunyer - IDIBAPS| Hospital Clínic de Barcelona| Universidad del Desarrollo| Centre Ludmer en Neuroinformatique et Santé Mentale| Institut-Hôpital Neurologique de Montréal| Université McGill| Universität Oldenburg| Universidade Federal de São Paulo| Universidade de São Paulo| Fundacion Para La Lucha Contra Las Enfermedades Neurologicas de La Infancia| Consejo Nacional de Investigaciones Científicas y Técnicas| Universidad de Buenos Aires| Hospital de Clinicas de Porto Alegre| Universidade Federal do Rio Grande do Sul| King's College London| Instituto Nacional de Neurología y Neurocirugía| South London and Maudsley NHS Foundation Trust| NIHR Maudsley Biomedical Research Centre| National Institute for Health and Care Research| Universidad de Antioquia| University of California, Los Angeles| Jane &amp; Terry Semel Institute for Neuroscience &amp; Human Behavior| South African Medical Research Council| Universidad de San Andres| Trinity College Dublin| University of California, San Francisco| Instituto Psiquiatrico Dr. Jose Horwitz Barak| Universidad Finis Terrae| Laureate Institute for Brain Research| HØgskolen i Østfold| SA MRC Unit on Risk and Resilience in Mental Disorders| Universidade Federal do Parana| University of Oxford Medical Sciences Division| University of Oxford| NIHR Oxford Health Biomedical Research Centre| Oxford Health NHS Foundation Trust| Aichi Medical University| Kyoto University| Graduate School of Medicine| Institut Universitaire en Santé Mentale Douglas| School of Medicine| Mayo Clinic| National Institute of Developmental Psychiatry for Children and Adolescents| Pontificia Universidad Católica de Chile| University of Cape Town| Child Mind Institute, Inc.| Fudan University| Charité – Universitätsmedizin Berlin| Kyoto University Hospital| Clinica Alemana| Centro de Investigación para la Gestión Integrada del Riesgo de Desastres| Canadian Institute for Advanced Research| University of Electronic Science and Technology of China| Centro de Neurociencias de Cuba| FIDMAG Germanes Hospitalàries Research Foundation| Alfred Health| Universidad San Sebastián| Hospital Sirio-Libanês| The University of Texas Rio Grande Valley| University of Texas Rio Grande Valley School of Medicine| London School of Economics and Political Science</t>
  </si>
  <si>
    <t>Chile| India| United Kingdom| Mexico| Spain| Japan| South Africa| Brazil| Norway| China| Ireland| Cuba| Germany| United States| Colombia| Australia| Argentina| Canada</t>
  </si>
  <si>
    <t>Metabolic flexibility to lipid during exercise is not associated with metabolic health outcomes in individuals without obesity</t>
  </si>
  <si>
    <t>Fernández-Verdejo, R.| Gutiérrez-Pino, J.| Hayes-Ortiz, T.| Zbinden-Foncea, H.| Cabello-Verrugio, C.| Valero-Breton, M.| Tuñón-Suárez, M.| Vargas-Foitzick, R.| Galgani, J.E.</t>
  </si>
  <si>
    <t>10.1038/s41598-024-79092-w</t>
  </si>
  <si>
    <t>2-s2.0-85209377957</t>
  </si>
  <si>
    <t>Louisiana State University| LSU Pennington Biomedical Research Center| Francisco de Vitoria University| Universidad Andrés Bello| Ministerio de Planificación, Chile| Universidad Finis Terrae| Pontificia Universidad Católica de Chile</t>
  </si>
  <si>
    <t>60007566| 60021235| 60105368| 60108692| 60002636| 60281764| 60281450| 60029681| 60009418</t>
  </si>
  <si>
    <t>Louisiana State University| Pennington Biomedical Research Center| Universidad Finis Terrae| Universidad Francisco de Vitoria| Universidad Andrés Bello| Facultad de Ciencias de la Vida| Instituto Milenio en Inmunología e Inmunoterapia| Pontificia Universidad Católica de Chile| Facultad de Medicina</t>
  </si>
  <si>
    <t>Hayes-Ortiz T.</t>
  </si>
  <si>
    <t>Vargas-Foitzick R.</t>
  </si>
  <si>
    <t>Block strength training based on age-related functional consequences in older women</t>
  </si>
  <si>
    <t>Jofré-Saldía, E.| Festa, R.R.| Villalobos-Gorigoitía, Á.| Jorquera-Aguilera, C.| Ojeda, Á.H.| Cancino-López, J.| Gea-García, G.M.</t>
  </si>
  <si>
    <t>PLOS ONE</t>
  </si>
  <si>
    <t>4.8</t>
  </si>
  <si>
    <t>0.726</t>
  </si>
  <si>
    <t>10.1371/journal.pone.0323501</t>
  </si>
  <si>
    <t>2-s2.0-105007047226</t>
  </si>
  <si>
    <t>Universidad Mayor| University of Seville| Universidad de las Américas - Chile| Universidad Andrés Bello| Universidad San Sebastián| Universidad Finis Terrae</t>
  </si>
  <si>
    <t>60000636| 130452021| 60002636| 60005881| 60105362| 60105368| 60033284</t>
  </si>
  <si>
    <t>Universidad San Sebastián| Sports Performance Research| Universidad Andrés Bello| Universidad Mayor| Universidad de Las Américas Chile| Universidad Finis Terrae| Universidad de Sevilla</t>
  </si>
  <si>
    <t>Chile| Spain| Argentina</t>
  </si>
  <si>
    <t>Effect of In Vitro Micropropagation on the Chemical, Antioxidant, and Biological Characteristics of Senecio nutans Sch. Bip., an Endemic Plant of the Atacama Desert Andean Region</t>
  </si>
  <si>
    <t>Parra, C.| Muñoz-Torres, P.| Escobar, H.| Simirgiotis, M.J.| Contreras-Contreras, G.| Ruiz-Fernández, Á.| Maulen, C.| Martínez-Cifuentes, M.| Mariotti-Celis, M.S.</t>
  </si>
  <si>
    <t>Plants</t>
  </si>
  <si>
    <t>ISSN-22237747</t>
  </si>
  <si>
    <t>7.6</t>
  </si>
  <si>
    <t>0.888</t>
  </si>
  <si>
    <t>10.3390/plants13060755</t>
  </si>
  <si>
    <t>2-s2.0-85189175737</t>
  </si>
  <si>
    <t>Universidad Austral de Chile| Universidad Finis Terrae| Universidad de Tarapacá| Universidad de Concepción</t>
  </si>
  <si>
    <t>60001282| 60030782| 60003634| 60105368| 60012442</t>
  </si>
  <si>
    <t>Universidad de Concepcion| Universidad de Tarapacá| Universidad Austral de Chile| Universidad Finis Terrae| Fundación Ciencia &amp; Vida</t>
  </si>
  <si>
    <t>Effect of trunk upward verticalization on pulmonary vascular resistance in ARDS</t>
  </si>
  <si>
    <t>Benites, M.H.| Retamal, J.</t>
  </si>
  <si>
    <t>10.1186/s13054-025-05313-x</t>
  </si>
  <si>
    <t>2-s2.0-85219634773</t>
  </si>
  <si>
    <t>Universidad Finis Terrae| Clínica Las Condes| Pontificia Universidad Católica de Chile</t>
  </si>
  <si>
    <t>60105368| 60029681| 60017912</t>
  </si>
  <si>
    <t>Universidad Finis Terrae| Pontificia Universidad Católica de Chile| Clínica Las Condes</t>
  </si>
  <si>
    <t>Solar P.</t>
  </si>
  <si>
    <t>Zn and Al vapour-phase metalation of polyamide-6 via ALD: structural, functional, and biomedical insights</t>
  </si>
  <si>
    <t>Moreno, M.| Devis, S.| Velasquez, L.| Arredondo, M.| Mariotti, D.| McGlynn, R.| Sanchéz-Ruderisch, H.| Quijada, R.| González, G.| Olguin, Y.| Solar, P.| Zacarias, A.| Gross, E.K.U.</t>
  </si>
  <si>
    <t>Journal of Materials Science</t>
  </si>
  <si>
    <t>22203-22233</t>
  </si>
  <si>
    <t>ISSN-00222461</t>
  </si>
  <si>
    <t>0.73</t>
  </si>
  <si>
    <t>10.1007/s10853-025-11168-y</t>
  </si>
  <si>
    <t>2-s2.0-105019925203</t>
  </si>
  <si>
    <t>University of Strathclyde| Universidad Internacional SEK Chile| Charité – Universitätsmedizin Berlin| Universidad Finis Terrae| Ulster University| Merseburg University of Applied Sciences| Universidad Técnica Federico Santa Maria| Universidad de Chile| Hebrew University of Jerusalem| Queen's University Belfast| Max Planck Institute of Microstructure Physics</t>
  </si>
  <si>
    <t>60077186| 60077255| 60029738| 60024724| 60020730| 60026245| 60012464| 60122504| 60007087| 60218399| 60105368| 60016239| 60007903</t>
  </si>
  <si>
    <t>Universidad SEK| Hochschule Merseburg| Queen's University Belfast| University of Strathclyde| Ulster University| Charité – Universitätsmedizin Berlin| Universidad de Chile| Facultad de Ciencias Físicas y Matemáticas de la Universidad de Chile| Universidad Técnica Federico Santa María| Centro Científico Tecnológico de Valparaíso| Universidad Finis Terrae| Max Planck Institute of Microstructure Physics| Hebrew University of Jerusalem</t>
  </si>
  <si>
    <t>Chile| United Kingdom| Israel| Germany</t>
  </si>
  <si>
    <t>Dávila C.M.</t>
  </si>
  <si>
    <t>Performing parenthood through digital communication technologies at school: the case of WhatsApp parents’ groups in Chile</t>
  </si>
  <si>
    <t>Dávila, C.M.| Prieto, I.T.</t>
  </si>
  <si>
    <t>Families, Relationships and Societies</t>
  </si>
  <si>
    <t>253-270</t>
  </si>
  <si>
    <t>ISSN-20467435</t>
  </si>
  <si>
    <t>Policy Press</t>
  </si>
  <si>
    <t>0.467</t>
  </si>
  <si>
    <t>10.1332/20467435Y2024D000000022</t>
  </si>
  <si>
    <t>2-s2.0-85196191257</t>
  </si>
  <si>
    <t>Universidad Finis Terrae| Universidad Alberto Hurtado</t>
  </si>
  <si>
    <t>60105368| 60088733</t>
  </si>
  <si>
    <t>Prieto I.T.</t>
  </si>
  <si>
    <t>Mapping Kolb's Learning Style to Roles in Software Development Team</t>
  </si>
  <si>
    <t>Hidalgo, M.| Rodriguez, K.| Astudillo, H.</t>
  </si>
  <si>
    <t>Proceedings - 2024 50th Latin American Computing Conference, CLEI 2024</t>
  </si>
  <si>
    <t>Institute of Electrical and Electronics Engineers Inc.</t>
  </si>
  <si>
    <t>10.1109/CLEI64178.2024.10700354</t>
  </si>
  <si>
    <t>2-s2.0-85207837235</t>
  </si>
  <si>
    <t>Universidad Andrés Bello| Universidad Finis Terrae| Universidad Técnica Federico Santa Maria| Universidad Técnica Nacional</t>
  </si>
  <si>
    <t>60105368| 60007087| 60189661| 60002636</t>
  </si>
  <si>
    <t>Universidad Finis Terrae| Universidad Técnica Federico Santa María| Universidad Técnica Nacional| Universidad Andrés Bello</t>
  </si>
  <si>
    <t>Chile| Costa Rica</t>
  </si>
  <si>
    <t>From Mentorship to Sponsorship in Sport Science</t>
  </si>
  <si>
    <t>Mujika, I.| Leo, P.</t>
  </si>
  <si>
    <t>221-222</t>
  </si>
  <si>
    <t>10.1123/ijspp.2023-0516</t>
  </si>
  <si>
    <t>Note</t>
  </si>
  <si>
    <t>2-s2.0-85186751610</t>
  </si>
  <si>
    <t>Adelaide University| Universidad Finis Terrae| University of Innsbruck| University of the Basque Country</t>
  </si>
  <si>
    <t>60027856| 60105368| 60031846| 60009999</t>
  </si>
  <si>
    <t>Universidad del Pais Vasco| Universidad Finis Terrae| University of South Australia| Universität Innsbruck</t>
  </si>
  <si>
    <t>Chile| Austria| Spain| Australia</t>
  </si>
  <si>
    <t>Practical recommendations for nutritional management of chronic kidney disease for stages 3 to 5 with and without dialysis for adults and the elderly in Chile</t>
  </si>
  <si>
    <t>Peña-D'ardaillon, F.| Aicardi, V.| Tiscornia, C.| Zúñiga, C.| Molina, C.| Hermosilla, P.| Vásquez, F.| Escobar, L.</t>
  </si>
  <si>
    <t>Revista Chilena de Nutricion</t>
  </si>
  <si>
    <t>63-82</t>
  </si>
  <si>
    <t>ISSN-07161549</t>
  </si>
  <si>
    <t>Sociedad Chilena de Nutricion Bromatologia y Toxilogica</t>
  </si>
  <si>
    <t>83.0</t>
  </si>
  <si>
    <t>0.188</t>
  </si>
  <si>
    <t>10.4067/s0717-75182025000100063</t>
  </si>
  <si>
    <t>2-s2.0-105007137059</t>
  </si>
  <si>
    <t>Universidad Mayor| Universidad de Santiago de Chile| Universidad Católica de la Santísima Concepción| Universidad Finis Terrae| Pontificia Universidad Católica de Chile</t>
  </si>
  <si>
    <t>60005881| 60105874| 60105368| 130554095| 60031536| 60029681| 132650546| 60023383| 106652810</t>
  </si>
  <si>
    <t>Universidad Mayor| Clínica Indisa| Universidad Finis Terrae| Fundación de Salud Renal Integral (FUSAR)| Universidad Catolica de la Santisima Concepcion| Pontificia Universidad Católica de Chile| Asociación Dializados de Chile| Universidad de Santiago de Chile| Hospital San José</t>
  </si>
  <si>
    <t>Optimal Arterial Pressure Transducer Positioning for Neurocritical Care Patients: A Review</t>
  </si>
  <si>
    <t>Giglio, A.| Pino, M.| Ferre, A.| Hasbun, P.| Aguilera, S.| Olson, D.M.| Helbok, R.| Reccius, A.</t>
  </si>
  <si>
    <t>Journal of Neurotrauma</t>
  </si>
  <si>
    <t>17-18</t>
  </si>
  <si>
    <t>1491-1499</t>
  </si>
  <si>
    <t>ISSN-08977151</t>
  </si>
  <si>
    <t>10.1089/neu.2024.0463</t>
  </si>
  <si>
    <t>2-s2.0-105009929678</t>
  </si>
  <si>
    <t>Johannes Kepler University Linz| University of Texas Southwestern Medical Center| Universidad Finis Terrae| Universidad de Valparaíso| Clínica Las Condes</t>
  </si>
  <si>
    <t>60105368| 60017912| 60008781| 131182565| 60026695| 60138332| 60021931</t>
  </si>
  <si>
    <t>Universidad Finis Terrae| Clínica Las Condes| Universidad de Valparaiso| Neurosurgery Department of Herminda Martin Hospital| UT Southwestern Medical Center| Kepler Universitätsklinikum| Johannes Kepler University Linz</t>
  </si>
  <si>
    <t>Austria| Chile| United States</t>
  </si>
  <si>
    <t>Diaz-Pizarro M.</t>
  </si>
  <si>
    <t>Creatine Supplementation Prior to Strength Exercise Training Is Not Superior in Preventing Muscle Mass Loss Compared with Standard Nutritional Recommendations in Females After Bariatric Surgery: A Pilot Study</t>
  </si>
  <si>
    <t>Diaz-Pizarro, M.| Pino-Zúñiga, J.| Gálvez, M.O.| Vesga, C.R.| Tello, R.L.| Seguro, J.C.D.| Cancino-Lopez, J.</t>
  </si>
  <si>
    <t>3755-3759</t>
  </si>
  <si>
    <t>10.1007/s11695-024-07451-7</t>
  </si>
  <si>
    <t>2-s2.0-85203352103</t>
  </si>
  <si>
    <t>60105368| 131663758</t>
  </si>
  <si>
    <t>Universidad Finis Terrae| Centro BIO</t>
  </si>
  <si>
    <t>Bopp M.-J.</t>
  </si>
  <si>
    <t>Multi-User Virtual Reality Tool for Remote Communication in Construction Projects: Bridge Maintenance Application</t>
  </si>
  <si>
    <t>Montecinos-Orellana, S.| Muñoz La Rivera, F.| Mora-Serrano, J.| Ubach, P.-A.| Bopp, M.-J.</t>
  </si>
  <si>
    <t>Systems</t>
  </si>
  <si>
    <t>ISSN-20798954</t>
  </si>
  <si>
    <t>0.643</t>
  </si>
  <si>
    <t>10.3390/systems13090789</t>
  </si>
  <si>
    <t>2-s2.0-105017236109</t>
  </si>
  <si>
    <t>Polytechnic University of Catalonia| International Center for Numerical Methods in Engineering| Pontificia Universidad Católica de Valparaíso| Universidad Finis Terrae| Generalitat de Catalunya</t>
  </si>
  <si>
    <t>60023520| 60007592| 60104172| 60105368</t>
  </si>
  <si>
    <t>Pontificia Universidad Católica de Valparaíso| Universitat Politècnica de Catalunya| Centre Internacional de Mètodes Numèrics en Enginyeria (CIMNE)| Universidad Finis Terrae</t>
  </si>
  <si>
    <t>Vergara F.V.</t>
  </si>
  <si>
    <t>Physical fitness of schoolchildren in the Metropolitan Region of Santiago: comparative analysis between types of educational establishments</t>
  </si>
  <si>
    <t>Rodríguez, G.S.| Vergara, F.V.| Osorio, S.V.| Mejías, J.T.</t>
  </si>
  <si>
    <t>155-160</t>
  </si>
  <si>
    <t>0.337</t>
  </si>
  <si>
    <t>10.47197/retos.v62.109189</t>
  </si>
  <si>
    <t>2-s2.0-85207274444</t>
  </si>
  <si>
    <t>60012464| 60105368| 60009128</t>
  </si>
  <si>
    <t>Universidad de Chile| Universidad Finis Terrae| Universidad Santo Tomas, Santiago</t>
  </si>
  <si>
    <t>Carvajal G.</t>
  </si>
  <si>
    <t>Chaitén La Pompeya (2015) by María Paz González: Absurdity, socionatural disaster and neoliberalism in Chile</t>
  </si>
  <si>
    <t>Carvajal, G.</t>
  </si>
  <si>
    <t>Latin American Theatre Review</t>
  </si>
  <si>
    <t>ISSN-00238813</t>
  </si>
  <si>
    <t>Kansas Geological Survey</t>
  </si>
  <si>
    <t>65.0</t>
  </si>
  <si>
    <t>0.101</t>
  </si>
  <si>
    <t>10.1353/ltr.2024.a931944</t>
  </si>
  <si>
    <t>2-s2.0-85198732308</t>
  </si>
  <si>
    <t>Postural and Lumbopelvic Control: Crucial Factors in the Functionality of Patients with Low Back Pain—A Descriptive Cross-Sectional Study</t>
  </si>
  <si>
    <t>Stöwhas, K.| Droppelmann, G.| Jorquera, C.| Feijoo, F.</t>
  </si>
  <si>
    <t>10.3390/jcm13133836</t>
  </si>
  <si>
    <t>2-s2.0-85198432793</t>
  </si>
  <si>
    <t>Universidad Mayor| Harvard University| Pontificia Universidad Católica de Valparaíso| Universidad Finis Terrae</t>
  </si>
  <si>
    <t>60109622| 60105368| 60032499| 60005881| 60023520</t>
  </si>
  <si>
    <t>Clinica Meds, Chile| Universidad Finis Terrae| Harvard T.H. Chan School of Public Health| Universidad Mayor| Pontificia Universidad Católica de Valparaíso</t>
  </si>
  <si>
    <t>Williams C.</t>
  </si>
  <si>
    <t>Impact of active methodologies on the learning strategies of first-year healthcare students at Finis Terrae University</t>
  </si>
  <si>
    <t>Williams, C.| López-Entrambasaguas, O.M.| Cayu, E.| Goset-Poblete, J.</t>
  </si>
  <si>
    <t>385-392</t>
  </si>
  <si>
    <t>10.1016/j.rmclc.2024.02.004</t>
  </si>
  <si>
    <t>2-s2.0-85208582406</t>
  </si>
  <si>
    <t>University of Jaén| Universidad Andrés Bello| Universidad Finis Terrae| Universidad Pedro de Valdivia</t>
  </si>
  <si>
    <t>60105368| 60086395| 60014586| 60002636</t>
  </si>
  <si>
    <t>Universidad Finis Terrae| Universidad del Alba| Universidad de Jaén| Universidad Andrés Bello</t>
  </si>
  <si>
    <t>Cayu E.</t>
  </si>
  <si>
    <t>A Systematic Review and Meta-Analysis on the Prevalence of Variants in the Pancreaticobiliary Duct Junction and Its Association with Cancer</t>
  </si>
  <si>
    <t>Valenzuela-Fuenzalida, J.J.| Beas-Gambi, A.| Matta-Leiva, J.| Martínez-Hernández, D.| Milos, D.| Orellana-Donoso, M.| Santibáñez, A.S.| Bruna-Mejias, A.| Riveros, A.S.| Becerra-Farfan, A.| Sanchis-Gimeno, J.| Gutierrez-Espinoza, H.| Bastidas-Caldes, C.</t>
  </si>
  <si>
    <t>10.3390/biomedicines13051039</t>
  </si>
  <si>
    <t>2-s2.0-105006772737</t>
  </si>
  <si>
    <t>60002636| 60105368| 60105362| 60000636| 60105370| 60002644| 60105371| 60104441</t>
  </si>
  <si>
    <t>Universidad Andrés Bello| Universidad Finis Terrae| Universidad de Las Américas Chile| Universidad San Sebastián| Universidad Bernardo O'Higgins| Universitat de València| Universidad Autónoma de Chile| Universidad de las Americas - Ecuador</t>
  </si>
  <si>
    <t>Chile| Ecuador| Spain</t>
  </si>
  <si>
    <t>Abara J.F.</t>
  </si>
  <si>
    <t>The Formation Process of the Socialist Party of Chile: A Study on the Origins of Some of Its Fundamental Definitions</t>
  </si>
  <si>
    <t>Abara, J.F.</t>
  </si>
  <si>
    <t>Estudios Publicos</t>
  </si>
  <si>
    <t>ISSN-07161115</t>
  </si>
  <si>
    <t>Public Studies Center</t>
  </si>
  <si>
    <t>10.38178/07183089/1211230605</t>
  </si>
  <si>
    <t>2-s2.0-105034655965</t>
  </si>
  <si>
    <t>Evaluating in situ Simulation in Critical Care: Insights from Healthcare Professionals [Letter]</t>
  </si>
  <si>
    <t>Giglio, A.| Ferre, A.| Garcia, J.</t>
  </si>
  <si>
    <t>Journal of Multidisciplinary Healthcare</t>
  </si>
  <si>
    <t>5271-5273</t>
  </si>
  <si>
    <t>ISSN-11782390</t>
  </si>
  <si>
    <t>0.767</t>
  </si>
  <si>
    <t>10.2147/JMDH.S531343</t>
  </si>
  <si>
    <t>2-s2.0-105014602755</t>
  </si>
  <si>
    <t>Garcia J.</t>
  </si>
  <si>
    <t>González I.</t>
  </si>
  <si>
    <t>Transcriptional activation of genes associated with the matrisome is a common feature of senescent endothelial cells</t>
  </si>
  <si>
    <t>González, I.| Arredondo, S.B.| Maldonado-Agurto, R.</t>
  </si>
  <si>
    <t>Biogerontology</t>
  </si>
  <si>
    <t>ISSN-13895729</t>
  </si>
  <si>
    <t>10.1007/s10522-025-10191-5</t>
  </si>
  <si>
    <t>2-s2.0-85218453368</t>
  </si>
  <si>
    <t>60105368| 60002636</t>
  </si>
  <si>
    <t>Universidad Finis Terrae| Universidad Andrés Bello</t>
  </si>
  <si>
    <t>Maldonado-Agurto R.</t>
  </si>
  <si>
    <t>Respiratory effects of trunk inclination in obese and non-obese patients mechanically ventilated for ARDS</t>
  </si>
  <si>
    <t>Benites, M.H.| Bihari, S.| Battiato, R.| Bruhn, A.| Bugedo, G.| Costa, E.L.V.| Dellamonica, J.| Guérin, C.| Langer, T.| Marini, J.J.| Marrazo, F.| Mezidi, M.| Selickman, J.| Wiersema, U.F.| Retamal, J.</t>
  </si>
  <si>
    <t>10.1186/s13054-025-05694-z</t>
  </si>
  <si>
    <t>2-s2.0-105020199353</t>
  </si>
  <si>
    <t>University of Milan - Bicocca| CHU de Nice| Universidade de São Paulo| Universidad Finis Terrae| Asst Grande Ospedale Metropolitano Niguarda| Clínica Las Condes| Pontificia Universidad Católica de Chile| Hospital Sirio-Libanes| Universidad Nacional de Córdoba| University of Minnesota Twin Cities| Hospices civils de Lyon| Hôpital de la Croix-Rousse| Universite Claude Bernard Lyon 1| Flinders University| Université Côte d'Azur</t>
  </si>
  <si>
    <t>60017912| 60029681| 60009418| 60105368| 60088718| 60031759| 60020828| 60189490| 60000658| 60008088| 60005896| 60110693| 60276938| 60011289| 60023578| 60012306| 60015852| 60029445| 60010942| 60012357</t>
  </si>
  <si>
    <t>Clínica Las Condes| Pontificia Universidad Católica de Chile| Facultad de Medicina| Universidad Finis Terrae| Escuela de Medicina| Flinders Medical Centre| Flinders University| College of Medicine and Public Health| Universidad Nacional de Córdoba| Universidade de São Paulo| Hospital Sirio-Libanês| Université Côte d'Azur| Unité de Recherche Clinique Côte d'Azur| Centre Hospitalier Universitaire de Nice, Hôpital Pasteur| Université Claude Bernard Lyon 1| Università degli Studi di Milano-Bicocca| Asst Grande Ospedale Metropolitano Niguarda| University of Minnesota Twin Cities| Hopital de la Croix-Rousse| CHU de Lyon</t>
  </si>
  <si>
    <t>Chile| United States| Australia| France| Italy| Brazil| Argentina</t>
  </si>
  <si>
    <t>Saenz A.</t>
  </si>
  <si>
    <t>Hyperacute silicosis after bronchoscopy-induced melanoptysis in a lung transplant patient. A first report in literature</t>
  </si>
  <si>
    <t>Saenz, A.| Dreyse, J.| Melo, J.| Giglio, A.</t>
  </si>
  <si>
    <t>Interdisciplinary Cardiovascular and Thoracic Surgery</t>
  </si>
  <si>
    <t>ISSN-2753670X</t>
  </si>
  <si>
    <t>Oxford University Press</t>
  </si>
  <si>
    <t>3.1</t>
  </si>
  <si>
    <t>0.516</t>
  </si>
  <si>
    <t>10.1093/icvts/ivaf004</t>
  </si>
  <si>
    <t>2-s2.0-85217580314</t>
  </si>
  <si>
    <t>60105368| 60017912| 60004577| 60002367</t>
  </si>
  <si>
    <t>Universidad Finis Terrae| Clínica Las Condes| Hospital Clínico San Borja Arriarán| Instituto Nacional del Tórax</t>
  </si>
  <si>
    <t>Analysis of the seasonal epidemic of respiratory viruses and respiratory syncytial virus (RSV) in 2023 in Chile compared to the pre-pandemic cohort (2015-2019)</t>
  </si>
  <si>
    <t>Díaz, F.| Carvajal, C.</t>
  </si>
  <si>
    <t>Andes Pediatrica</t>
  </si>
  <si>
    <t>13-22</t>
  </si>
  <si>
    <t>ISSN-24526053</t>
  </si>
  <si>
    <t>Sociedad Chilena de Pediatria</t>
  </si>
  <si>
    <t>68.0</t>
  </si>
  <si>
    <t>0.199</t>
  </si>
  <si>
    <t>10.32641/andespediatr.v96i1.5306</t>
  </si>
  <si>
    <t>2-s2.0-85219011365</t>
  </si>
  <si>
    <t>60281394| 60105368| 126932395</t>
  </si>
  <si>
    <t>Hospital El Carmen Dr. Luis Valentín Ferrada| Universidad Finis Terrae| LARed Network</t>
  </si>
  <si>
    <t>Hypoplastic and Congenital Absence of Coronary Arteries and Its Correlation with Clinical Implications of Cardiac Circulation: A Systematic Review and Meta-Analysis</t>
  </si>
  <si>
    <t>Bruna-Mejias, A.| del Villar-Valdebenito, J.| Roman, C.| Alcaíno-Adasme, C.| Sepulveda-Loyola, W.| Orellana-Donoso, M.| Nova-Baeza, P.| Suazo-Santibañez, A.| Becerra-Farfan, A.| Sanchis-Gimeno, J.| Valenzuela-Fuenzalida, J.J.</t>
  </si>
  <si>
    <t>10.3390/jcm13113085</t>
  </si>
  <si>
    <t>2-s2.0-85195795525</t>
  </si>
  <si>
    <t>Universidad Mayor| Universidad de las Américas - Chile| Universidad Andrés Bello| Universidad San Sebastián| University of Valencia| Universidad Finis Terrae| Universidad de Playa Ancha de Ciencias de la Educación| Universidad Bernardo O'Higgins</t>
  </si>
  <si>
    <t>60019586| 60005881| 60002636| 60105362| 60000636| 60105368| 60105370| 60002644</t>
  </si>
  <si>
    <t>Universidad de Playa Ancha| Universidad Mayor| Universidad Andrés Bello| Universidad de Las Américas Chile| Universidad San Sebastián| Universidad Finis Terrae| Universidad Bernardo O'Higgins| Universitat de València</t>
  </si>
  <si>
    <t>Orellana-Donoso M.I.</t>
  </si>
  <si>
    <t>Hepatic Hilum Variations and Their Clinical Considerations in the Liver: A Systematic Review and Meta-Analysis</t>
  </si>
  <si>
    <t>Valenzuela-Fuenzalida, J.J.| Pena-Santibañez, F.| Vergara Salinas, A.| Meneses Caroca, T.| Rojo-Gonzalez, J.| Orellana-Donoso, M.I.| Nova-Baeza, P.| Suazo-Santibañez, A.| Sanchis-Gimeno, J.| Gutierrez-Espinoza, H.</t>
  </si>
  <si>
    <t>Life</t>
  </si>
  <si>
    <t>ISSN-20751729</t>
  </si>
  <si>
    <t>0.824</t>
  </si>
  <si>
    <t>10.3390/life14101301</t>
  </si>
  <si>
    <t>2-s2.0-85207676879</t>
  </si>
  <si>
    <t>Universidad de las Américas - Chile| Universidad de las Américas - Ecuador| Universidad Andrés Bello| Universidad San Sebastián| University of Valencia| Universidad Finis Terrae| Universidad Bernardo O'Higgins</t>
  </si>
  <si>
    <t>60002636| 60105370| 60105368| 60000636| 60105362| 60002644| 60104441</t>
  </si>
  <si>
    <t>Universidad Andrés Bello| Universidad Bernardo O'Higgins| Universidad Finis Terrae| Universidad San Sebastián| Universidad de Las Américas Chile| Universitat de València| Universidad de las Americas - Ecuador</t>
  </si>
  <si>
    <t>Vergara K.</t>
  </si>
  <si>
    <t>National epidemiological analysis of lupus in Chile: A registry-based study from 2013 to 2024</t>
  </si>
  <si>
    <t>Vergara, K.| Ramirez, P.| Handrujovicz, I.| Giglio, A.</t>
  </si>
  <si>
    <t>Lupus</t>
  </si>
  <si>
    <t>ISSN-09612033</t>
  </si>
  <si>
    <t>49.0</t>
  </si>
  <si>
    <t>0.657</t>
  </si>
  <si>
    <t>10.1177/09612033251390607</t>
  </si>
  <si>
    <t>2-s2.0-105019250134</t>
  </si>
  <si>
    <t>60017912| 60105368| 60025321| 130262327</t>
  </si>
  <si>
    <t>Clínica Las Condes| Universidad Finis Terrae| Hospital Dr. Sotero del Rio| Independent Scholar</t>
  </si>
  <si>
    <t>The Gastric Vein Variants: An Evidence-Based Systematic Review of Prevalence and Clinical Considerations</t>
  </si>
  <si>
    <t>Bruna-Mejias, A.| Salgado-Torres, C.| Cáceres-Gálvez, C.| Rodriguez-Osorio, B.| Orellana-Donoso, M.| Nova-Baeza, P.| Suazo-Santibañez, A.| Oyanedel-Amaro, G.| Sanchis-Gimeno, J.| Piagkou, M.| Triantafyllou, G.| Konschake, M.| Valenzuela-Fuenzalida, J.J.</t>
  </si>
  <si>
    <t>10.3390/jcm14113630</t>
  </si>
  <si>
    <t>2-s2.0-105007922570</t>
  </si>
  <si>
    <t>Innsbruck Medical University| Universidad de las Américas - Chile| Universidad Andrés Bello| Universidad Autónoma de Chile| Universidad San Sebastián| University of Valencia| Universidad Finis Terrae| National and Kapodistrian University of Athens| Universidad de Playa Ancha de Ciencias de la Educación</t>
  </si>
  <si>
    <t>60019586| 60002636| 60105368| 60000636| 60105362| 60105371| 60002644| 60028900| 60067083| 60008222</t>
  </si>
  <si>
    <t>Universidad de Playa Ancha| Universidad Andrés Bello| Universidad Finis Terrae| Universidad San Sebastián| Universidad de Las Américas Chile| Universidad Autónoma de Chile| Universitat de València| National and Kapodistrian University of Athens| School of Medicine| Medizinische Universitat Innsbruck</t>
  </si>
  <si>
    <t>Austria| Chile| Spain| Greece</t>
  </si>
  <si>
    <t>Cortina A.H.</t>
  </si>
  <si>
    <t>Criteria for Designating a Health Care Facility as a Teaching Institution: An Analysis of International Regulations and Practices</t>
  </si>
  <si>
    <t>Stuardo, P.D.| Cortina, A.H.| Soto-Suazo, M.</t>
  </si>
  <si>
    <t>Revista Medica de Chile</t>
  </si>
  <si>
    <t>382-394</t>
  </si>
  <si>
    <t>ISSN-00349887</t>
  </si>
  <si>
    <t>Sociedad Medica de Santiago</t>
  </si>
  <si>
    <t>0.226</t>
  </si>
  <si>
    <t>10.4067/s0034-98872024000300382</t>
  </si>
  <si>
    <t>2-s2.0-85206800319</t>
  </si>
  <si>
    <t>Soto-Suazo M.</t>
  </si>
  <si>
    <t>Muscle-specific AXIN1 and AXIN2 double knockout does not alter AMPK/mTORC1 signalling or glucose metabolism</t>
  </si>
  <si>
    <t>Persson, K.W.| Meneses-Valdés, R.| Andersen, N.R.| Pedersen, F.S.| Gallero, S.| Hesselager, S.A.| Henriquez-Olguin, C.| Jensen, T.E.</t>
  </si>
  <si>
    <t>3961-3971</t>
  </si>
  <si>
    <t>10.1113/JP288854</t>
  </si>
  <si>
    <t>2-s2.0-105009525406</t>
  </si>
  <si>
    <t>Effective Teaching Strategies for Large Classes: A Case Study in Software Architecture Education</t>
  </si>
  <si>
    <t>Castro, L.M.| Hidalgo, M.| Astudillo, H.</t>
  </si>
  <si>
    <t>Proceedings of the 2024 the 16th International Conference on Education Technology and Computers, ICETC 2024</t>
  </si>
  <si>
    <t>199-205</t>
  </si>
  <si>
    <t>Association for Computing Machinery, Inc</t>
  </si>
  <si>
    <t>10.1145/3702163.3702414</t>
  </si>
  <si>
    <t>2-s2.0-85218051245</t>
  </si>
  <si>
    <t>Universidad Andrés Bello| Universidad Finis Terrae| University of A Coruna</t>
  </si>
  <si>
    <t>60023610| 60105368| 60002636</t>
  </si>
  <si>
    <t>Universidade da Coruña| Universidad Finis Terrae| Universidad Andrés Bello</t>
  </si>
  <si>
    <t>Longitudinal changes in striatocortical connectivity in first-episode psychosis associated with the emergence of treatment resistance</t>
  </si>
  <si>
    <t>Tepper, A.| Vásquez, J.| Díaz Dellarossa, C.| Ramirez-Mahaluf, J.P.| Aguirre, J.| Barbagelata, D.| Aceituno, D.| Undurraga, J.| Nachar, R.| Mena, C.| McCutcheon, R.A.| McGuire, P.| Gonzalez-Valderrama, A.| Crossley, N.A.</t>
  </si>
  <si>
    <t>Schizophrenia</t>
  </si>
  <si>
    <t>ISSN-27546993</t>
  </si>
  <si>
    <t>10.1038/s41537-025-00653-7</t>
  </si>
  <si>
    <t>2-s2.0-105013392942</t>
  </si>
  <si>
    <t>Universidad de Antioquia| Universidad del Desarrollo| Universidad Finis Terrae| University of Oxford| King's College London| Oxford Health NHS Foundation Trust| Clínica Alemana de Santiago| Pontificia Universidad Católica de Chile</t>
  </si>
  <si>
    <t>60029681| 60105879| 60000146| 60006469| 60105368| 60026851| 60002634| 60116889| 60011520| 60055833</t>
  </si>
  <si>
    <t>Pontificia Universidad Católica de Chile| Instituto Psiquiatrico Dr. Jose Horwitz Barak| Clinica Alemana| Universidad del Desarrollo| Universidad Finis Terrae| University of Oxford| University of Oxford Medical Sciences Division| Oxford Health NHS Foundation Trust| King's College London| Universidad de Antioquia</t>
  </si>
  <si>
    <t>Esis Villarroel I.S.</t>
  </si>
  <si>
    <t>The social function as a limit of property right: brief analysis in the light of the jurisprudence of the Chilean Constitutional Court and the Supreme Court and international investment arbitral awards</t>
  </si>
  <si>
    <t>Estay, J.I.M.| Esis Villarroel, I.S.| Krause, F.M.</t>
  </si>
  <si>
    <t>A e C - Revista de Direito Administrativo e Constitucional</t>
  </si>
  <si>
    <t>ISSN-15163210</t>
  </si>
  <si>
    <t>Instituto de Direito Romeu Felipe Bacellar</t>
  </si>
  <si>
    <t>44.0</t>
  </si>
  <si>
    <t>0.558</t>
  </si>
  <si>
    <t>10.21056/aec.v25i100.2010</t>
  </si>
  <si>
    <t>2-s2.0-105015052328</t>
  </si>
  <si>
    <t>Universidad de los Andes Chile| Universidad Finis Terrae| Universidad Católica del Maule</t>
  </si>
  <si>
    <t>60011284| 60105368| 60009462</t>
  </si>
  <si>
    <t>Universidad de los Andes, Chile| Universidad Finis Terrae| Universidad Católica del Maule</t>
  </si>
  <si>
    <t>López-Arana S.</t>
  </si>
  <si>
    <t>Assessing the Alignment of Chilean Food-Based Dietary Guidelines on Cancer Prevention: A Content Analysis</t>
  </si>
  <si>
    <t>Ortega-Guzmán, A.| Parra-Soto, S.| Vega-Salas, M.J.| Rodríguez-Osiac, L.| López-Arana, S.</t>
  </si>
  <si>
    <t>Healthcare (Switzerland)</t>
  </si>
  <si>
    <t>ISSN-22279032</t>
  </si>
  <si>
    <t>0.86</t>
  </si>
  <si>
    <t>10.3390/healthcare13101133</t>
  </si>
  <si>
    <t>2-s2.0-105006432616</t>
  </si>
  <si>
    <t>Universidad del Bío-Bío| Universidad Autónoma de Chile| Universidad Finis Terrae| Universidad de Chile| Pontificia Universidad Católica de Chile</t>
  </si>
  <si>
    <t>60105371| 60023195| 132620901| 60029681| 60009418| 60012464| 60105368</t>
  </si>
  <si>
    <t>Universidad Autónoma de Chile| Universidad del Bio Bio| Center for Cancer Prevention and Control (CECAN)| Pontificia Universidad Católica de Chile| Facultad de Medicina| Universidad de Chile| Universidad Finis Terrae</t>
  </si>
  <si>
    <t>Lang M.</t>
  </si>
  <si>
    <t>Effects of Exercise on Cardiovascular and Metabolic Responses in Adults and Childhood Cancer Survivors: The Role of NETosis and Low-Grade Inflammation as a Novel Therapeutic Target—A Narrative Review</t>
  </si>
  <si>
    <t>Castillo, R.L.| Figueroa, E.G.| González-Candia, A.| del Campo, A.| Paris, C.| Verdugo, F.| Lang, M.| Cruz-Montecinos, C.| Quezada, M.| Pérez, R.A.| Armijo, M.| Acevedo, P.| Carrasco, R.</t>
  </si>
  <si>
    <t>10.3390/ijms262210843</t>
  </si>
  <si>
    <t>2-s2.0-105023068352</t>
  </si>
  <si>
    <t>Universidad de O'Higgins| Universidad de los Andes Chile| University of Zurich| Universidad San Sebastián| Hospital del Salvador| Universidad Finis Terrae| Universidad de Chile| Pontificia Universidad Católica de Chile</t>
  </si>
  <si>
    <t>60002946| 60012464| 60006634| 60000636| 60157974| 60029681| 60033076| 60105368| 60011284| 60046874| 60019619| 60012614</t>
  </si>
  <si>
    <t>Facultad de Medicina de la Universidad de Chile| Universidad de Chile| Hospital del Salvador| Universidad San Sebastián| Universidad de O’Higgins| Pontificia Universidad Católica de Chile| Hospital Dr. Luis Calvo Mackenna Hospital| Universidad Finis Terrae| Universidad de los Andes, Chile| Universitätsspital Zürich, Klinik für Kardiologie| UniversitatsSpital Zurich| Universität Zürich</t>
  </si>
  <si>
    <t>Effects of Physical Activity, Exercise and Sport on Executive Function in Adults Diagnosed with Attention Deficit Hyperactivity Disorder: A Systematic Review</t>
  </si>
  <si>
    <t>Hernández Ahumada, J.| Montalva-Valenzuela, F.| Garrido Chacón, S.| Jara-Donoso, A.| Garces Rivas, N.| Ferrari, G.| Castillo-Paredes, A.</t>
  </si>
  <si>
    <t>10.3390/psychiatryint6040120</t>
  </si>
  <si>
    <t>2-s2.0-105025676736</t>
  </si>
  <si>
    <t>Universidad de Santiago de Chile| Universidad Autónoma de Chile| Universidad Finis Terrae</t>
  </si>
  <si>
    <t>60023383| 60105368| 60105371</t>
  </si>
  <si>
    <t>Universidad de Santiago de Chile| Universidad Finis Terrae| Universidad Autónoma de Chile</t>
  </si>
  <si>
    <t>Critical Asthma in Infancy and Toddlers: How Can We Mechanically Discriminate From Critical Bronchiolitis?</t>
  </si>
  <si>
    <t>Cruces, P.| Alcántar, V.| Caviedes, P.| Díaz, F.</t>
  </si>
  <si>
    <t>Pediatric Pulmonology</t>
  </si>
  <si>
    <t>ISSN-87556863</t>
  </si>
  <si>
    <t>10.1002/ppul.27386</t>
  </si>
  <si>
    <t>2-s2.0-85208177034</t>
  </si>
  <si>
    <t>60281394| 60002636| 60281764| 122864073| 60105368</t>
  </si>
  <si>
    <t>Hospital El Carmen Dr. Luis Valentín Ferrada| Universidad Andrés Bello| Facultad de Ciencias de la Vida| Red Colaborativa Pediátrica de Latinoamérica (LARed Network)| Universidad Finis Terrae</t>
  </si>
  <si>
    <t>Is PTSD symptomatology a mechanism of emotional regulation? Insights from an interdisciplinary point of view</t>
  </si>
  <si>
    <t>Rojas-Saffie, J.P.| Álamos-Vial, N.| Pinzón-Merchán, M.</t>
  </si>
  <si>
    <t>10.3389/fpsyg.2024.1454900</t>
  </si>
  <si>
    <t>2-s2.0-85216695257</t>
  </si>
  <si>
    <t>Álamos-Vial N.</t>
  </si>
  <si>
    <t>Pinzón-Merchán M.</t>
  </si>
  <si>
    <t>Moya P.</t>
  </si>
  <si>
    <t>Emergency care for suicidal ideation in Chile, period 2020 to 2022</t>
  </si>
  <si>
    <t>Moya, P.| Toro, C.| Vidal, C.| Sierra, S.</t>
  </si>
  <si>
    <t>520-527</t>
  </si>
  <si>
    <t>10.1016/j.rmclc.2024.08.006</t>
  </si>
  <si>
    <t>2-s2.0-85208595172</t>
  </si>
  <si>
    <t>Cavada Chacón G.</t>
  </si>
  <si>
    <t>Epidemiology of the COVID-19 pandemic in chilean children and cdolescents</t>
  </si>
  <si>
    <t>Cavada Chacón, G.| Herrera Gana, A.M.| Horna Campos, O.</t>
  </si>
  <si>
    <t>253-261</t>
  </si>
  <si>
    <t>10.4067/s0034-98872024000200253</t>
  </si>
  <si>
    <t>2-s2.0-85204486796</t>
  </si>
  <si>
    <t>60002946| 60012464| 60105368| 60022810| 60011284</t>
  </si>
  <si>
    <t>Facultad de Medicina de la Universidad de Chile| Universidad de Chile| Universidad Finis Terrae| Clinica Santa Maria| Universidad de los Andes, Chile</t>
  </si>
  <si>
    <t>Horna Campos O.</t>
  </si>
  <si>
    <t>Figueroa-Moya D.</t>
  </si>
  <si>
    <t>Comprehensive Sexual Education in Early Childhood: a necessary approach for the social organization of care</t>
  </si>
  <si>
    <t>Rodríguez-Parra, M.| Guerra-Zamora, P.| Figueroa-Moya, D.| Contreras-Contreras, J.| Poblete-Nuñez, X.</t>
  </si>
  <si>
    <t>Praxis Educativa</t>
  </si>
  <si>
    <t>ISSN-18094031</t>
  </si>
  <si>
    <t>Universidade Estadual de Ponta Grossa, Editora</t>
  </si>
  <si>
    <t>English| Portuguese| Spanish</t>
  </si>
  <si>
    <t>0.8</t>
  </si>
  <si>
    <t>0.171</t>
  </si>
  <si>
    <t>10.5212/PraxEduc.v.20.24620.068</t>
  </si>
  <si>
    <t>2-s2.0-105019930683</t>
  </si>
  <si>
    <t>Universidad Católica Silva Henríquez| Universidad Finis Terrae| Pontificia Universidad Católica de Chile</t>
  </si>
  <si>
    <t>133309412| 60105381| 60105368| 60029681| 133309110</t>
  </si>
  <si>
    <t>Universidad de Las Américas| Universidad Católica Silva Henríquez| Universidad Finis Terrae| Pontificia Universidad Católica de Chile| Universidad Andrés Bello</t>
  </si>
  <si>
    <t>Infectious morbidity and white blood cell count associated with grade repetition and school absenteeism</t>
  </si>
  <si>
    <t>Villamor, E.| Beer, R.J.| Seeley, A.L.| López-Arana, S.| Marín, C.| Mora-Plazas, M.</t>
  </si>
  <si>
    <t>Acta Paediatrica, International Journal of Paediatrics</t>
  </si>
  <si>
    <t>954-963</t>
  </si>
  <si>
    <t>ISSN-08035253</t>
  </si>
  <si>
    <t>0.675</t>
  </si>
  <si>
    <t>10.1111/apa.17513</t>
  </si>
  <si>
    <t>2-s2.0-85209768147</t>
  </si>
  <si>
    <t>Universidad de la Sabana| Universidad Finis Terrae| University of Michigan, Ann Arbor</t>
  </si>
  <si>
    <t>60016660| 60105368| 60087109| 115199773</t>
  </si>
  <si>
    <t>University of Michigan School of Public Health| Universidad Finis Terrae| Universidad de La Sabana| Foundation for Research in Nutrition and Health</t>
  </si>
  <si>
    <t>Chile| United States| Colombia</t>
  </si>
  <si>
    <t>c-Abl/TFEB Pathway Activation as a Common Pathogenic Mechanism in Lysosomal Storage Diseases: Therapeutic Potential of c-Abl Inhibitors</t>
  </si>
  <si>
    <t>Guerra, M.V.| Castro, J.| Moreno, A.| Balboa, E.| Marugan, J.J.| Alvarez, A.R.| Zanlungo, S.</t>
  </si>
  <si>
    <t>10.3390/antiox14050611</t>
  </si>
  <si>
    <t>2-s2.0-105006560342</t>
  </si>
  <si>
    <t>National Institutes of Health| Ministerio de Planificación, Chile| Universidad Finis Terrae| Pontificia Universidad Católica de Chile</t>
  </si>
  <si>
    <t>60029681| 60105368| 60006577| 60281450</t>
  </si>
  <si>
    <t>Pontificia Universidad Católica de Chile| Universidad Finis Terrae| National Institutes of Health (NIH)| Instituto Milenio en Inmunología e Inmunoterapia</t>
  </si>
  <si>
    <t>Allende-Valenzuela T.</t>
  </si>
  <si>
    <t>Adapting the Multilingual Assessment Instrument for Narratives (MAIN) to Chilean Spanish</t>
  </si>
  <si>
    <t>Iturra-Osorio, D.| Camus Torres, A.| Allende-Valenzuela, T.| Aznar, M.A.</t>
  </si>
  <si>
    <t>Revista de Investigacion en Logopedia</t>
  </si>
  <si>
    <t>ISSN-21745218</t>
  </si>
  <si>
    <t>Universidad de Castilla la Mancha</t>
  </si>
  <si>
    <t>43.0</t>
  </si>
  <si>
    <t>0.169</t>
  </si>
  <si>
    <t>10.5209/rlog.95051</t>
  </si>
  <si>
    <t>2-s2.0-85215378071</t>
  </si>
  <si>
    <t>Autonomous University of Barcelona| Universidad San Sebastián| Universidad Católica Silva Henríquez| Universidad Finis Terrae</t>
  </si>
  <si>
    <t>60105381| 60023020| 60000636| 60105368</t>
  </si>
  <si>
    <t>Universidad Católica Silva Henríquez| Universitat Autònoma de Barcelona| Universidad San Sebastián| Universidad Finis Terrae</t>
  </si>
  <si>
    <t>Estimating Muscle Fiber-Type Composition in Elite Athletes: A Survey on Current Practices and Perceived Merit</t>
  </si>
  <si>
    <t>Lievens, E.| Van de Casteele, F.| De Block, F.| Van Vossel, K.| Vandenbogaerde, T.| Sandford, G.N.| Bellinger, P.| Minahan, C.| Bourgois, J.G.| Stellingwerff, T.| Mujika, I.| Derave, W.</t>
  </si>
  <si>
    <t>1197-1208</t>
  </si>
  <si>
    <t>10.1123/ijspp.2024-0043</t>
  </si>
  <si>
    <t>2-s2.0-85206696642</t>
  </si>
  <si>
    <t>University of Victoria BC| Griffith University Queensland| Universidad Finis Terrae| Australian Sports Commission| Canadian Sport Institute Pacific| Ghent University| University of the Basque Country</t>
  </si>
  <si>
    <t>60033316| 60120209| 60032987| 60010050| 60020811| 60003122| 60027856| 60105368</t>
  </si>
  <si>
    <t>Universiteit Gent| Canadian Sport Institute Pacific (Institut Canadien du Sport Pacifique)| Griffith University| Australian Institute of Sport| Australian Sports Commission| University of Victoria| Universidad del Pais Vasco| Universidad Finis Terrae</t>
  </si>
  <si>
    <t>Belgium| Chile| Spain| Australia| Canada</t>
  </si>
  <si>
    <t>Nieto I.</t>
  </si>
  <si>
    <t>The Art-Science Symbiosis</t>
  </si>
  <si>
    <t>Velasco, M.| Nieto, I.</t>
  </si>
  <si>
    <t>1-167</t>
  </si>
  <si>
    <t>Springer International Publishing</t>
  </si>
  <si>
    <t>10.1007/978-3-031-47404-0</t>
  </si>
  <si>
    <t>Book</t>
  </si>
  <si>
    <t>2-s2.0-85205188981</t>
  </si>
  <si>
    <t>120491163| 60105368</t>
  </si>
  <si>
    <t>Fundación Arte+Ciencia| Universidad Finis Terrae</t>
  </si>
  <si>
    <t>Very old patients in the ICU in Latin America: A narrative review</t>
  </si>
  <si>
    <t>Giglio, A.| Barrientos, J.| Ferre, A.| Salech, F.</t>
  </si>
  <si>
    <t>Revista Espanola de Geriatria y Gerontologia</t>
  </si>
  <si>
    <t>ISSN-0211139X</t>
  </si>
  <si>
    <t>0.195</t>
  </si>
  <si>
    <t>10.1016/j.regg.2024.101560</t>
  </si>
  <si>
    <t>2-s2.0-85205816233</t>
  </si>
  <si>
    <t>Universidad Finis Terrae| Universidad de Chile| Clínica Las Condes</t>
  </si>
  <si>
    <t>60017912| 60105368| 60011682| 131760852</t>
  </si>
  <si>
    <t>Clínica Las Condes| Universidad Finis Terrae| Hospital Clínico Universidad De Chile| GERO</t>
  </si>
  <si>
    <t>Barrientos J.</t>
  </si>
  <si>
    <t>Sexual Dimorphism in the Atlas Vertebra of Normal and Overweight Patients with its Possible Surgical Implications</t>
  </si>
  <si>
    <t>Çini, N.T.| Orellana-Donoso, M.| Granite, G.| Nova-Baeza, P.| Mata-Escolano, F.| Blanco-Perez, E.| Valenzuela-Fuenzalida, J.J.| Piagkou, M.| Triantafyllou, G.| Konschake, M.| Sanchis-Gimeno, J.A.</t>
  </si>
  <si>
    <t>10.1016/j.wneu.2025.124531</t>
  </si>
  <si>
    <t>2-s2.0-105020835214</t>
  </si>
  <si>
    <t>Innsbruck Medical University| Universidad Andrés Bello| University of Valencia| Universidad Finis Terrae| Uniformed Services University of the Health Sciences| National and Kapodistrian University of Athens| Bilecik Seyh Edebali University</t>
  </si>
  <si>
    <t>60104516| 60002636| 60105368| 60279370| 60006762| 133337223| 60029496| 60067083| 60028900| 132785173| 60008222| 60002644</t>
  </si>
  <si>
    <t>Bilecik Şeyh Edebali Üniversitesi| Universidad Andrés Bello| Universidad Finis Terrae| F. Edward Hebert School of Medicine| Uniformed Services University of the Health Sciences| ASCIRES CT and MRI Unit| Hospital de la Ribera| School of Medicine| National and Kapodistrian University of Athens| Masovian Academy in Plock| Medizinische Universitat Innsbruck| Universitat de València</t>
  </si>
  <si>
    <t>Austria| Chile| Spain| Poland| United States| Turkey| Greece</t>
  </si>
  <si>
    <t>Sánchez-Duque C.</t>
  </si>
  <si>
    <t>Puppetry with Objects as an Educational Strategy on Identity and Gender Equality in Primary Education</t>
  </si>
  <si>
    <t>Sánchez-Duque, C.| Barros-Rodríguez, F.</t>
  </si>
  <si>
    <t>International Journal of Education and the Arts</t>
  </si>
  <si>
    <t>ISSN-15298094</t>
  </si>
  <si>
    <t>Pennsylvania State University Libraries</t>
  </si>
  <si>
    <t>0.308</t>
  </si>
  <si>
    <t>10.26209/ijea26n1</t>
  </si>
  <si>
    <t>2-s2.0-105033394702</t>
  </si>
  <si>
    <t>Universidad Finis Terrae| University of Granada</t>
  </si>
  <si>
    <t>60105368| 60027844</t>
  </si>
  <si>
    <t>Universidad Finis Terrae| Universidad de Granada</t>
  </si>
  <si>
    <t>Environmental policies on the systematic risk of critical metals companies</t>
  </si>
  <si>
    <t>10.7</t>
  </si>
  <si>
    <t>10.1016/j.frl.2024.106052</t>
  </si>
  <si>
    <t>2-s2.0-85203438784</t>
  </si>
  <si>
    <t>Submaximal Accentuated Eccentric Jump Training Improves Punching Performance and Countermovement Jump Force–Time Variables in Amateur Boxers</t>
  </si>
  <si>
    <t>Sánchez-Ramírez, C.| Cid-Calfucura, I.| Hernandez-Martinez, J.| Cancino-López, J.| Aedo-Muñoz, E.| Valdés-Badilla, P.| Franchini, E.| García-García, J.M.| Calvo-Rico, B.| Abián-Vicén, J.| Herrera-Valenzuela, T.</t>
  </si>
  <si>
    <t>Applied Sciences (Switzerland)</t>
  </si>
  <si>
    <t>ISSN-20763417</t>
  </si>
  <si>
    <t>0.555</t>
  </si>
  <si>
    <t>10.3390/app15147873</t>
  </si>
  <si>
    <t>2-s2.0-105011706421</t>
  </si>
  <si>
    <t>Universidad Viña del Mar| Universidad de Santiago de Chile| Universidad de Los Lagos| Universidad Finis Terrae| Universidade de São Paulo| Universidad de La Serena| University of Castilla-La Mancha| Universidad Católica del Maule</t>
  </si>
  <si>
    <t>60023383| 60007572| 60016754| 60105368| 60009462| 60033240| 60008088| 60000823</t>
  </si>
  <si>
    <t>Universidad de Santiago de Chile| Universidad de Los Lagos| Universidad de La Serena| Universidad Finis Terrae| Universidad Católica del Maule| Universidad Viña del Mar| Universidade de São Paulo| Universidad de Castilla-La Mancha</t>
  </si>
  <si>
    <t>Early Development of the Thalamo-Pallial Stage of the Tectofugal Visual Pathway in the Chicken (Gallus gallus)</t>
  </si>
  <si>
    <t>Reyes-Pinto, R.| Rojas, M.-J.| Letelier, J.-C.| Marín, G.J.| Mpodozis, J.</t>
  </si>
  <si>
    <t>Journal of Comparative Neurology</t>
  </si>
  <si>
    <t>ISSN-00219967</t>
  </si>
  <si>
    <t>10.1002/cne.25657</t>
  </si>
  <si>
    <t>2-s2.0-85198050650</t>
  </si>
  <si>
    <t>Universidad Mayor| Universidad Finis Terrae| Universidad de Chile</t>
  </si>
  <si>
    <t>60012464| 60005881| 60105368</t>
  </si>
  <si>
    <t>Universidad de Chile| Universidad Mayor| Universidad Finis Terrae</t>
  </si>
  <si>
    <t>Managerialism and Academics Identities in Chilean Universities: A Case of Study</t>
  </si>
  <si>
    <t>Labraña, J.| Puyol, F.| Brunner, J.J.| Alarcón, M.</t>
  </si>
  <si>
    <t>1.6</t>
  </si>
  <si>
    <t>0.363</t>
  </si>
  <si>
    <t>10.7764/PEL.61.3.2024.4</t>
  </si>
  <si>
    <t>2-s2.0-85217219280</t>
  </si>
  <si>
    <t>Universidad Diego Portales| Universidad Finis Terrae| Universidad de Tarapacá</t>
  </si>
  <si>
    <t>60030782| 60105368| 60013592</t>
  </si>
  <si>
    <t>Universidad de Tarapacá| Universidad Finis Terrae| Universidad Diego Portales</t>
  </si>
  <si>
    <t>When Ethics Meet Socrates in Critical Care</t>
  </si>
  <si>
    <t>Pedreros, C.| Saenz, A.| Ferre, A.| Giglio, A.</t>
  </si>
  <si>
    <t>e1340-e1341</t>
  </si>
  <si>
    <t>10.1097/CCM.0000000000006634</t>
  </si>
  <si>
    <t>2-s2.0-105007292368</t>
  </si>
  <si>
    <t>Zaio Á.</t>
  </si>
  <si>
    <t>Detraining’s Effects on Cardiorespiratory Fitness and Maximal and Explosive Strength in Army Soldiers: Does Age Matter?</t>
  </si>
  <si>
    <t>Arce-Álvarez, A.| Zaio, Á.| Salazar-Ardiles, C.| Álvarez, C.| Merino-Muñoz, P.| Vasquez-Muñoz, M.| Izquierdo, M.| Castro, M.| Andrade, D.C.</t>
  </si>
  <si>
    <t>Sports</t>
  </si>
  <si>
    <t>ISSN-20754663</t>
  </si>
  <si>
    <t>0.922</t>
  </si>
  <si>
    <t>10.3390/sports12070183</t>
  </si>
  <si>
    <t>2-s2.0-85199900489</t>
  </si>
  <si>
    <t>Navarra Medical Research Institute| Universidad de Antofagasta| Universidad Mayor| Navarrabiomed| Universidade Federal do Rio de Janeiro| Universidad Andrés Bello| Universidad San Sebastián| Universidad Finis Terrae| Hospital Universitario de Navarra| Universidad Adventista de Chile| Public University of Navarre</t>
  </si>
  <si>
    <t>60000636| 60105368| 60011527| 60002636| 60105372| 60000036| 60005881| 60281060| 60268180| 60033019| 60267265</t>
  </si>
  <si>
    <t>Universidad San Sebastián| Universidad Finis Terrae| Universidad de Antofagasta| Universidad Andrés Bello| Universidad Adventista de Chile| Universidade Federal do Rio de Janeiro| Universidad Mayor| Hospital Universitario de Navarra| Navarrabiomed| Universidad Pública de Navarra (UPNA)| Instituto de Investigación Sanitaria de Navarra</t>
  </si>
  <si>
    <t>Negative Sampling for Triplet-Based Loss: Improving Representation in Self-supervised Representation Learning</t>
  </si>
  <si>
    <t>Goyo, M.A.| Hidalgo, M.</t>
  </si>
  <si>
    <t>133-147</t>
  </si>
  <si>
    <t>ISSN-03029743</t>
  </si>
  <si>
    <t>0.393</t>
  </si>
  <si>
    <t>10.1007/978-3-031-76607-7_10</t>
  </si>
  <si>
    <t>2-s2.0-85210247504</t>
  </si>
  <si>
    <t>Universidad Finis Terrae| Universidad Técnica Federico Santa Maria</t>
  </si>
  <si>
    <t>60007087| 60105368</t>
  </si>
  <si>
    <t>Universidad Técnica Federico Santa María| Universidad Finis Terrae</t>
  </si>
  <si>
    <t>González J.H.</t>
  </si>
  <si>
    <t>The forgotten history of Alzheimer’s: remembering Oskar Fischer</t>
  </si>
  <si>
    <t>Sánchez, G.V.| Rátiva, N.H.| González, J.H.| Ramos, T.F.| Miranda, C.B.| León, T.R.</t>
  </si>
  <si>
    <t>Revista Chilena de Neuro-Psiquiatria</t>
  </si>
  <si>
    <t>82-88</t>
  </si>
  <si>
    <t>ISSN-00347388</t>
  </si>
  <si>
    <t>Sociedad de Neurologia Psiquiatria y Neurocirugia</t>
  </si>
  <si>
    <t>0.4</t>
  </si>
  <si>
    <t>87.0</t>
  </si>
  <si>
    <t>0.131</t>
  </si>
  <si>
    <t>10.4067/s0717-922720240001000682</t>
  </si>
  <si>
    <t>2-s2.0-85200145776</t>
  </si>
  <si>
    <t>Universidad Libre| Hospital del Salvador| Universidad Finis Terrae| Universidad del Valle</t>
  </si>
  <si>
    <t>60104967| 60105368| 60006634| 131516049| 60066812| 131516073| 131516178</t>
  </si>
  <si>
    <t>Universidad Libre| Universidad Finis Terrae| Hospital del Salvador| Global Brain Health Institute| Universidad del Valle, Cali| GDT Demencia| GDT Psicogeriatría</t>
  </si>
  <si>
    <t>Ramos T.F.</t>
  </si>
  <si>
    <t>Severe osmotic demyelination syndrome with cortical involvement in the context of severe hyponatremia and central diabetes insipidus: an uncommon presentation of an unusual combination</t>
  </si>
  <si>
    <t>Giglio, A.| Reccius, A.| Ferre, A.| Dreyse, J.</t>
  </si>
  <si>
    <t>BMJ Case Reports</t>
  </si>
  <si>
    <t>ISSN-1757790X</t>
  </si>
  <si>
    <t>0.219</t>
  </si>
  <si>
    <t>10.1136/bcr-2023-257210</t>
  </si>
  <si>
    <t>2-s2.0-85181776321</t>
  </si>
  <si>
    <t>Prevalence and Determinants of Energy Drink Consumption Among Chilean Adolescents</t>
  </si>
  <si>
    <t>López-Arana, S.| Bustos-Arriagada, E.</t>
  </si>
  <si>
    <t>10.3390/nu17213481</t>
  </si>
  <si>
    <t>2-s2.0-105021446355</t>
  </si>
  <si>
    <t>Mathematical model for the plastic flow and ductile fracture of polycrystalline solids</t>
  </si>
  <si>
    <t>Lagos, M.| Retamal, C.| Valle, R.| Paredes, R.</t>
  </si>
  <si>
    <t>Heliyon</t>
  </si>
  <si>
    <t>ISSN-24058440</t>
  </si>
  <si>
    <t>0.644</t>
  </si>
  <si>
    <t>10.1016/j.heliyon.2024.e25348</t>
  </si>
  <si>
    <t>2-s2.0-85184054027</t>
  </si>
  <si>
    <t>Universidad de Talca| Universidad Finis Terrae</t>
  </si>
  <si>
    <t>60016278| 60105368</t>
  </si>
  <si>
    <t>Aqueveque-Muñoz C.</t>
  </si>
  <si>
    <t>Violence and discrimination against teachers: analysis of pre-and post-pandemic complaints in the Chilean school system</t>
  </si>
  <si>
    <t>Aqueveque-Muñoz, C.| Cárceles-Uribe, F.| Maureira-Sánchez, J.</t>
  </si>
  <si>
    <t>European Public and Social Innovation Review</t>
  </si>
  <si>
    <t>ISSN-25299824</t>
  </si>
  <si>
    <t>HISIN (History of Information Systems)</t>
  </si>
  <si>
    <t>10.31637/epsir-2025-1767</t>
  </si>
  <si>
    <t>2-s2.0-85219251501</t>
  </si>
  <si>
    <t>Universidad Finis Terrae| Universidad de La Serena| Universidad Bernardo O'Higgins</t>
  </si>
  <si>
    <t>60105368| 60105370| 60016754| 131180310</t>
  </si>
  <si>
    <t>Universidad Finis Terrae| Universidad Bernardo O'Higgins| Universidad de La Serena| Universidad Central</t>
  </si>
  <si>
    <t>Nutritional Status of 8,128,014 Chilean and Immigrant Children and Adolescents Evaluated by the National Board of School Aid and Scholarships (JUNAEB) Between 2013 and 2023</t>
  </si>
  <si>
    <t>Bustos-Arriagada, E.| Vásquez, F.| Etchegaray-Armijo, K.| López-Arana, S.</t>
  </si>
  <si>
    <t>10.3390/nu17020327</t>
  </si>
  <si>
    <t>2-s2.0-85215792761</t>
  </si>
  <si>
    <t>Cold-induced shivering for metabolic health: Energy homeostasis</t>
  </si>
  <si>
    <t>Fernández-Verdejo, R.| Galgani, J.E.</t>
  </si>
  <si>
    <t>Nature Metabolism</t>
  </si>
  <si>
    <t>2218-2219</t>
  </si>
  <si>
    <t>ISSN-25225812</t>
  </si>
  <si>
    <t>10.1038/s42255-024-01147-z</t>
  </si>
  <si>
    <t>2-s2.0-85211638159</t>
  </si>
  <si>
    <t>60007566| 60021235| 60105368| 60009418| 60029681</t>
  </si>
  <si>
    <t>Louisiana State University| Pennington Biomedical Research Center| Universidad Finis Terrae| Facultad de Medicina| Pontificia Universidad Católica de Chile</t>
  </si>
  <si>
    <t>Chiuminatto P.</t>
  </si>
  <si>
    <t>THE ATACAMA DESERT AS AN ANTHROPOCENE’S RUIN</t>
  </si>
  <si>
    <t>Chiuminatto, P.| Hill, A.C.</t>
  </si>
  <si>
    <t>Anales de Literatura Chilena</t>
  </si>
  <si>
    <t>235-260</t>
  </si>
  <si>
    <t>ISSN-07176058</t>
  </si>
  <si>
    <t>0.1</t>
  </si>
  <si>
    <t>0.117</t>
  </si>
  <si>
    <t>10.7764/ANALESLITCHI.44.12</t>
  </si>
  <si>
    <t>2-s2.0-105030379902</t>
  </si>
  <si>
    <t>Hill A.C.</t>
  </si>
  <si>
    <t>de la Cruz P.S.</t>
  </si>
  <si>
    <t>EDUCATION FOR ALL FROM THE EARLY YEARS: INCLUSIVE EXPERIENCE IN CHILE</t>
  </si>
  <si>
    <t>Silva, P.T.| de la Cruz, P.S.| López, Y.M.</t>
  </si>
  <si>
    <t>International Perspectives on Inclusive Education</t>
  </si>
  <si>
    <t>45-65</t>
  </si>
  <si>
    <t>ISSN-14793636</t>
  </si>
  <si>
    <t>75.0</t>
  </si>
  <si>
    <t>0.133</t>
  </si>
  <si>
    <t>10.1108/S1479-363620240000024004</t>
  </si>
  <si>
    <t>2-s2.0-85207478741</t>
  </si>
  <si>
    <t>131855080| 60105368</t>
  </si>
  <si>
    <t>ANADIME| Universidad Finis Terrae</t>
  </si>
  <si>
    <t>López Y.M.</t>
  </si>
  <si>
    <t>Zárate A.</t>
  </si>
  <si>
    <t>Anal leiomyoma: a case report</t>
  </si>
  <si>
    <t>Zárate, A.| Triat, M.T.</t>
  </si>
  <si>
    <t>47-50</t>
  </si>
  <si>
    <t>0.167</t>
  </si>
  <si>
    <t>10.1016/j.rmclc.2025.02.001</t>
  </si>
  <si>
    <t>2-s2.0-85217892204</t>
  </si>
  <si>
    <t>Triat M.T.</t>
  </si>
  <si>
    <t>Letter: Development of a Randomized Trial Comparing ICP-Monitor-Based Management of Severe Pediatric Traumatic Brain Injury to Management Based on Imaging and Clinical Examination Without ICP Monitoring-Study Protocol</t>
  </si>
  <si>
    <t>Nielsen, K.R.| Caporal, P.| Díaz, F.| González-Dambrauskas, S.| Vásquez-Hoyos, P.| Domínguez-Rojas, J.</t>
  </si>
  <si>
    <t>Neurosurgery</t>
  </si>
  <si>
    <t>e79-e80</t>
  </si>
  <si>
    <t>ISSN-0148396X</t>
  </si>
  <si>
    <t>Wolters Kluwer Medknow Publications</t>
  </si>
  <si>
    <t>10.1227/neu.0000000000002915</t>
  </si>
  <si>
    <t>2-s2.0-85190753457</t>
  </si>
  <si>
    <t>Ministerio de Salud del Perú| Johns Hopkins University| Universidad de la República| Universidad Nacional de Colombia| Universidad Finis Terrae| University of Washington| Instituto Nacional de Salud del Niño</t>
  </si>
  <si>
    <t>60015481| 60006183| 123764794| 60105368| 60071612| 60071613| 60071617| 60055696| 60071245</t>
  </si>
  <si>
    <t>University of Washington| Johns Hopkins Bloomberg School of Public Health| Red Colaborativa Pediátrica de Latinoamérica (LARed Network)| Universidad Finis Terrae| Universidad de la Republica| Universidad de la Republica Facultad de Medicina| Centro Hospitalario Pereira Rossell| Universidad Nacional de Colombia| Instituto Nacional de Salud del Nino, Lima</t>
  </si>
  <si>
    <t>Chile| Uruguay| United States| Colombia| Peru</t>
  </si>
  <si>
    <t>Depression symptoms are associated with demographic characteristics, nutritional status, and social support among young adults in Chile: a latent class analysis</t>
  </si>
  <si>
    <t>Carvajal, F.| Lerma-Cabrera, J.M.| de León, P.H.-P.| López-Arana, S.</t>
  </si>
  <si>
    <t>BMC Public Health</t>
  </si>
  <si>
    <t>ISSN-14712458</t>
  </si>
  <si>
    <t>10.1186/s12889-024-20173-w</t>
  </si>
  <si>
    <t>2-s2.0-85206123441</t>
  </si>
  <si>
    <t>University of Almeria| Universidad Finis Terrae| Universidad de Chile</t>
  </si>
  <si>
    <t>60016818| 131784807| 60012464| 60002946| 60105368</t>
  </si>
  <si>
    <t>Universidad de Almería| Family Health Center Olmué| Universidad de Chile| Facultad de Medicina de la Universidad de Chile| Universidad Finis Terrae</t>
  </si>
  <si>
    <t>A gender-integrated biopsychosocial model to understand cardiovascular risk in women working under environmental hazards: the case of chronic intermittent hypoxia</t>
  </si>
  <si>
    <t>Lang, M.| Cazzuffi, C.| Viscor, G.| Soto-Sánchez, J.</t>
  </si>
  <si>
    <t>10.3389/fpubh.2025.1672503</t>
  </si>
  <si>
    <t>2-s2.0-105017948166</t>
  </si>
  <si>
    <t>Universidad Mayor| Universidad Finis Terrae| Universidad de Chile| University of Barcelona</t>
  </si>
  <si>
    <t>60012464| 60002946| 60105368| 60005881| 133238236| 60001576</t>
  </si>
  <si>
    <t>Universidad de Chile| Facultad de Medicina de la Universidad de Chile| Universidad Finis Terrae| Universidad Mayor| Laboratorio de Actividad Física| Universitat de Barcelona</t>
  </si>
  <si>
    <t>Lermanda Peña C.</t>
  </si>
  <si>
    <t>Psychometric analysis of the communication skills scale applied by standardized patients in the clinical simulation</t>
  </si>
  <si>
    <t>Lermanda Peña, C.| Hernández Cortina, A.</t>
  </si>
  <si>
    <t>Educacion Medica</t>
  </si>
  <si>
    <t>ISSN-15751813</t>
  </si>
  <si>
    <t>2.1</t>
  </si>
  <si>
    <t>0.218</t>
  </si>
  <si>
    <t>10.1016/j.edumed.2024.100886</t>
  </si>
  <si>
    <t>2-s2.0-85184870035</t>
  </si>
  <si>
    <t>Universidad de las Américas - Chile| Universidad Finis Terrae</t>
  </si>
  <si>
    <t>60105368| 60105362</t>
  </si>
  <si>
    <t>Universidad Finis Terrae| Universidad de Las Américas Chile</t>
  </si>
  <si>
    <t>Hernández Cortina A.</t>
  </si>
  <si>
    <t>Association Between Physical Fitness and Cardiovascular Health in Chilean Schoolchildren from the Metropolitan Region</t>
  </si>
  <si>
    <t>Vasquez, F.| Salazar, G.| Vasquez, S.| Torres, J.</t>
  </si>
  <si>
    <t>10.3390/nu17010182</t>
  </si>
  <si>
    <t>2-s2.0-85214489007</t>
  </si>
  <si>
    <t>60105368| 60012464| 60002946| 60009128</t>
  </si>
  <si>
    <t>Universidad Finis Terrae| Universidad de Chile| Facultad de Medicina de la Universidad de Chile| Universidad Santo Tomas, Santiago</t>
  </si>
  <si>
    <t>Neurogastroenterology and motility disorders in patients with cirrhosis</t>
  </si>
  <si>
    <t>Idalsoaga, F.| Ayares, G.| Blaney, H.| Cabrera, D.| Chahuan, J.| Monrroy, H.| Matar, A.| Halawi, H.| Arrese, M.| Arab, J.P.| Díaz, L.A.</t>
  </si>
  <si>
    <t>Hepatology Communications</t>
  </si>
  <si>
    <t>ISSN-2471254X</t>
  </si>
  <si>
    <t>10.1097/HC9.0000000000000622</t>
  </si>
  <si>
    <t>2-s2.0-85214533457</t>
  </si>
  <si>
    <t>Universidad de los Andes Chile| Mayo Clinic Rochester, MN| Virginia Commonwealth University| Universidad Finis Terrae| University of California at San Diego| MedStar Georgetown University Hospital| Pontificia Universidad Católica de Chile| Universidad Bernardo O'Higgins| Western University</t>
  </si>
  <si>
    <t>60088718| 60029681| 60031619| 60010884| 60310400| 60105368| 60022986| 60011284| 60105370| 60005558| 60002476| 60010966| 60030612</t>
  </si>
  <si>
    <t>Escuela de Medicina| Pontificia Universidad Católica de Chile| Schulich School of Medicine &amp; Dentistry| Western University| London Health Sciences Centre Research Institute| Universidad Finis Terrae| MedStar Georgetown University Hospital| Universidad de los Andes, Chile| Universidad Bernardo O'Higgins| Mayo Clinic| Virginia Commonwealth University| VCU School of Medicine| University of California, San Diego</t>
  </si>
  <si>
    <t>Chile| United States| Canada</t>
  </si>
  <si>
    <t>Adapting NeuroVanguard to real-world challenges</t>
  </si>
  <si>
    <t>Giglio, A.| Pino, M.| Ferre, A.| Reccius, A.</t>
  </si>
  <si>
    <t>10.1186/s13054-024-04916-0</t>
  </si>
  <si>
    <t>2-s2.0-85191097483</t>
  </si>
  <si>
    <t>Zambrano C.</t>
  </si>
  <si>
    <t>Design of a process for learning critical thinking in higher education students, using scientific infographics</t>
  </si>
  <si>
    <t>Zambrano, C.| Valdivia, J.| Friz, M.| Nail, O.</t>
  </si>
  <si>
    <t>Formacion Universitaria</t>
  </si>
  <si>
    <t>ISSN-07185006</t>
  </si>
  <si>
    <t>Centro de Informacion Tecnologica</t>
  </si>
  <si>
    <t>0.343</t>
  </si>
  <si>
    <t>10.4067/S0718-50062024000300011</t>
  </si>
  <si>
    <t>2-s2.0-85198100692</t>
  </si>
  <si>
    <t>Universidad del Bío-Bío| Universidad Finis Terrae| Universidad de Concepción</t>
  </si>
  <si>
    <t>60105368| 60001282| 60023195</t>
  </si>
  <si>
    <t>Universidad Finis Terrae| Universidad de Concepcion| Universidad del Bio Bio</t>
  </si>
  <si>
    <t>Tapia-Castillo A.</t>
  </si>
  <si>
    <t>Original Article Primary Aldosteronism in a Hispanic Cohort: Responses to Mineralocorticoid Receptor Antagonism and Remission in a Case</t>
  </si>
  <si>
    <t>Tapia-Castillo, A.| Vecchiola, A.| Quiñones, P.| Baudrand, R.| Uslar, T.| Delgado, J.| Carvajal, C.A.| Fardella, C.E.</t>
  </si>
  <si>
    <t>American Journal of Hypertension</t>
  </si>
  <si>
    <t>354-360</t>
  </si>
  <si>
    <t>ISSN-08957061</t>
  </si>
  <si>
    <t>10.1093/ajh/hpaf020</t>
  </si>
  <si>
    <t>2-s2.0-105005555951</t>
  </si>
  <si>
    <t>60029681| 125309386| 60105368| 60025321</t>
  </si>
  <si>
    <t>Pontificia Universidad Católica de Chile| Centro Traslacional de Endocrinología UC (CETREN-UC)| Universidad Finis Terrae| Hospital Dr. Sotero del Rio</t>
  </si>
  <si>
    <t>Torrealba F.P.</t>
  </si>
  <si>
    <t>Legal configuration of wetlands in the ordinary jurisprudence of the Supreme Court: An analysis through the recurso de protección (2018–2022) and the impact of the stay order on the execution of real estate projects</t>
  </si>
  <si>
    <t>Torrealba, F.P.</t>
  </si>
  <si>
    <t>Revista de Derecho Ambiental(Chile)</t>
  </si>
  <si>
    <t>179-200</t>
  </si>
  <si>
    <t>ISSN-07180101</t>
  </si>
  <si>
    <t>Universidad de Chile. Centro de Derecho Ambiental</t>
  </si>
  <si>
    <t>0.302</t>
  </si>
  <si>
    <t>10.5354/0719-4633.2024.72647</t>
  </si>
  <si>
    <t>2-s2.0-85199188575</t>
  </si>
  <si>
    <t>Faculty members in evaluation: the impact of gender on the results of student evaluations of teaching</t>
  </si>
  <si>
    <t>Undurraga, R.| Montalva, J.T.| Barrera, E.G.</t>
  </si>
  <si>
    <t>Profesorado</t>
  </si>
  <si>
    <t>ISSN-1138414X</t>
  </si>
  <si>
    <t>Grupo de Investigacion FORCE</t>
  </si>
  <si>
    <t>0.348</t>
  </si>
  <si>
    <t>10.30827/PROFESORADO.V29I2.32255</t>
  </si>
  <si>
    <t>2-s2.0-105034527029</t>
  </si>
  <si>
    <t>Spain</t>
  </si>
  <si>
    <t>Montalva J.T.</t>
  </si>
  <si>
    <t>Barrera E.G.</t>
  </si>
  <si>
    <t>Limitations of Transfer Learning for Chilean Cherry Tree Health Monitoring: When Lab Results Do Not Translate to the Orchard</t>
  </si>
  <si>
    <t>Hidalgo, M.| Yanine, F.| Galleguillos, R.| Lagos, M.| Sahoo, S.K.| Paredes, R.</t>
  </si>
  <si>
    <t>10.3390/pr13082559</t>
  </si>
  <si>
    <t>2-s2.0-105014314090</t>
  </si>
  <si>
    <t>Universidad Finis Terrae| Universidad Bernardo O'Higgins</t>
  </si>
  <si>
    <t>60105368| 60105370| 60114758</t>
  </si>
  <si>
    <t>Universidad Finis Terrae| Universidad Bernardo O'Higgins| BPUT, Parala Maharaja Engineering College</t>
  </si>
  <si>
    <t>Galleguillos R.</t>
  </si>
  <si>
    <t>Martínez M.M.</t>
  </si>
  <si>
    <t>What we know today about solitary rectal ulcer syndrome</t>
  </si>
  <si>
    <t>Maluenda, V.A.| Baeza, P.I.| Martínez, M.M.| Iriarte, M.-J.C.| Bonomo, C.M.| Rojas, J.A.| Narváez, C.J.</t>
  </si>
  <si>
    <t>225-234</t>
  </si>
  <si>
    <t>10.4067/s0034-98872024000200225</t>
  </si>
  <si>
    <t>2-s2.0-85204724653</t>
  </si>
  <si>
    <t>60011284| 116471847| 60012464| 60105368| 124999149</t>
  </si>
  <si>
    <t>Universidad de los Andes, Chile| Hospital Clínico de Magallanes| Universidad de Chile| Universidad Finis Terrae| Hospital Clínico Eloísa Díaz Insunza de La Florida</t>
  </si>
  <si>
    <t>Bilicic D.</t>
  </si>
  <si>
    <t>The Science and Evolutionary Perspective of Beautiful Skin</t>
  </si>
  <si>
    <t>Valenzuela, F.| Bilicic, D.| Hartmann, D.| Retamal, C.</t>
  </si>
  <si>
    <t>Cosmetics</t>
  </si>
  <si>
    <t>ISSN-20799284</t>
  </si>
  <si>
    <t>0.78</t>
  </si>
  <si>
    <t>10.3390/cosmetics12050216</t>
  </si>
  <si>
    <t>2-s2.0-105019937487</t>
  </si>
  <si>
    <t>60011284| 60002946| 60012464| 60105368</t>
  </si>
  <si>
    <t>Universidad de los Andes, Chile| Facultad de Medicina de la Universidad de Chile| Universidad de Chile| Universidad Finis Terrae</t>
  </si>
  <si>
    <t>Long-term impact of the COVID-19 pandemic on physical activity and estimated cardiorespiratory fitness in south American adults: a multi-country cross-sectional online survey</t>
  </si>
  <si>
    <t>Dourado, V.Z.| Morais Pereira Simões, M.D.S.| Lauria, V.T.| Gulayin, P.| Gutierrez, L.| Peña-Silva, R.| Pereyra-González, I.| Ortiz, A.| Lopez-Arana, S.| Widyahening, I.S.| Al-Shaar, L.| Danaei, G.| Poggio, R.</t>
  </si>
  <si>
    <t>Archives of Public Health</t>
  </si>
  <si>
    <t>ISSN-07787367</t>
  </si>
  <si>
    <t>10.1186/s13690-025-01664-7</t>
  </si>
  <si>
    <t>2-s2.0-105016131168</t>
  </si>
  <si>
    <t>Harvard University| Universidad Nacional de La Plata| Universidad Católica del Uruguay| University of Indonesia| Universidade Federal de São Paulo| Pennsylvania State University| Universidad de los Andes Colombia| Universidad Finis Terrae| Universidad de Chile| Universidad Católica del Maule</t>
  </si>
  <si>
    <t>60014992| 60049342| 60021972| 60032057| 60052106| 60009462| 60071630| 60105368| 60012464| 60002946| 60069377| 60027671| 60001439| 60032499</t>
  </si>
  <si>
    <t>Universidade Federal de São Paulo| Instituto de Efectividad Clínica y Sanitaria| Facultad de Ciencias Medicas, Universidad Nacional de La Plata| Universidad Nacional de La Plata| Universidad de Los Andes, Colombia| Universidad Católica del Maule| Universidad Católica del Uruguay| Universidad Finis Terrae| Universidad de Chile| Facultad de Medicina de la Universidad de Chile| Universitas Indonesia| Penn State College of Medicine| Pennsylvania State University| Harvard T.H. Chan School of Public Health</t>
  </si>
  <si>
    <t>Indonesia| Chile| Uruguay| United States| Colombia| Brazil| Argentina</t>
  </si>
  <si>
    <t>Kemeny R.</t>
  </si>
  <si>
    <t>Efficacy of hemoadsorptive therapy combined with high-volume hemofiltration in the management of refractory septic shock</t>
  </si>
  <si>
    <t>Kemeny, R.| Giglio, A.| Ramos, A.| Arroyo, A.| Pedreros, C.| Mondaca, C.| Fuentes, V.| Ferre, A.| Dreyse, J.</t>
  </si>
  <si>
    <t>22-29</t>
  </si>
  <si>
    <t>10.1016/j.rmclc.2023.10.003</t>
  </si>
  <si>
    <t>2-s2.0-85183990068</t>
  </si>
  <si>
    <t>Ramos A.</t>
  </si>
  <si>
    <t>Arroyo A.</t>
  </si>
  <si>
    <t>C F.O.</t>
  </si>
  <si>
    <t>Towards a Sustainable Healthcare System in Chile: The Role of Green Hospitals</t>
  </si>
  <si>
    <t>C, F.O.| Sanhueza, M.B.</t>
  </si>
  <si>
    <t>364-372</t>
  </si>
  <si>
    <t>10.1016/j.rmclc.2025.08.005</t>
  </si>
  <si>
    <t>2-s2.0-105014467363</t>
  </si>
  <si>
    <t>A Sub-Hourly Precipitation Dataset from a Pluviographic Network in Central Chile</t>
  </si>
  <si>
    <t>Sangüesa, C.| Ibañez, A.| Pizarro, R.| Vidal-Silva, C.| Garcia-Chevesich, P.| Mendoza, R.| Toledo, C.| Pino, J.| Paredes, R.| Ingram, B.</t>
  </si>
  <si>
    <t>Data</t>
  </si>
  <si>
    <t>ISSN-23065729</t>
  </si>
  <si>
    <t>0.538</t>
  </si>
  <si>
    <t>10.3390/data10070095</t>
  </si>
  <si>
    <t>2-s2.0-105011860926</t>
  </si>
  <si>
    <t>Colorado School of Mines| Universidad de Talca| Cranfield University| Universidad Finis Terrae| Pontificia Universidad Católica de Chile| Universidad Tecnológica Metropolitana</t>
  </si>
  <si>
    <t>60016278| 60029681| 60014965| 60001755| 60105368| 60004407</t>
  </si>
  <si>
    <t>Universidad de Talca| Pontificia Universidad Católica de Chile| Colorado School of Mines| Universidad Tecnológica Metropolitana| Universidad Finis Terrae| Cranfield University</t>
  </si>
  <si>
    <t>Fortuny E.</t>
  </si>
  <si>
    <t>Analysis of the MAC® healing acceleration methodology with the use of propolis and toluidine blue in the healing of lower limb ulcers</t>
  </si>
  <si>
    <t>Pinheiro, C.G.| de Mello Pinto, M.V.| Baron, M.V.| Sampaio, A.R.| Fortuny, E.| Gomes, O.P.| da Silva, V.F.| de Alencar Santos Júnior, J.G.| Correa, J.A.</t>
  </si>
  <si>
    <t>Journal of Human Growth and Development</t>
  </si>
  <si>
    <t>317-326</t>
  </si>
  <si>
    <t>ISSN-01041282</t>
  </si>
  <si>
    <t>Centro de Estudos de Crescimento e Desenvolvimento do Ser Humano</t>
  </si>
  <si>
    <t>0.28</t>
  </si>
  <si>
    <t>10.36311/jhgd.v34.15499</t>
  </si>
  <si>
    <t>2-s2.0-85200898926</t>
  </si>
  <si>
    <t>Pontifícia Universidade Católica do Rio Grande do Sul| Universidad Finis Terrae| Fundação Universitaria do ABC, Faculdade de Medicina do ABC</t>
  </si>
  <si>
    <t>60018756| 128260249| 125122700| 131551263| 60015760| 131550524| 60105368</t>
  </si>
  <si>
    <t>Centro Universitário FMABC| Centro Universitário Vale do Salgado| Instituto Celulare| Criador da Metodologia de Aceleração Cicatricial MAC®| Pontifícia Universidade Católica do Rio Grande do Sul| Instituto Interdisciplinar de Educação Ciência e Saúde| Universidad Finis Terrae</t>
  </si>
  <si>
    <t>Hematological Adaptations to Altitude Training in Female Water Polo Players: A Case Report of a World Championships Medal-Winning Team</t>
  </si>
  <si>
    <t>Mujika, I.| Mara, J.| Zelenkova, I.| Zacca, R.| Pyne, D.B.</t>
  </si>
  <si>
    <t>10.3390/sports13030086</t>
  </si>
  <si>
    <t>2-s2.0-105001176342</t>
  </si>
  <si>
    <t>University of Porto| University of Canberra| Universidad Finis Terrae| University of Zaragoza| University of the Basque Country</t>
  </si>
  <si>
    <t>60027856| 60105368| 60022193| 60016809| 60007249| 126083578</t>
  </si>
  <si>
    <t>Universidad del Pais Vasco| Universidad Finis Terrae| University of Canberra| Universidad de Zaragoza| Universidade do Porto| Laboratory for Integrative and Translational Research in Population Health (ITR)</t>
  </si>
  <si>
    <t>Chile| Spain| Portugal| Australia</t>
  </si>
  <si>
    <t>Furfural adsorption on V2O5 surface: A combined experimental-theoretical study</t>
  </si>
  <si>
    <t>Lizana, I.| Schott, E.| Saavedra-Torres, M.| Hidalgo-Rosa, Y.| Pecchi, G.| Karelovic, A.| Zarate, X.</t>
  </si>
  <si>
    <t>Chemical Physics Letters</t>
  </si>
  <si>
    <t>ISSN-00092614</t>
  </si>
  <si>
    <t>0.546</t>
  </si>
  <si>
    <t>10.1016/j.cplett.2024.141288</t>
  </si>
  <si>
    <t>2-s2.0-85192205328</t>
  </si>
  <si>
    <t>Universidad Autónoma de Chile| Ministerio de Planificación, Chile| Universidad Finis Terrae| Pontificia Universidad Católica de Chile| Universidad de Concepción</t>
  </si>
  <si>
    <t>60001282| 60029681| 60281487| 60105368| 60105371</t>
  </si>
  <si>
    <t>Universidad de Concepcion| Pontificia Universidad Católica de Chile| Núcleo Milenio en Procesos Catalíticos hacia la Química Sustentable| Universidad Finis Terrae| Universidad Autónoma de Chile</t>
  </si>
  <si>
    <t>Carrasco G.</t>
  </si>
  <si>
    <t>Ad Hoc Tools for Urban Renewal: The San Borja Remodeling in Santiago, Chile, 1967–1976</t>
  </si>
  <si>
    <t>Díaz, F.| Carrasco, G.</t>
  </si>
  <si>
    <t>Architectural Histories</t>
  </si>
  <si>
    <t>ISSN-20505833</t>
  </si>
  <si>
    <t>Open Library of Humanities</t>
  </si>
  <si>
    <t>42.0</t>
  </si>
  <si>
    <t>0.262</t>
  </si>
  <si>
    <t>10.16995/AH.9054</t>
  </si>
  <si>
    <t>2-s2.0-85196502487</t>
  </si>
  <si>
    <t>Jeria-Espinoza V.</t>
  </si>
  <si>
    <t>Redox biology at the intersection of physical activity and air pollution: Mechanisms, consequences, and complexity</t>
  </si>
  <si>
    <t>Jeria-Espinoza, V.| Henriquez-Olguin, C.| Opazo-Diaz, E.| Marchini, T.</t>
  </si>
  <si>
    <t>488-497</t>
  </si>
  <si>
    <t>10.1016/j.freeradbiomed.2025.09.047</t>
  </si>
  <si>
    <t>2-s2.0-105018093154</t>
  </si>
  <si>
    <t>University of Freiburg| Universidad Finis Terrae| Universidad de Chile</t>
  </si>
  <si>
    <t>60105368| 60002946| 60012464| 60025641</t>
  </si>
  <si>
    <t>Universidad Finis Terrae| Facultad de Medicina de la Universidad de Chile| Universidad de Chile| Universität Freiburg</t>
  </si>
  <si>
    <t>Effects of Generative Reflection on the Professional Development of Trainee Teachers: Social Representations Emerging from Practicum Tutorials</t>
  </si>
  <si>
    <t>Ruffinelli, A.| Valdés, C.Á.| Aguayo, M.S.</t>
  </si>
  <si>
    <t>Australian Journal of Teacher Education</t>
  </si>
  <si>
    <t>142-157</t>
  </si>
  <si>
    <t>ISSN-03135373</t>
  </si>
  <si>
    <t>Edith Cowan University</t>
  </si>
  <si>
    <t>0.421</t>
  </si>
  <si>
    <t>10.14221/1835-517X.6700</t>
  </si>
  <si>
    <t>2-s2.0-105013639272</t>
  </si>
  <si>
    <t>Universidad San Sebastián| Universidad Finis Terrae| Universidad de Chile| Pontificia Universidad Católica de Chile</t>
  </si>
  <si>
    <t>60012464| 133039362| 60105368| 60000636| 60029681| 60281392</t>
  </si>
  <si>
    <t>Universidad de Chile| Programa Interdisciplinario de Investigación en Educación (PIIE)| Universidad Finis Terrae| Universidad San Sebastián| Pontificia Universidad Católica de Chile| Centro Internacional Cabo de Hornos</t>
  </si>
  <si>
    <t>Busquets-Losada P.</t>
  </si>
  <si>
    <t>Challenges of the Nursing Professional within the Nexus between Health and Climate Change</t>
  </si>
  <si>
    <t>Camacho-Rodríguez, D.| Caballero-Muñoz, E.| Veliz-Rojas, L.H.| Busquets-Losada, P.</t>
  </si>
  <si>
    <t>Aquichan</t>
  </si>
  <si>
    <t>ISSN-16575997</t>
  </si>
  <si>
    <t>Universidad de La Sabana</t>
  </si>
  <si>
    <t>71.0</t>
  </si>
  <si>
    <t>10.5294/aqui.2024.24.2.1</t>
  </si>
  <si>
    <t>Editorial</t>
  </si>
  <si>
    <t>2-s2.0-85196358755</t>
  </si>
  <si>
    <t>Universidad Santo Tomás, Santiago| Universidad Cooperativa de Colombia| Universidad Finis Terrae| Universidad de La Serena</t>
  </si>
  <si>
    <t>60087108| 60009128| 60016754| 60105368</t>
  </si>
  <si>
    <t>Universidad Cooperativa de Colombia| Universidad Santo Tomas, Santiago| Universidad de La Serena| Universidad Finis Terrae</t>
  </si>
  <si>
    <t>Screen use among children: Friend or foe?</t>
  </si>
  <si>
    <t>López-Arana, S.| Bustos-Arriagada, E.| Castillo, O.</t>
  </si>
  <si>
    <t>428-429</t>
  </si>
  <si>
    <t>76.0</t>
  </si>
  <si>
    <t>0.189</t>
  </si>
  <si>
    <t>10.4067/s0717-75182024000600428</t>
  </si>
  <si>
    <t>2-s2.0-105001351276</t>
  </si>
  <si>
    <t>Castillo O.</t>
  </si>
  <si>
    <t>Ruiz-Riquelme P.</t>
  </si>
  <si>
    <t>Manchester oxford foot questionnaire in foot and ankle Spanish patients: Transcultural adaption and validation</t>
  </si>
  <si>
    <t>Gines-Cespedosa, A.| Gonzalez-Lucena, G.| Gamba, C.| Bailez, A.| Ruiz-Riquelme, P.| Martinez-Lozano, J.</t>
  </si>
  <si>
    <t>Foot and Ankle Surgery</t>
  </si>
  <si>
    <t>640-644</t>
  </si>
  <si>
    <t>ISSN-12687731</t>
  </si>
  <si>
    <t>10.1016/j.fas.2025.04.006</t>
  </si>
  <si>
    <t>2-s2.0-105003281114</t>
  </si>
  <si>
    <t>Universidad Finis Terrae| Hospital del Mar| Clínica Las Condes</t>
  </si>
  <si>
    <t>60023506| 101212400| 60017912| 60211544| 60105368</t>
  </si>
  <si>
    <t>Hospital del Mar| Corachan Clinic| Clínica Las Condes| Hospital Dra. Eloísa Díaz I. De La Florida| Universidad Finis Terrae</t>
  </si>
  <si>
    <t>Rojas D.</t>
  </si>
  <si>
    <t>A Preliminary Study of Self-Regulation Strategies in Chilean Engineering Students</t>
  </si>
  <si>
    <t>Zambrano, C.| Hernandez, C.| Rojas, L.| Rojas, D.</t>
  </si>
  <si>
    <t>Proceedings - International Conference of the Chilean Computer Science Society, SCCC</t>
  </si>
  <si>
    <t>ISSN-15224902</t>
  </si>
  <si>
    <t>IEEE Computer Society</t>
  </si>
  <si>
    <t>86.0</t>
  </si>
  <si>
    <t>10.1109/SCCC63879.2024.10767628</t>
  </si>
  <si>
    <t>2-s2.0-85213508967</t>
  </si>
  <si>
    <t>Universidad San Sebastián| Universidad Finis Terrae</t>
  </si>
  <si>
    <t>60000636| 60105368</t>
  </si>
  <si>
    <t>Press and School Violence: Subjective Theories in the Post-Pandemic Narratives in Chilean Online Newspapers</t>
  </si>
  <si>
    <t>Rodríguez-Pastene, F.| Sorza, S.| Castro-Carrasco, P.J.| Carrasco-Aguilar, C.| Gubbins, V.| Caamaño-Vega, V.| Zelaya, M.</t>
  </si>
  <si>
    <t>COVID</t>
  </si>
  <si>
    <t>ISSN-26738112</t>
  </si>
  <si>
    <t>54.0</t>
  </si>
  <si>
    <t>0.279</t>
  </si>
  <si>
    <t>10.3390/covid5120208</t>
  </si>
  <si>
    <t>2-s2.0-105025746138</t>
  </si>
  <si>
    <t>Universidad Santo Tomás, Santiago| University of Málaga| Universidad Adolfo Ibáñez| Universidad Finis Terrae| Universidad de La Serena| Universidad de Playa Ancha de Ciencias de la Educación</t>
  </si>
  <si>
    <t>60019586| 60003942| 60016754| 60003662| 60105368| 60009128</t>
  </si>
  <si>
    <t>Universidad de Playa Ancha| Universidad Adolfo Ibáñez| Universidad de La Serena| Universidad de Málaga| Universidad Finis Terrae| Universidad Santo Tomas, Santiago</t>
  </si>
  <si>
    <t>Tailoring of titanium dioxide thin film in dual radiofrequency plasma enhanced pulsed laser deposition</t>
  </si>
  <si>
    <t>Villegas, R.| Tomlinson, M.| De La Fuente, V.U.| Carrasco, C.| Miranda, M.| Fernández, J.I.| Saavedra, D.| Retamal, M.J.| Inestrosa-Izurieta, M.J.| Singh, D.P.| Angel, F.A.| Volkmann, U.G.| Takamura, Y.| Bhuyan, H.</t>
  </si>
  <si>
    <t>Applied Surface Science</t>
  </si>
  <si>
    <t>ISSN-01694332</t>
  </si>
  <si>
    <t>10.1016/j.apsusc.2025.163872</t>
  </si>
  <si>
    <t>2-s2.0-105008652475</t>
  </si>
  <si>
    <t>Universidad de Santiago de Chile| Universidad Finis Terrae| Pontificia Universidad Católica de Chile| University of California at Davis</t>
  </si>
  <si>
    <t>60029681| 60105368| 60011953| 60023383| 60014439| 60153736</t>
  </si>
  <si>
    <t>Pontificia Universidad Católica de Chile| Universidad Finis Terrae| Comision Chilena de Energia Nuclear| Universidad de Santiago de Chile| University of California, Davis| College of Engineering</t>
  </si>
  <si>
    <t>Can beliefs improve mental health? A dive into resilience during pandemic times in South America</t>
  </si>
  <si>
    <t>Morales, J.-P.| Ryan, B.E.| Polito, V.| Navarrete, G.| Vergara, M.| Huepe, D.</t>
  </si>
  <si>
    <t>Social Sciences and Humanities Open</t>
  </si>
  <si>
    <t>ISSN-25902911</t>
  </si>
  <si>
    <t>0.614</t>
  </si>
  <si>
    <t>10.1016/j.ssaho.2024.100883</t>
  </si>
  <si>
    <t>2-s2.0-85188674768</t>
  </si>
  <si>
    <t>The University of Sydney| Macquarie University| University of Udine| Universidad Finis Terrae| Universidad Adolfo Ibáñez| University of Barcelona</t>
  </si>
  <si>
    <t>60212023| 60105368| 60001576| 60019544| 60003942| 60025965</t>
  </si>
  <si>
    <t>The University of Sydney Business School| Universidad Finis Terrae| Universitat de Barcelona| Macquarie University| Universidad Adolfo Ibáñez| Università degli Studi di Udine</t>
  </si>
  <si>
    <t>Chile| Spain| Australia| Italy</t>
  </si>
  <si>
    <t>Earthquakes in Chile and Peru: How are they reflected in the copper financial market?</t>
  </si>
  <si>
    <t>Tapia-Griñen, P.| Pastén-Henríquez, B.| Sepúlveda-Velásquez, J.</t>
  </si>
  <si>
    <t>10.1016/j.frl.2024.106429</t>
  </si>
  <si>
    <t>2-s2.0-85208935712</t>
  </si>
  <si>
    <t>Effect of a Community-Based Program on Preschoolers’ Physical Activity and Nutrition in Chile</t>
  </si>
  <si>
    <t>Salazar, G.| Vasquez, F.| Andrade, M.| Rodriguez, M.D.P.| Berlanga, R.| Rojas, J.| Giadalah, A.| Muñoz, A.</t>
  </si>
  <si>
    <t>Journal of Functional Morphology and Kinesiology</t>
  </si>
  <si>
    <t>ISSN-24115142</t>
  </si>
  <si>
    <t>3.2</t>
  </si>
  <si>
    <t>0.673</t>
  </si>
  <si>
    <t>10.3390/jfmk10010093</t>
  </si>
  <si>
    <t>2-s2.0-105001380214</t>
  </si>
  <si>
    <t>60012464| 60105368| 132413313| 114678344</t>
  </si>
  <si>
    <t>Universidad de Chile| Universidad Finis Terrae| National Daycare Centers (JUNJI)| Chile National Institute of Sport</t>
  </si>
  <si>
    <t>Effects of a 7-day step taper, training cessation, and retraining on lower body physical and morphological aspects in elite female ice hockey players</t>
  </si>
  <si>
    <t>Nishiumi, D.| Yamashita, D.| Kurokawa, T.| Hirase, N.| Wakamiya, K.| Mujika, I.| Hirose, N.</t>
  </si>
  <si>
    <t>Frontiers in Sports and Active Living</t>
  </si>
  <si>
    <t>ISSN-26249367</t>
  </si>
  <si>
    <t>0.825</t>
  </si>
  <si>
    <t>10.3389/fspor.2025.1541765</t>
  </si>
  <si>
    <t>2-s2.0-105010940955</t>
  </si>
  <si>
    <t>Waseda University| Universidad Finis Terrae| Japan Institute of Sports Sciences| University of the Basque Country</t>
  </si>
  <si>
    <t>60023462| 60253095| 60027856| 60105368</t>
  </si>
  <si>
    <t>Waseda University| Japan Institute of Sports Sciences| Universidad del Pais Vasco| Universidad Finis Terrae</t>
  </si>
  <si>
    <t>Induction treatment for lupus nephritis at a high-complexity hospital in Chile</t>
  </si>
  <si>
    <t>Ramirez, P.| Giglio, A.| Verdugo, J.| Gutierrez, F.</t>
  </si>
  <si>
    <t>769-773</t>
  </si>
  <si>
    <t>0.779</t>
  </si>
  <si>
    <t>10.1177/09612033241249574</t>
  </si>
  <si>
    <t>2-s2.0-85191303984</t>
  </si>
  <si>
    <t>60025321| 60105368| 60017912</t>
  </si>
  <si>
    <t>Hospital Dr. Sotero del Rio| Universidad Finis Terrae| Clínica Las Condes</t>
  </si>
  <si>
    <t>Connexin hemichannels and early atrophic signaling in muscle during sepsis</t>
  </si>
  <si>
    <t>Balboa, E.| Saavedra, F.| Cea, L.A.| Vargas, A.A.| Regueira, T.| Sáez, J.C.</t>
  </si>
  <si>
    <t>10.3389/fphys.2025.1514769</t>
  </si>
  <si>
    <t>2-s2.0-105000057258</t>
  </si>
  <si>
    <t>Universidad Mayor| Universidad de los Andes Chile| Universidad Autónoma de Chile| Universidad Finis Terrae| Universidad de Valparaíso</t>
  </si>
  <si>
    <t>60105368| 60011284| 60105371| 60005881| 60022810| 60281434| 60008781</t>
  </si>
  <si>
    <t>Universidad Finis Terrae| Universidad de los Andes, Chile| Universidad Autónoma de Chile| Universidad Mayor| Clinica Santa Maria| Centro Interdisciplinario de Neurociencia de Valparaiso| Universidad de Valparaiso</t>
  </si>
  <si>
    <t>Power Electronic Converters for Electric Vehicle Application</t>
  </si>
  <si>
    <t>Patro, P.S.| Sahoo, S.K.| Yanine, F.</t>
  </si>
  <si>
    <t>147-166</t>
  </si>
  <si>
    <t>2-s2.0-85194726314</t>
  </si>
  <si>
    <t>60114758| 60105368</t>
  </si>
  <si>
    <t>BPUT, Parala Maharaja Engineering College| Universidad Finis Terrae</t>
  </si>
  <si>
    <t>Highly Variable Hemoglobin-Mass Changes During Successive Altitude Training Camps in World-Class Female Water Polo Players</t>
  </si>
  <si>
    <t>Mujika, I.| Tian, R.| Zelenkova, I.| Pyne, D.B.</t>
  </si>
  <si>
    <t>1763-1767</t>
  </si>
  <si>
    <t>10.1123/ijspp.2025-0270</t>
  </si>
  <si>
    <t>2-s2.0-105022178795</t>
  </si>
  <si>
    <t>University of Canberra| Universidad Finis Terrae| University of Zaragoza| University of the Basque Country</t>
  </si>
  <si>
    <t>60027856| 60105368| 60022193| 60016809</t>
  </si>
  <si>
    <t>Universidad del Pais Vasco| Universidad Finis Terrae| University of Canberra| Universidad de Zaragoza</t>
  </si>
  <si>
    <t>Training practices of Japanese elite team and combat sport athletes during the COVID-19 pandemic: an interview study with support staff</t>
  </si>
  <si>
    <t>Yamashita, D.| Yamazaki, K.| Yamagishi, T.| Tsubokura, H.| Washif, J.A.| Mujika, I.</t>
  </si>
  <si>
    <t>10.3389/fspor.2025.1557774</t>
  </si>
  <si>
    <t>2-s2.0-105016573331</t>
  </si>
  <si>
    <t>Universidad Finis Terrae| Japan Institute of Sports Sciences| University of the Basque Country</t>
  </si>
  <si>
    <t>60253095| 60090678| 60027856| 60105368</t>
  </si>
  <si>
    <t>Japan Institute of Sports Sciences| Institut Sukan Negara Malaysia| Universidad del Pais Vasco| Universidad Finis Terrae</t>
  </si>
  <si>
    <t>Chile| Spain| Japan| Malaysia</t>
  </si>
  <si>
    <t>Brocco S.Z.</t>
  </si>
  <si>
    <t>An Overview of Extracorporeal Membrane Oxygenation</t>
  </si>
  <si>
    <t>Tijmes, F.S.| Fuentealba, A.| Graf, M.A.| Brocco, S.Z.| Karur, G.R.| Nguyen, E.| Moayedi, Y.| Hanneman, K.</t>
  </si>
  <si>
    <t>Applied Radiology</t>
  </si>
  <si>
    <t>22-34</t>
  </si>
  <si>
    <t>ISSN-01609963</t>
  </si>
  <si>
    <t>Anderson Publishing Ltd</t>
  </si>
  <si>
    <t>0.3</t>
  </si>
  <si>
    <t>95.0</t>
  </si>
  <si>
    <t>10.37549/AR2945</t>
  </si>
  <si>
    <t>2-s2.0-85184209523</t>
  </si>
  <si>
    <t>Peter Munk Cardiac Centre| Universidad de los Andes Chile| University of Colorado Anschutz Medical Campus| Universidad Finis Terrae| University of Toronto| Clínica Las Condes| University Health Network</t>
  </si>
  <si>
    <t>60016849| 60014468| 60023022| 60022810| 60011284| 60028421| 60028392| 60017912| 60105368| 60112419</t>
  </si>
  <si>
    <t>University of Toronto| University Health Network| Toronto General Hospital| Clinica Santa Maria| Universidad de los Andes, Chile| University of Colorado Anschutz School of Medicine| University of Colorado Anschutz Medical Campus| Clínica Las Condes| Universidad Finis Terrae| Peter Munk Cardiac Centre</t>
  </si>
  <si>
    <t>Nutritional status, body composition and eating behavior of first year students of the “Alejandro Navarrete Cisterna” Naval School in Talcahuano, Chile</t>
  </si>
  <si>
    <t>Cárdenas-Ovando, K.| Fuentealba-Urra, S.| Etchegaray-Armijo, K.| Florio-Rioseco, B.| Poblete-Scheihing, L.| Mardones-González, M.| Bustos-Arriagada, E.</t>
  </si>
  <si>
    <t>111-117</t>
  </si>
  <si>
    <t>ISSN-07177518</t>
  </si>
  <si>
    <t>10.4067/s0717-75182024000200111</t>
  </si>
  <si>
    <t>2-s2.0-85194863143</t>
  </si>
  <si>
    <t>Universidad de las Américas - Chile| Universidad Andrés Bello| Universidad Finis Terrae</t>
  </si>
  <si>
    <t>60105362| 60002636| 60105368</t>
  </si>
  <si>
    <t>Universidad de Las Américas Chile| Universidad Andrés Bello| Universidad Finis Terrae</t>
  </si>
  <si>
    <t>Ceron M.L.</t>
  </si>
  <si>
    <t>Closed-shell d10-d10 mechanochromic [AuPh(CNPh)]n complex: quantum chemistry electronic and optical properties</t>
  </si>
  <si>
    <t>Mendizabal, F.| Ceron, M.L.| Lara, D.| Miranda-Rojas, S.</t>
  </si>
  <si>
    <t>RSC Advances</t>
  </si>
  <si>
    <t>5638-5647</t>
  </si>
  <si>
    <t>ISSN-20462069</t>
  </si>
  <si>
    <t>Royal Society of Chemistry</t>
  </si>
  <si>
    <t>0.777</t>
  </si>
  <si>
    <t>10.1039/d3ra08935e</t>
  </si>
  <si>
    <t>2-s2.0-85185484888</t>
  </si>
  <si>
    <t>Gonzalez- Valderrama A.</t>
  </si>
  <si>
    <t>Correction to: Obesity and brain structure in schizophrenia – ENIGMA study in 3021 individuals (Molecular Psychiatry, (2022), 27, 9, (3731-3737), 10.1038/s41380-022-01616-5)</t>
  </si>
  <si>
    <t>McWhinney, S.R.| Brosch, K.| Calhoun, V.D.| Crespo-Facorro, B.| Crossley, N.A.| Dannlowski, U.| Dickie, E.| Dietze, L.M.F.| Donohoe, G.| Du Plessis, S.| Ehrlich, S.| Emsley, R.| Furstova, P.| Glahn, D.C.| Gonzalez- Valderrama, A.| Grotegerd, D.| Holleran, L.| Kircher, T.T.J.| Knytl, P.| Kolenic, M.| Lencer, R.| Nenadić, I.| Opel, N.| Pfarr, J.-K.| Rodrigue, A.L.| Rootes-Murdy, K.| Ross, A.J.| Sim, K.| Škoch, A.| Spaniel, F.| Stein, F.| Švancer, P.| Tordesillas-Gutiérrez, D.| Undurraga, J.| Vázquez-Bourgon, J.| Voineskos, A.| Walton, E.| Weickert, T.W.| Weickert, C.S.| Thompson, P.M.| van Erp, T.G.M.| Turner, J.A.| Hajek, T.</t>
  </si>
  <si>
    <t>Molecular Psychiatry</t>
  </si>
  <si>
    <t>ISSN-13594184</t>
  </si>
  <si>
    <t>22.1</t>
  </si>
  <si>
    <t>10.1038/s41380-023-02055-6</t>
  </si>
  <si>
    <t>Erratum</t>
  </si>
  <si>
    <t>2-s2.0-85151506555</t>
  </si>
  <si>
    <t>CSIC| Harvard University| University of Münster| National Institute of Mental Health| Dalhousie University| Imperial College London| Universidad Finis Terrae| Pontificia Universidad Católica de Chile| University of New South Wales| Singapore Institute of Mental Health| University of Bath| Technische Universität Dresden| Georgia Institute of Technology| Hospital Universitario Virgen del Rocio| Hospital Universitario Marques de Valdecilla| SUNY Upstate Medical University| Georgia State University| Universidad del Desarrollo| CSIC-JA-USE - Institute of Biomedicine of Seville| Universidad de Cantabria| University of Toronto| Instituto de Salud Carlos III| University of Seville| Institute for Clinical and Experimental Medicine| University of Galway| Regional Government of Andalusia| King's College London| Clínica Alemana de Santiago| Neuroscience Research Australia| University of Marburg| University of Southern California| Institute of Living| University of California at Irvine| Boston Children's Hospital| Nanyang Technological University| Emory University| Charles University| Centro de Investigación Biomédica en Red| University of Lübeck| National University of Singapore| Friedrich Schiller University Jena| CSIC-UC - Institute of Physics of Cantabria| Stellenbosch University</t>
  </si>
  <si>
    <t>60015913| 60023750| 60012556| 60000928| 60158425| 60019647| 60104561| 60103764| 60033267| 60033284| 60019441| 60029681| 60011520| 60000401| 60015765| 60016849| 60008539| 60001565| 60002522| 128256203| 60025676| 60018353| 60108590| 60030521| 60002746| 60023282| 60029252| 60105368| 60105879| 60016605| 60012408| 60029507| 60023251| 60012387| 60009376| 60017161| 60026680| 60118633| 60005510| 60020529| 60020591| 60006754| 60003879| 60000146| 60006469| 60015179| 60171498| 60030480| 60018741| 60028589| 60022773| 60028333| 60082336| 60015183| 60029311| 60007278</t>
  </si>
  <si>
    <t>Dalhousie University| Dalhousie University, Faculty of Medicine| Philipps-Universität Marburg| Emory University| Center for Translational Research in Neuroimaging and Data Science| Georgia Institute of Technology| Centro de Investigación Biomédica En Red de Salud Mental| CSIC-JA-USE - Instituto de Biomedicina de Sevilla (IBIS)| Hospital Universitario Virgen del Rocío| Universidad de Sevilla| Facultad de Medicina, Universidad de Sevilla| Pontificia Universidad Católica de Chile| King's College London| University of Münster| Centre for Addiction and Mental Health| University of Toronto| University of Galway| Stellenbosch University| Stellenbosch University, Faculty of Medicine and Health Sciences| SAMRC Genomics of Brain Disorders Unit| Medizinische Fakultät Carl Gustav Carus| Technische Universität Dresden| Národní Ústav Duševního Zdraví, Klecany| Boston Children's Hospital| Harvard Medical School| Olin Neuropsychiatry Research Center| Institute of Living| Universidad Finis Terrae| Instituto Psiquiatrico Dr. Jose Horwitz Barak| Charles University| Universität zu Lübeck| Friedrich-Schiller-Universität Jena| Universitätsklinikum Jena und Medizinische Fakultät| Georgia State University| Singapore Institute of Mental Health| National University of Singapore| NUS Yong Loo Lin School of Medicine| Lee Kong Chian School of Medicine| Nanyang Technological University| Institutu Klinické a Experimentální Medicíny| Hospital Universitario Marqués de Valdecilla| Consejo Superior de Investigaciones Científicas| CSIC-UC - Instituto de Física de Cantabria (IFCA)| Clinica Alemana| Universidad del Desarrollo| Universidad de Cantabria| University of Bath, Department of Psychology| University of Bath| SUNY Upstate Medical University| Norton College of Medicine| Neuroscience Research Australia| UNSW Sydney| University of New South Wales Faculty of Medicine, School of Psychiatry| Keck School of Medicine of USC| University of Southern California| University of California, Irvine</t>
  </si>
  <si>
    <t>Chile| United Kingdom| Singapore| Spain| Ireland| United States| Germany| South Africa| Australia| Czech Republic| Canada</t>
  </si>
  <si>
    <t>Sepúlveda A I.</t>
  </si>
  <si>
    <t>Imaging of the Sinonasal Cavities</t>
  </si>
  <si>
    <t>Sepúlveda A, I.| Rivas-Rodriguez, F.| Capizzano, A.A.</t>
  </si>
  <si>
    <t>Dental Clinics of North America</t>
  </si>
  <si>
    <t>337-355</t>
  </si>
  <si>
    <t>ISSN-00118532</t>
  </si>
  <si>
    <t>W.B. Saunders</t>
  </si>
  <si>
    <t>10.1016/j.cden.2023.09.007</t>
  </si>
  <si>
    <t>2-s2.0-85175303101</t>
  </si>
  <si>
    <t>Universidad Finis Terrae| University of Michigan, Ann Arbor</t>
  </si>
  <si>
    <t>60105368| 112612689| 60025778</t>
  </si>
  <si>
    <t>Universidad Finis Terrae| General Hospital of Concepcion| University of Michigan, Ann Arbor</t>
  </si>
  <si>
    <t>Gómez G.G.</t>
  </si>
  <si>
    <t>The role of radiotherapy and surgery in carcinoma spinocellular an up to date of diagnosis, initial management, and treatment: a narrative review and a case study report</t>
  </si>
  <si>
    <t>Gómez, G.G.| Petracca, G.| Mazzeo, M.| Mio, F.| Lebrino, C.| Mileto, I.| Capomolla, A.</t>
  </si>
  <si>
    <t>Chirurgia (Turin)</t>
  </si>
  <si>
    <t>30-36</t>
  </si>
  <si>
    <t>ISSN-03949508</t>
  </si>
  <si>
    <t>Edizioni Minerva Medica</t>
  </si>
  <si>
    <t>98.0</t>
  </si>
  <si>
    <t>0.108</t>
  </si>
  <si>
    <t>10.23736/S0394-9508.23.05548-1</t>
  </si>
  <si>
    <t>2-s2.0-85189972501</t>
  </si>
  <si>
    <t>Universidad Finis Terrae| Magna Græcia University</t>
  </si>
  <si>
    <t>60105368| 100424723| 60069616</t>
  </si>
  <si>
    <t>Universidad Finis Terrae| Jazzolino Hospital| Università degli studi Magna Graecia di Catanzaro</t>
  </si>
  <si>
    <t>COPD management in the modern era</t>
  </si>
  <si>
    <t>Dreyse, J.</t>
  </si>
  <si>
    <t>209-220</t>
  </si>
  <si>
    <t>10.1016/j.rmclc.2024.05.002</t>
  </si>
  <si>
    <t>2-s2.0-85201517464</t>
  </si>
  <si>
    <t>Chacana R.A.</t>
  </si>
  <si>
    <t>Learning about our recent history from the territory: Local History in school from teachers' reflections</t>
  </si>
  <si>
    <t>Chacana, R.A.| Polloni, D.F.</t>
  </si>
  <si>
    <t>Historia Regional</t>
  </si>
  <si>
    <t>ISSN-03298213</t>
  </si>
  <si>
    <t>Seccion Historia. Instituto Superior del Profesorado 'Eduardo Lafferriere'</t>
  </si>
  <si>
    <t>74.0</t>
  </si>
  <si>
    <t>0.152</t>
  </si>
  <si>
    <t>2-s2.0-85203633929</t>
  </si>
  <si>
    <t>Universidad de Santiago de Chile| Universidad Finis Terrae| Universidad de Chile| Pontificia Universidad Católica de Chile| Universidad Tecnológica Metropolitana</t>
  </si>
  <si>
    <t>60029681| 60105368| 60023383| 60012464| 60001755</t>
  </si>
  <si>
    <t>Pontificia Universidad Católica de Chile| Universidad Finis Terrae| Universidad de Santiago de Chile| Universidad de Chile| Universidad Tecnológica Metropolitana</t>
  </si>
  <si>
    <t>Verschae G.</t>
  </si>
  <si>
    <t>Subtalar joint revision arthrodesis due to non-union: a case report</t>
  </si>
  <si>
    <t>Verschae, G.| Val, V.| Alba, V.| Cáceres, A.| Pavez, S.| Cid, N.</t>
  </si>
  <si>
    <t>13-20</t>
  </si>
  <si>
    <t>10.1016/j.rmclc.2025.01.002</t>
  </si>
  <si>
    <t>2-s2.0-85217977198</t>
  </si>
  <si>
    <t>60105368| 60017912| 101808003</t>
  </si>
  <si>
    <t>Universidad Finis Terrae| Clínica Las Condes| Instituto de Seguridad del Trabajo</t>
  </si>
  <si>
    <t>Val V.</t>
  </si>
  <si>
    <t>Alba V.</t>
  </si>
  <si>
    <t>Pavez S.</t>
  </si>
  <si>
    <t>Cid N.</t>
  </si>
  <si>
    <t>Nazal L.</t>
  </si>
  <si>
    <t>Current liver failure support systems: Biding time for transplantation</t>
  </si>
  <si>
    <t>Nazal, L.| Valenzuela, R.| Ferre, A.</t>
  </si>
  <si>
    <t>45-53</t>
  </si>
  <si>
    <t>10.1016/j.rmclc.2023.12.002</t>
  </si>
  <si>
    <t>2-s2.0-85183967700</t>
  </si>
  <si>
    <t>Valenzuela R.</t>
  </si>
  <si>
    <t>Valderrama E P.</t>
  </si>
  <si>
    <t>Surgical Site Infection in Pediatric Patients Undergoing Cardiac Surgery with Delayed Sternal Closure: Experience from a Center in Chile (2015–2020)</t>
  </si>
  <si>
    <t>Jiménez P, D.| Valderrama E, P.| Correa I, N.| Cerda L, J.| Riquelme P, M.I.| Becker R, P.| González F, R.| Scheu G, C.| Clavería R, C.</t>
  </si>
  <si>
    <t>Pediatric Cardiology</t>
  </si>
  <si>
    <t>ISSN-01720643</t>
  </si>
  <si>
    <t>0.586</t>
  </si>
  <si>
    <t>10.1007/s00246-025-04080-4</t>
  </si>
  <si>
    <t>2-s2.0-105020273091</t>
  </si>
  <si>
    <t>Franchello M.</t>
  </si>
  <si>
    <t>Quetiapine-induced myoclonus: case report</t>
  </si>
  <si>
    <t>Franchello, M.| Sagues, X.| Cossio, J.| Alvarado, G.</t>
  </si>
  <si>
    <t>84-87</t>
  </si>
  <si>
    <t>10.1016/j.rmclc.2025.03.005</t>
  </si>
  <si>
    <t>2-s2.0-105003732653</t>
  </si>
  <si>
    <t>60282367| 60017912| 60105368</t>
  </si>
  <si>
    <t>Hospital Ángel C. Padilla| Clínica Las Condes| Universidad Finis Terrae</t>
  </si>
  <si>
    <t>Chile| Argentina</t>
  </si>
  <si>
    <t>Mitochondrial dynamics: deciphering the role of HDL-C in regulating mitochondrial function and fatty acid oxidation in human skeletal muscle</t>
  </si>
  <si>
    <t>Castro-Sepúlveda, M.| Amati, F.</t>
  </si>
  <si>
    <t>American Journal of Physiology - Heart and Circulatory Physiology</t>
  </si>
  <si>
    <t>H1087-H1088</t>
  </si>
  <si>
    <t>ISSN-03636135</t>
  </si>
  <si>
    <t>10.1152/ajpheart.00219.2025</t>
  </si>
  <si>
    <t>2-s2.0-105003550727</t>
  </si>
  <si>
    <t>University of Lausanne| Universidad Finis Terrae</t>
  </si>
  <si>
    <t>60000239| 60016036| 60105368</t>
  </si>
  <si>
    <t>Université de Lausanne (UNIL)| Faculté de biologie et de médecine| Universidad Finis Terrae</t>
  </si>
  <si>
    <t>Cerda E.</t>
  </si>
  <si>
    <t>BCGitis: Mycobacterium bovis BCG pelvic abscess after intravesical immunotherapy for bladder cancer. A case report</t>
  </si>
  <si>
    <t>Cerda, E.| Urbina, K.G.D.| Ferre, A.| Dreyse, J.| Giglio, A.| Valenzuela, R.</t>
  </si>
  <si>
    <t>98-102</t>
  </si>
  <si>
    <t>10.1016/j.rmclc.2025.03.004</t>
  </si>
  <si>
    <t>2-s2.0-105003546905</t>
  </si>
  <si>
    <t>Urbina K.G.D.</t>
  </si>
  <si>
    <t>Development of a national daily monitoring system for demand and capacity of pediatric intensive care units during a respiratory epidemic in Uruguay</t>
  </si>
  <si>
    <t>Cosio, M.| Monteverde-Fernández, N.| Carvajal, C.| Telechea, H.| González-Dambrauskas, S.</t>
  </si>
  <si>
    <t>Boletin Medico del Hospital Infantil de Mexico</t>
  </si>
  <si>
    <t>228-237</t>
  </si>
  <si>
    <t>ISSN-05396115</t>
  </si>
  <si>
    <t>Permanyer Publications</t>
  </si>
  <si>
    <t>63.0</t>
  </si>
  <si>
    <t>0.289</t>
  </si>
  <si>
    <t>10.24875/BMHIM.24000109</t>
  </si>
  <si>
    <t>2-s2.0-105013688751</t>
  </si>
  <si>
    <t>Universidad de la República| Universidad Finis Terrae</t>
  </si>
  <si>
    <t>60071612| 60071613| 60071617| 123764794| 133042901| 60105368</t>
  </si>
  <si>
    <t>Universidad de la Republica| Universidad de la Republica Facultad de Medicina| Centro Hospitalario Pereira Rossell| Red Colaborativa Pediátrica de Latinoamérica (LARed Network)| Sociedad Uruguaya de Neonatología y Pediatría Intensiva (SUNPI). Montevideo| Universidad Finis Terrae</t>
  </si>
  <si>
    <t>Chile| Uruguay</t>
  </si>
  <si>
    <t>Larrañaga M.</t>
  </si>
  <si>
    <t>Use of Radiofrequency in Robot-Assisted Partial Nephrectomy for Small Tumors: A Novel Technique</t>
  </si>
  <si>
    <t>Larrañaga, M.| Ibañez, H.| Pfeifer, J.| Román, C.| Olivares, R.| Salvadó, J.A.| Cabello, J.M.| Moreno, S.| Cabello, R.| Franco, C.| Velasco, A.</t>
  </si>
  <si>
    <t>Current Oncology</t>
  </si>
  <si>
    <t>ISSN-17187729</t>
  </si>
  <si>
    <t>10.3390/curroncol32050246</t>
  </si>
  <si>
    <t>2-s2.0-105006776695</t>
  </si>
  <si>
    <t>Cleveland Clinic Foundation| Universidad Finis Terrae</t>
  </si>
  <si>
    <t>60105368| 121467854| 60021160</t>
  </si>
  <si>
    <t>Universidad Finis Terrae| Santa María Clinic| Cleveland Clinic Foundation</t>
  </si>
  <si>
    <t>Ibañez H.</t>
  </si>
  <si>
    <t>Zañartu T.V.</t>
  </si>
  <si>
    <t>Suitability and relevance of the complaint appeal against the decisions of contentious-administrative proceedings</t>
  </si>
  <si>
    <t>Zañartu, T.V.| Flores, M.V.</t>
  </si>
  <si>
    <t>Revista de Derecho Administrativo Economico</t>
  </si>
  <si>
    <t>155-164</t>
  </si>
  <si>
    <t>ISSN-07174888</t>
  </si>
  <si>
    <t>Pontifica Universidad Catolica de Chile, Programa de Derecho Administrativo Economico</t>
  </si>
  <si>
    <t>82.0</t>
  </si>
  <si>
    <t>0.266</t>
  </si>
  <si>
    <t>10.7764/redad.41.9</t>
  </si>
  <si>
    <t>2-s2.0-105010312297</t>
  </si>
  <si>
    <t>Pontificia Universidad Católica de Valparaíso| Universidad Finis Terrae</t>
  </si>
  <si>
    <t>60105368| 60023520</t>
  </si>
  <si>
    <t>Universidad Finis Terrae| Pontificia Universidad Católica de Valparaíso</t>
  </si>
  <si>
    <t>Patient and caregiver spinal muscular atrophy treatment attribute preferences in Latin America</t>
  </si>
  <si>
    <t>Saenz, V.| Chlistalla, M.| Carlos, N.| Castiglioni, C.| Soledad Monges, M.| Servais, L.| Zanoteli, E.</t>
  </si>
  <si>
    <t>Journal of Neuromuscular Diseases</t>
  </si>
  <si>
    <t>648-661</t>
  </si>
  <si>
    <t>ISSN-22143599</t>
  </si>
  <si>
    <t>10.1177/22143602251320267</t>
  </si>
  <si>
    <t>2-s2.0-105013525045</t>
  </si>
  <si>
    <t>Universidade de São Paulo| University of Oxford| University of Liege| Universidad Finis Terrae| Oxford University Hospitals NHS Foundation Trust| F. Hoffmann-La Roche AG</t>
  </si>
  <si>
    <t>101886344| 60008201| 112617248| 60109622| 60105368| 60013462| 60026851| 60172675| 60002634| 60000964| 60016829| 60008088</t>
  </si>
  <si>
    <t>Productos Roche SAQeI| F. Hoffmann-La Roche AG| Produtos Roche Químicos e Farmacêuticos S/A| Clinica Meds, Chile| Universidad Finis Terrae| Hospital de Pediatria SAMIC Prof. Dr. Juan P. Garrahan| University of Oxford| NIHR Oxford Biomedical Research Centre| University of Oxford Medical Sciences Division| Université de Liège| Centre Hospitalier Universitaire de Liege| Universidade de São Paulo</t>
  </si>
  <si>
    <t>Belgium| Chile| United Kingdom| Switzerland| Brazil| Argentina</t>
  </si>
  <si>
    <t>Tensile Bond Strength, Fit Accuracy and Failure Types of Zirconia and Cast Gold Root Copings for Overdentures</t>
  </si>
  <si>
    <t>Muehlemann, E.| Lavanchy, I.| Krasniqi, A.| Colombo, V.| Strauss, F.J.| Dydyk, N.| Armağan, E.| Özcan, M.</t>
  </si>
  <si>
    <t>European Journal of Prosthodontics and Restorative Dentistry</t>
  </si>
  <si>
    <t>384-391</t>
  </si>
  <si>
    <t>ISSN-09657452</t>
  </si>
  <si>
    <t>Dennis Barber Ltd</t>
  </si>
  <si>
    <t>0.475</t>
  </si>
  <si>
    <t>10.1922/EJPRD_2685Muehlemann08</t>
  </si>
  <si>
    <t>2-s2.0-85211195998</t>
  </si>
  <si>
    <t>University of Zurich| Universidad Finis Terrae| Danylo Halytsky Lviv National Medical University</t>
  </si>
  <si>
    <t>60012614| 60105368| 60028222</t>
  </si>
  <si>
    <t>Universität Zürich| Universidad Finis Terrae| Danylo Halytsky Lviv National Medical University</t>
  </si>
  <si>
    <t>Chile| Switzerland| Ukraine</t>
  </si>
  <si>
    <t>Early Exercise Boosts Visceral Fat Loss Post‑Bariatric Surgery in the First Month</t>
  </si>
  <si>
    <t>Cancino-Lopez, J.| Lillo-Urzua, P.| Olivares-Galvez, M.| Palacio-Aguero, A.| Duque, J.C.| Luengas, R.| Pino-Zuñiga, J.</t>
  </si>
  <si>
    <t>2407-2408</t>
  </si>
  <si>
    <t>10.1007/s11695-025-07947-w</t>
  </si>
  <si>
    <t>2-s2.0-105006577629</t>
  </si>
  <si>
    <t>Universidad del Desarrollo| Universidad Finis Terrae</t>
  </si>
  <si>
    <t>60105368| 132246755| 132627045| 131160378| 60006469</t>
  </si>
  <si>
    <t>Universidad Finis Terrae| NFT Center| Católica Silva Henríquez University| Bariatric Center BIO| Universidad del Desarrollo</t>
  </si>
  <si>
    <t>Pino-Zuñiga J.</t>
  </si>
  <si>
    <t>Basáez-Miranda E.</t>
  </si>
  <si>
    <t>Artificial Intelligence Applied to Stroke Care: A Description of the State of the Art and Future Expectations</t>
  </si>
  <si>
    <t>Basáez-Miranda, E.</t>
  </si>
  <si>
    <t>156-162</t>
  </si>
  <si>
    <t>10.1016/j.rmclc.2025.06.007</t>
  </si>
  <si>
    <t>2-s2.0-105009923921</t>
  </si>
  <si>
    <t>Clinical Image: Filatov’s triangle</t>
  </si>
  <si>
    <t>Carruyo, J.L.| Córdova, T.| Díaz, F.</t>
  </si>
  <si>
    <t>422-424</t>
  </si>
  <si>
    <t>10.32641/andespediatr.v96i3.5679</t>
  </si>
  <si>
    <t>2-s2.0-105009390060</t>
  </si>
  <si>
    <t>Martínez-Mardones M.B.</t>
  </si>
  <si>
    <t>Low Rectovaginal Fistula Repair: Full Cutaneous Martius Flap</t>
  </si>
  <si>
    <t>Baeza, P.| Martínez-Mardones, M.B.| Molina, M.E.</t>
  </si>
  <si>
    <t>Diseases of the colon and rectum</t>
  </si>
  <si>
    <t>e51-e52</t>
  </si>
  <si>
    <t>ISSN-15300358</t>
  </si>
  <si>
    <t>0.795</t>
  </si>
  <si>
    <t>10.1097/DCR.0000000000003412</t>
  </si>
  <si>
    <t>2-s2.0-85216717612</t>
  </si>
  <si>
    <t>Hospital del Salvador| Universidad Finis Terrae| Pontificia Universidad Católica de Chile</t>
  </si>
  <si>
    <t>60006634| 60105368| 60029681</t>
  </si>
  <si>
    <t>Loyola M.T.</t>
  </si>
  <si>
    <t>Reporting to Moscow: political letters from the soviet embassy in Santiago, Chile, 1970-1972</t>
  </si>
  <si>
    <t>Loyola, M.T.| Schelchkov, A.</t>
  </si>
  <si>
    <t>Cuadernos de Historia</t>
  </si>
  <si>
    <t>383-454</t>
  </si>
  <si>
    <t>ISSN-07161832</t>
  </si>
  <si>
    <t>Universidad de Chile, Facultad de Filosofia y Humanidades, Departamento de Literatura</t>
  </si>
  <si>
    <t>10.5354/0719-1243.2025.79291</t>
  </si>
  <si>
    <t>2-s2.0-105009800568</t>
  </si>
  <si>
    <t>Russian Academy of Sciences| Universidad Finis Terrae</t>
  </si>
  <si>
    <t>60105368| 60021331</t>
  </si>
  <si>
    <t>Universidad Finis Terrae| Russian Academy of Sciences</t>
  </si>
  <si>
    <t>Torres K.O.</t>
  </si>
  <si>
    <t>What “evidence” does Evidence-Based Medicine (EBM) refer to?</t>
  </si>
  <si>
    <t>Torres, K.O.| Barrera, J.M.</t>
  </si>
  <si>
    <t>Acta Bioethica</t>
  </si>
  <si>
    <t>245-252</t>
  </si>
  <si>
    <t>ISSN-07175906</t>
  </si>
  <si>
    <t>Universidad de Chile - Centro Interdisciplinario de Estudios en Bioetica</t>
  </si>
  <si>
    <t>84.0</t>
  </si>
  <si>
    <t>0.203</t>
  </si>
  <si>
    <t>10.4067/S1726-569X2024000200245</t>
  </si>
  <si>
    <t>2-s2.0-85205237878</t>
  </si>
  <si>
    <t>Universidad Finis Terrae| Universidad Gabriela Mistral</t>
  </si>
  <si>
    <t>60105368| 60105367</t>
  </si>
  <si>
    <t>Vidal C. M.</t>
  </si>
  <si>
    <t>Immune checkpoint inhibitors in early-stage non-small cell lung cancer: New standard of care?</t>
  </si>
  <si>
    <t>Vidal C., M.| Samtani, S.</t>
  </si>
  <si>
    <t>74-81</t>
  </si>
  <si>
    <t>10.1016/j.rmclc.2024.03.005</t>
  </si>
  <si>
    <t>2-s2.0-85189700511</t>
  </si>
  <si>
    <t>Colorectal cancer screening: emerging non-invasive tests</t>
  </si>
  <si>
    <t>Cassana, A.| Abedrapo, M.| Diaz, M.| Zamorano, D.| Zárate, A.</t>
  </si>
  <si>
    <t>82-87</t>
  </si>
  <si>
    <t>10.1016/j.rmclc.2024.03.006</t>
  </si>
  <si>
    <t>2-s2.0-85189513161</t>
  </si>
  <si>
    <t>60017912| 60011682| 60105910| 60105368</t>
  </si>
  <si>
    <t>Clínica Las Condes| Hospital Clínico Universidad De Chile| Hospital Clínico Félix Bulnes| Universidad Finis Terrae</t>
  </si>
  <si>
    <t>Corrigendum: The role of cholesterol and mitochondrial bioenergetics in activation of the inflammasome in IBD (Front. Immunol., (2022), 13, 1028953, 10.3389/fimmu.2022.1028953)</t>
  </si>
  <si>
    <t>Astorga, J.| Gasaly, N.| Dubois-Camacho, K.| De la Fuente, M.| Landskron, G.| Faber, K.N.| Urra, F.A.| Hermoso, M.A.</t>
  </si>
  <si>
    <t>10.3389/fimmu.2024.1384162</t>
  </si>
  <si>
    <t>2-s2.0-85187112825</t>
  </si>
  <si>
    <t>University of Groningen| Universidad Finis Terrae| Universidad de Chile</t>
  </si>
  <si>
    <t>60002946| 60012464| 60006027| 60105368</t>
  </si>
  <si>
    <t>Facultad de Medicina de la Universidad de Chile| Universidad de Chile| Universitair Medisch Centrum Groningen| Universidad Finis Terrae</t>
  </si>
  <si>
    <t>Quintero K.C.</t>
  </si>
  <si>
    <t>USE OF THE RATIO OF 1,4-DIMETHYL- TO 1,3,4-TRIMETHYL-ADAMANTANE AS A SOURCE-RELATED PROXY IN PETROLEUM GEOCHEMISTRY: TWO CASE STUDIES</t>
  </si>
  <si>
    <t>Diaz, J.G.| Lorenzo, E.| Morato, A.| Quintero, K.C.| Carruyo, G.| Tocco, R.| Márquez, G.</t>
  </si>
  <si>
    <t>32nd International Meeting on Organic Geochemistry, IMOG 2025</t>
  </si>
  <si>
    <t>European Association of Geoscientists and Engineers, EAGE</t>
  </si>
  <si>
    <t>10.3997/2214-4609.202533022</t>
  </si>
  <si>
    <t>2-s2.0-105030866059</t>
  </si>
  <si>
    <t>University of Oviedo| Universidad Finis Terrae| University of Huelva| Universidad del Zulia</t>
  </si>
  <si>
    <t>60006793| 60014204| 60105368| 60031579| 133797895</t>
  </si>
  <si>
    <t>Universidad de Oviedo| Universidad de Huelva| Universidad Finis Terrae| Universidad Del Zulia| Stratum Reservoir Co.</t>
  </si>
  <si>
    <t>Chile| Spain| United States| Venezuela</t>
  </si>
  <si>
    <t>Challenges in cerebral hemorrhage and liver cirrhosis. bilateral ventricular shunt as a therapeutic alternative</t>
  </si>
  <si>
    <t>Arroyo, A.| Ramos, A.| Reccius, A.</t>
  </si>
  <si>
    <t>114-119</t>
  </si>
  <si>
    <t>10.1016/j.rmclc.2025.04.004</t>
  </si>
  <si>
    <t>2-s2.0-105003572556</t>
  </si>
  <si>
    <t>Rego T.</t>
  </si>
  <si>
    <t>Hypotaxis in indirect interrogatives clauses in Aristotle’s Categories</t>
  </si>
  <si>
    <t>Rego, T.</t>
  </si>
  <si>
    <t>Onomazein</t>
  </si>
  <si>
    <t>65-77</t>
  </si>
  <si>
    <t>ISSN-07171285</t>
  </si>
  <si>
    <t>0.6</t>
  </si>
  <si>
    <t>0.194</t>
  </si>
  <si>
    <t>10.7764/onomazein.65.04</t>
  </si>
  <si>
    <t>2-s2.0-85211207629</t>
  </si>
  <si>
    <t>López A.L.</t>
  </si>
  <si>
    <t>Extranei intervention in special crimes and Nagler's secondary duty as a basis for punishing participants</t>
  </si>
  <si>
    <t>López, A.L.</t>
  </si>
  <si>
    <t>Politica Criminal</t>
  </si>
  <si>
    <t>308-331</t>
  </si>
  <si>
    <t>ISSN-07183399</t>
  </si>
  <si>
    <t>Centro Estudios Derecho Penal</t>
  </si>
  <si>
    <t>2-s2.0-85204901781</t>
  </si>
  <si>
    <t>Creatine Supplementation Prior to Strength Exercise Training is Not Superior in Preventing Muscle Mass Loss Compared with Standard Nutritional Recommendations in Females after Bariatric Surgery: A Pilot Study</t>
  </si>
  <si>
    <t>Diaz-Pizarro, M.| Pino-Zúñiga, J.| Olivares Gálvez, M.| Rendon Vesga, C.| Luengas Tello, R.| Duque Seguro, C.| Cancino-López, J.</t>
  </si>
  <si>
    <t>365-366</t>
  </si>
  <si>
    <t>10.1007/s11695-024-07630-6</t>
  </si>
  <si>
    <t>2-s2.0-85211925904</t>
  </si>
  <si>
    <t>60105368| 131160378</t>
  </si>
  <si>
    <t>Universidad Finis Terrae| Bariatric Center BIO</t>
  </si>
  <si>
    <t>Hasbún P.</t>
  </si>
  <si>
    <t>Enhancing crisis communication through visual CPR documentation</t>
  </si>
  <si>
    <t>Hasbún, P.| García, J.| Galleguillos, M.J.| Ferre, A.| Giglio, A.</t>
  </si>
  <si>
    <t>Resuscitation Plus</t>
  </si>
  <si>
    <t>ISSN-26665204</t>
  </si>
  <si>
    <t>10.1016/j.resplu.2025.100915</t>
  </si>
  <si>
    <t>2-s2.0-86000137197</t>
  </si>
  <si>
    <t>60105368| 60017912| 131554329</t>
  </si>
  <si>
    <t>Universidad Finis Terrae| Clínica Las Condes| Hospital Virtual Valdecilla</t>
  </si>
  <si>
    <t>García J.</t>
  </si>
  <si>
    <t>Unfused transverse foramen of the atlas vertebra in the Neandertal lineage fossils</t>
  </si>
  <si>
    <t>Gómez-Olivencia, A.| Arlegi, M.| Valenzuela-Fuenzalida, J.J.| Orellana-Donoso, M.| Arsuaga, J.L.| Sanchis-Gimeno, J.A.</t>
  </si>
  <si>
    <t>Anatomical Record</t>
  </si>
  <si>
    <t>ISSN-19328486</t>
  </si>
  <si>
    <t>0.745</t>
  </si>
  <si>
    <t>10.1002/ar.70089</t>
  </si>
  <si>
    <t>2-s2.0-105021234505</t>
  </si>
  <si>
    <t>Grupo de Investigación Centro Mixto (UCM-ISCIII) de Evolución y Comportamiento Humano| Muséum national d'histoire naturelle| University of Cambridge| Universidad Andrés Bello| Complutense University| CNRS| University of Valencia| Universidad Finis Terrae| Instituto de Salud Carlos III| University of the Basque Country</t>
  </si>
  <si>
    <t>60027856| 60275232| 100674210| 60031101| 60008134| 60070481| 60028311| 60002636| 60105368| 60027282| 60002644</t>
  </si>
  <si>
    <t>Universidad del Pais Vasco| Grupo de Investigación Centro Mixto (UCM-ISCIII) de Evolución y Comportamiento Humano| Sociedad de Ciencias Aranzadi| University of Cambridge| CNRS Centre National de la Recherche Scientifique| Museé de l'Homme| Museum National d'Histoire Naturelle| Universidad Andrés Bello| Universidad Finis Terrae| Universidad Complutense de Madrid| Universitat de València</t>
  </si>
  <si>
    <t>Chile| United Kingdom| Spain| France</t>
  </si>
  <si>
    <t>Mardones-Falcone G.</t>
  </si>
  <si>
    <t>I Move and Think Like an Architect within the World of Art”. Interview with Architect and Artist Alfredo Jaar</t>
  </si>
  <si>
    <t>Mardones-Falcone, G.</t>
  </si>
  <si>
    <t>AUS</t>
  </si>
  <si>
    <t>110-115</t>
  </si>
  <si>
    <t>ISSN-0718204X</t>
  </si>
  <si>
    <t>Universidad Austral de Chile</t>
  </si>
  <si>
    <t>80.0</t>
  </si>
  <si>
    <t>0.172</t>
  </si>
  <si>
    <t>10.4206/aus.2024.n36-13</t>
  </si>
  <si>
    <t>2-s2.0-105000133447</t>
  </si>
  <si>
    <t>Universidad Finis Terrae| Universidad Adolfo Ibáñez| Universidad Autónoma de Madrid</t>
  </si>
  <si>
    <t>60105368| 60003942| 60026796</t>
  </si>
  <si>
    <t>Malformación glomuvenosa: serie de casos</t>
  </si>
  <si>
    <t>Contreras Aguilera, J.| Hartmann Schatloff, D.| Araníbar Durán, L.</t>
  </si>
  <si>
    <t>Piel</t>
  </si>
  <si>
    <t>260-262</t>
  </si>
  <si>
    <t>ISSN-02139251</t>
  </si>
  <si>
    <t>French| Spanish</t>
  </si>
  <si>
    <t>94.0</t>
  </si>
  <si>
    <t>0.11</t>
  </si>
  <si>
    <t>10.1016/j.piel.2023.10.022</t>
  </si>
  <si>
    <t>2-s2.0-85186067484</t>
  </si>
  <si>
    <t>60012464| 60002946| 60105368| 60011682</t>
  </si>
  <si>
    <t>Universidad de Chile| Facultad de Medicina de la Universidad de Chile| Universidad Finis Terrae| Hospital Clínico Universidad De Chile</t>
  </si>
  <si>
    <t>Sánchez M.</t>
  </si>
  <si>
    <t>“HABIENDO VISTO PRESUMIDO EL PATÍBULO ESTA CIUDAD AYER, LE VEAN EN EL ALTAR HOY”: THE CASE OF THE ORDINATION OF THE PRIEST GERÓNIMO DE FUENZALIDA Y GUZMÁN</t>
  </si>
  <si>
    <t>Sánchez, M.</t>
  </si>
  <si>
    <t>Historia (Chile)</t>
  </si>
  <si>
    <t>43-82</t>
  </si>
  <si>
    <t>ISSN-00732435</t>
  </si>
  <si>
    <t>0.251</t>
  </si>
  <si>
    <t>10.7764/HIST.58.2.71991</t>
  </si>
  <si>
    <t>2-s2.0-105028224020</t>
  </si>
  <si>
    <t>Leveraging shared variation among traits for the discovery of genetic variants in complex phenotypes such as obesity</t>
  </si>
  <si>
    <t>Fernández-Verdejo, R.| Hughes, D.| Ravussin, E.</t>
  </si>
  <si>
    <t>Obesity</t>
  </si>
  <si>
    <t>1025-1026</t>
  </si>
  <si>
    <t>ISSN-19307381</t>
  </si>
  <si>
    <t>10.1002/oby.24313</t>
  </si>
  <si>
    <t>2-s2.0-105004015051</t>
  </si>
  <si>
    <t>Louisiana State University| LSU Pennington Biomedical Research Center| Universidad Finis Terrae</t>
  </si>
  <si>
    <t>60007566| 60021235| 60105368</t>
  </si>
  <si>
    <t>Louisiana State University| Pennington Biomedical Research Center| Universidad Finis Terrae</t>
  </si>
  <si>
    <t>Escobar-González S.</t>
  </si>
  <si>
    <t>Authority, formation and teaching work: reflections of young teachers in Chile and Argentina</t>
  </si>
  <si>
    <t>Escobar-González, S.| Muñoz-Silva, I.| Di-Leo, P.F.</t>
  </si>
  <si>
    <t>1405-1440</t>
  </si>
  <si>
    <t>0.235</t>
  </si>
  <si>
    <t>10.23854/autoc.v9i2.493</t>
  </si>
  <si>
    <t>2-s2.0-105014292965</t>
  </si>
  <si>
    <t>Consejo Nacional de Investigaciones Científicas y Técnicas| Universidad Finis Terrae| Pontificia Universidad Católica de Chile| Universidad de Buenos Aires</t>
  </si>
  <si>
    <t>60105368| 60029681| 60004518| 60001563</t>
  </si>
  <si>
    <t>Universidad Finis Terrae| Pontificia Universidad Católica de Chile| Consejo Nacional de Investigaciones Científicas y Técnicas| Universidad de Buenos Aires</t>
  </si>
  <si>
    <t>Results of prophylactic simple fasciocutaneous advancement in the initial management of acute ankle fractures with high risk of operative wound complication</t>
  </si>
  <si>
    <t>Becerra, E.| Castro, M.| Ruiz-Riquelme, P.</t>
  </si>
  <si>
    <t>37-43</t>
  </si>
  <si>
    <t>0.992</t>
  </si>
  <si>
    <t>10.1016/j.fas.2023.09.002</t>
  </si>
  <si>
    <t>2-s2.0-85171831612</t>
  </si>
  <si>
    <t>60211544| 60281395| 60105368| 60017912</t>
  </si>
  <si>
    <t>Hospital Dra. Eloísa Díaz I. De La Florida| Hospital de Carabineros de Chile| Universidad Finis Terrae| Clínica Las Condes</t>
  </si>
  <si>
    <t>Massa Á.A.</t>
  </si>
  <si>
    <t>CHILEAN PATIENTS BELONGING TO VULNERABLE GROUPS: A LOOK FROM THE RULINGS OF THE INTER-AMERICAN COURT*</t>
  </si>
  <si>
    <t>Ferrada, C.R.| Escudero, R.Á.| Lizana, E.A.| Massa, Á.A.</t>
  </si>
  <si>
    <t>Iberoamerica (Russian Federation)</t>
  </si>
  <si>
    <t>114-135</t>
  </si>
  <si>
    <t>ISSN-20759711</t>
  </si>
  <si>
    <t>Institute of Latin American Studies, Russian Academy of Sciences</t>
  </si>
  <si>
    <t>10.37656/s20768400-2024-1-06</t>
  </si>
  <si>
    <t>2-s2.0-85195027038</t>
  </si>
  <si>
    <t>Pontificia Universidad Católica de Valparaíso| Universidad de Talca| Universidad Finis Terrae| Universidad de Valparaíso</t>
  </si>
  <si>
    <t>60016278| 60008781| 60023520| 60105368</t>
  </si>
  <si>
    <t>Universidad de Talca| Universidad de Valparaiso| Pontificia Universidad Católica de Valparaíso| Universidad Finis Terrae</t>
  </si>
  <si>
    <t>Perception of medical students regarding a hybrid Orthopedics course post COVID-19 pandemic. Cross-sectional study in Chile</t>
  </si>
  <si>
    <t>Ruiz-Riquelme, P.| Cáceres-Hernández, A.| König-López, B.| Quintana-Guiñez, F.| Castro-Cruz, M.</t>
  </si>
  <si>
    <t>364-373</t>
  </si>
  <si>
    <t>10.1016/j.rmclc.2024.05.012</t>
  </si>
  <si>
    <t>2-s2.0-85201500956</t>
  </si>
  <si>
    <t>60105368| 60017912| 60211544| 120996103</t>
  </si>
  <si>
    <t>Universidad Finis Terrae| Clínica Las Condes| Hospital Dra. Eloísa Díaz I. De La Florida| Centro de Salud Familiar (CESFAM)</t>
  </si>
  <si>
    <t>Cáceres-Hernández A.</t>
  </si>
  <si>
    <t>Quintana-Guiñez F.</t>
  </si>
  <si>
    <t>Castro-Cruz M.</t>
  </si>
  <si>
    <t>Reliability of Industrial-Scale Telescopes in the Event of Seismic Failures</t>
  </si>
  <si>
    <t>Cho, A.D.| Jiménez, D.| Guevara, E.</t>
  </si>
  <si>
    <t>IEEE Access</t>
  </si>
  <si>
    <t>149760-149786</t>
  </si>
  <si>
    <t>ISSN-21693536</t>
  </si>
  <si>
    <t>0.849</t>
  </si>
  <si>
    <t>10.1109/ACCESS.2024.3479090</t>
  </si>
  <si>
    <t>2-s2.0-85207717291</t>
  </si>
  <si>
    <t>Universidad Mayor| Pontificia Universidad Católica de Valparaíso| Universidad Finis Terrae</t>
  </si>
  <si>
    <t>60005881| 60023520| 60105368</t>
  </si>
  <si>
    <t>Santander A.S.</t>
  </si>
  <si>
    <t>Law as Facultas in Luis de Molina’s general Law of the contract</t>
  </si>
  <si>
    <t>Santander, A.S.</t>
  </si>
  <si>
    <t>Glossae</t>
  </si>
  <si>
    <t>608-641</t>
  </si>
  <si>
    <t>ISSN-22552707</t>
  </si>
  <si>
    <t>Institute for Social, Political and Legal Studies</t>
  </si>
  <si>
    <t>81.0</t>
  </si>
  <si>
    <t>0.114</t>
  </si>
  <si>
    <t>2-s2.0-85207189257</t>
  </si>
  <si>
    <t>Aravena S.C.</t>
  </si>
  <si>
    <t>The child’s right to be heard in processes regarding application of protective measures: Proposals for Chile</t>
  </si>
  <si>
    <t>Aravena, S.C.</t>
  </si>
  <si>
    <t>Pro Jure Revista de Derecho</t>
  </si>
  <si>
    <t>171-203</t>
  </si>
  <si>
    <t>ISSN-28107659</t>
  </si>
  <si>
    <t>Pontificia Universidad Catolica de Valparaiso</t>
  </si>
  <si>
    <t>77.0</t>
  </si>
  <si>
    <t>0.498</t>
  </si>
  <si>
    <t>10.4151/SO2810-76592025064-1459</t>
  </si>
  <si>
    <t>2-s2.0-105014951523</t>
  </si>
  <si>
    <t>Training Adaptation and Maladaptation in Athletes</t>
  </si>
  <si>
    <t>Weakley, J.| Halson, S.L.| Mujika, I.</t>
  </si>
  <si>
    <t>Fundamentals of Recovery, Regeneration, and Adaptation to Exercise Stress: An Integrated Approach</t>
  </si>
  <si>
    <t>283-302</t>
  </si>
  <si>
    <t>Springer Science+Business Media</t>
  </si>
  <si>
    <t>10.1007/978-3-031-44270-4_11</t>
  </si>
  <si>
    <t>2-s2.0-105022964082</t>
  </si>
  <si>
    <t>Universidad Finis Terrae| Leeds Beckett University| Australian Catholic University| University of the Basque Country</t>
  </si>
  <si>
    <t>60010679| 60032773| 60027856| 60105368</t>
  </si>
  <si>
    <t>Australian Catholic University| Leeds Beckett University| Universidad del Pais Vasco| Universidad Finis Terrae</t>
  </si>
  <si>
    <t>Chile| United Kingdom| Spain| Australia</t>
  </si>
  <si>
    <t>Cocaine polydrug use and its impact on intentional harm recognition: a high-density EEG study</t>
  </si>
  <si>
    <t>Morales, J.-P.| Van Dam, N.T.| Huepe-Artigas, D.| Rivera-Rei, Á.| San-Martin, C.| Rojas-Thomas, F.| Valdés, J.| Ibáñez, A.| Huepe, D.</t>
  </si>
  <si>
    <t>BMC Psychology</t>
  </si>
  <si>
    <t>ISSN-20507283</t>
  </si>
  <si>
    <t>36.0</t>
  </si>
  <si>
    <t>10.1186/s40359-025-03145-6</t>
  </si>
  <si>
    <t>2-s2.0-105013202169</t>
  </si>
  <si>
    <t>The University of Sydney| Trinity College Dublin| Universidad de los Andes Chile| University of California at San Francisco| University of Melbourne| Universidad de San Andrés| Universidad Adolfo Ibáñez| Universidad Finis Terrae| Pontificia Universidad Católica de Chile</t>
  </si>
  <si>
    <t>60212023| 60105368| 60026553| 60118640| 60003942| 60011284| 60088718| 60029681| 60023691| 60011149| 60008314</t>
  </si>
  <si>
    <t>The University of Sydney Business School| Universidad Finis Terrae| University of Melbourne| Melbourne School of Psychological Sciences| Universidad Adolfo Ibáñez| Universidad de los Andes, Chile| Escuela de Medicina| Pontificia Universidad Católica de Chile| University of California, San Francisco| Trinity College Dublin| Universidad de San Andres</t>
  </si>
  <si>
    <t>Chile| Ireland| United States| Australia| Argentina</t>
  </si>
  <si>
    <t>Casals-Hill A.</t>
  </si>
  <si>
    <t>The City as the Anthropos-scene in Shaun Tan’s Picture Book Tales from the Inner City: Interspecies Encounters</t>
  </si>
  <si>
    <t>Casals-Hill, A.</t>
  </si>
  <si>
    <t>Inmaterial</t>
  </si>
  <si>
    <t>122-147</t>
  </si>
  <si>
    <t>ISSN-24625892</t>
  </si>
  <si>
    <t>BAU College of Arts and Design Barcelona</t>
  </si>
  <si>
    <t>0.124</t>
  </si>
  <si>
    <t>10.46516/inmaterial.v10.219</t>
  </si>
  <si>
    <t>2-s2.0-105010237891</t>
  </si>
  <si>
    <t>Balancing the scales: the challenge of pathologies with opposing treatments</t>
  </si>
  <si>
    <t>Vergara, K.| Jimenez, A.G.</t>
  </si>
  <si>
    <t>126-127</t>
  </si>
  <si>
    <t>10.1016/j.rmclc.2025.03.001</t>
  </si>
  <si>
    <t>2-s2.0-105003541829</t>
  </si>
  <si>
    <t>60017912| 60105368| 132503695</t>
  </si>
  <si>
    <t>Clínica Las Condes| Universidad Finis Terrae| Son Llatzer Hospital and IdISBa</t>
  </si>
  <si>
    <t>Jimenez A.G.</t>
  </si>
  <si>
    <t>Moyano Dávila C.</t>
  </si>
  <si>
    <t>Merit as an Attitude: Chilean School Communities’ Repertoires in Chile and the Perception of the “Good Student” in a Post-pandemic Scenario</t>
  </si>
  <si>
    <t>Moyano Dávila, C.| Alarcón-Arcos, S.| Angelcos, N.| Castillo, J.C.| Salgado, M.</t>
  </si>
  <si>
    <t>Social Justice Research</t>
  </si>
  <si>
    <t>264-289</t>
  </si>
  <si>
    <t>ISSN-08857466</t>
  </si>
  <si>
    <t>0.817</t>
  </si>
  <si>
    <t>10.1007/s11211-025-00456-2</t>
  </si>
  <si>
    <t>2-s2.0-105007992528</t>
  </si>
  <si>
    <t>60105368| 132681856| 60029681| 60012464| 60002636</t>
  </si>
  <si>
    <t>Universidad Finis Terrae| Digital Inequalities and Opportunities.| Pontificia Universidad Católica de Chile| Universidad de Chile| Universidad Andrés Bello</t>
  </si>
  <si>
    <t>Muñoz-Concha D.</t>
  </si>
  <si>
    <t>Nonfiction Texts as a Biocultural Conservation Trigger</t>
  </si>
  <si>
    <t>Casals-Hill, A.| Muñoz-Concha, D.| Quiñones Díaz, X.</t>
  </si>
  <si>
    <t>Bookbird: Journal of International Children's Literature</t>
  </si>
  <si>
    <t>41-50</t>
  </si>
  <si>
    <t>ISSN-00067377</t>
  </si>
  <si>
    <t>IBBY - International Board of Books for Young People</t>
  </si>
  <si>
    <t>10.1353/bkb.2025.a952086</t>
  </si>
  <si>
    <t>2-s2.0-86000144898</t>
  </si>
  <si>
    <t>University of Nottingham| Universidad Finis Terrae| Universidad Católica del Maule</t>
  </si>
  <si>
    <t>60015138| 60105368| 60009462</t>
  </si>
  <si>
    <t>Chile| United Kingdom</t>
  </si>
  <si>
    <t>Errata to “COPD management in the modern era” [REV. MED. CLIN. CONDES - 2024</t>
  </si>
  <si>
    <t>Pediatric fluid resuscitation: an oxymoron?</t>
  </si>
  <si>
    <t>Diaz, F.| Riderelli, J.| Jabornisky, R.</t>
  </si>
  <si>
    <t>10.3389/fped.2025.1594336</t>
  </si>
  <si>
    <t>2-s2.0-105009283774</t>
  </si>
  <si>
    <t>60281394| 60105368| 126932395| 123957561</t>
  </si>
  <si>
    <t>Hospital El Carmen Dr. Luis Valentín Ferrada| Universidad Finis Terrae| LARed Network| Hospital Regional Olga Stucky de Rizzi</t>
  </si>
  <si>
    <t>Mortality due to malnutritionin adults: An ecological study on educational inequalities in Colombia, 1998-2015</t>
  </si>
  <si>
    <t>Vásquez-Escobar, L.| López-Arana, S.| Arroyave, I.</t>
  </si>
  <si>
    <t>Salud Uninorte</t>
  </si>
  <si>
    <t>128-146</t>
  </si>
  <si>
    <t>ISSN-01205552</t>
  </si>
  <si>
    <t>Universidad del Norte</t>
  </si>
  <si>
    <t>78.0</t>
  </si>
  <si>
    <t>0.155</t>
  </si>
  <si>
    <t>10.14482/sun.41.01.339.842</t>
  </si>
  <si>
    <t>2-s2.0-105005102289</t>
  </si>
  <si>
    <t>Universidad de Antioquia| Universidad Finis Terrae| Universidad Pedagógica y Tecnológica de Colombia| Universidad de Chile</t>
  </si>
  <si>
    <t>60077378| 124943811| 60105368| 60012464| 60055833</t>
  </si>
  <si>
    <t>Universidad Pedagógica y Tecnológica de Colombia| Universidad Nacional de Colombia| Universidad Finis Terrae| Universidad de Chile| Universidad de Antioquia</t>
  </si>
  <si>
    <t>Letelier Widow G.</t>
  </si>
  <si>
    <t>Scholastic roots of the Hobbesian state of nature</t>
  </si>
  <si>
    <t>Letelier Widow, G.</t>
  </si>
  <si>
    <t>Res Publica. Revista de Historia de las Ideas Politicas</t>
  </si>
  <si>
    <t>275-284</t>
  </si>
  <si>
    <t>ISSN-15764184</t>
  </si>
  <si>
    <t>Universidad Complutense Madrid</t>
  </si>
  <si>
    <t>70.0</t>
  </si>
  <si>
    <t>0.201</t>
  </si>
  <si>
    <t>10.5209/rpub.98780</t>
  </si>
  <si>
    <t>2-s2.0-105013349857</t>
  </si>
  <si>
    <t>Intelligent Grid Support with VPPs: A Scalable Solution for PMGD Integration Challenges</t>
  </si>
  <si>
    <t>Córdova, F.| Yanine, F.| de Saint Pierre, T.| Rother, H.| Aly, M.</t>
  </si>
  <si>
    <t>Proceedings - IEEE CHILEAN Conference on Electrical, Electronics Engineering, Information and Communication Technologies, ChileCon</t>
  </si>
  <si>
    <t>ISSN-28321529</t>
  </si>
  <si>
    <t>10.1109/CHILECON66915.2025.11476057</t>
  </si>
  <si>
    <t>2-s2.0-105038048443</t>
  </si>
  <si>
    <t>60000636| 60105368| 124003613</t>
  </si>
  <si>
    <t>Universidad San Sebastián| Universidad Finis Terrae| Enel Distribución Chile S.A.</t>
  </si>
  <si>
    <t>Ramos T.</t>
  </si>
  <si>
    <t>Can Frontal Assessment Battery Discriminate between Patients with Alzheimer’s and Frontotemporal Dementia?</t>
  </si>
  <si>
    <t>Grandi, F.| Olavarría, L.| Parra, M.A.| Martínez-Pernía, D.| Serey, C.| Lema, J.| Delgado, C.| Ramos, T.| Lillo, P.| García, A.M.| Muniz-Terrera, G.| Slachevsky, A.</t>
  </si>
  <si>
    <t>Archives of Clinical Neuropsychology</t>
  </si>
  <si>
    <t>1559-1570</t>
  </si>
  <si>
    <t>ISSN-08876177</t>
  </si>
  <si>
    <t>0.648</t>
  </si>
  <si>
    <t>10.1093/arclin/acaf073</t>
  </si>
  <si>
    <t>2-s2.0-105022805166</t>
  </si>
  <si>
    <t>Universidad Mayor| Universidad de Santiago de Chile| University of California at San Francisco| Universidad de San Andrés| Universidad Adolfo Ibáñez| Universidad Finis Terrae| Ohio University| Clínica Alemana de Santiago| University of Strathclyde| Universidad de las Américas - Chile| Universidad de los Andes Chile| Hospital del Salvador| Universidad del Desarrollo| Universidad de Chile</t>
  </si>
  <si>
    <t>60012464| 60281340| 60002946| 60011284| 60006634| 60024724| 60003942| 60105362| 60011682| 60105368| 106652810| 60008314| 60023691| 60023383| 60011132| 60000146| 60006469</t>
  </si>
  <si>
    <t>Universidad de Chile| Centro de Gerociencia, Salud Mental y Metabolismo| Facultad de Medicina de la Universidad de Chile| Universidad de los Andes, Chile| Hospital del Salvador| University of Strathclyde| Universidad Adolfo Ibáñez| Universidad de Las Américas Chile| Hospital Clínico Universidad De Chile| Universidad Finis Terrae| Hospital San José| Universidad de San Andres| University of California, San Francisco| Universidad de Santiago de Chile| Ohio University| Clinica Alemana| Universidad del Desarrollo</t>
  </si>
  <si>
    <t>Chile| United Kingdom| United States| Argentina</t>
  </si>
  <si>
    <t>Aguilar-Risco C.</t>
  </si>
  <si>
    <t>Acute effect of short foot exercise on dynamic stability and foot kinematic in trail runners: a proof-of-concept study</t>
  </si>
  <si>
    <t>Aguilar-Risco, C.| Martín-Correa, M.S.| Araya-Quintanilla, F.| Calatayud, J.| Mendez-Rebolledo, G.</t>
  </si>
  <si>
    <t>PeerJ</t>
  </si>
  <si>
    <t>ISSN-21678359</t>
  </si>
  <si>
    <t>PeerJ Inc.</t>
  </si>
  <si>
    <t>4.9</t>
  </si>
  <si>
    <t>10.7717/peerj.20364</t>
  </si>
  <si>
    <t>2-s2.0-105024993739</t>
  </si>
  <si>
    <t>Universidad Santo Tomás, Santiago| Universidad San Sebastián| University of Valencia| Universidad Austral de Chile| Universidad Finis Terrae</t>
  </si>
  <si>
    <t>60105368| 60000636| 60003634| 60002644| 60009128</t>
  </si>
  <si>
    <t>Universidad Finis Terrae| Universidad San Sebastián| Universidad Austral de Chile| Universitat de València| Universidad Santo Tomas, Santiago</t>
  </si>
  <si>
    <t>Mendez-Rebolledo G.</t>
  </si>
  <si>
    <t>Marrugo N.</t>
  </si>
  <si>
    <t>Pulmonary hypertension and connective tissue disease, a serious presentation</t>
  </si>
  <si>
    <t>Marrugo, N.| Giordanino, E.| Palma, G.| Venegas, J.C.</t>
  </si>
  <si>
    <t>31-35</t>
  </si>
  <si>
    <t>10.1016/j.rmclc.2025.01.004</t>
  </si>
  <si>
    <t>2-s2.0-85217941622</t>
  </si>
  <si>
    <t>Giordanino E.</t>
  </si>
  <si>
    <t>Palma G.</t>
  </si>
  <si>
    <t>Venegas J.C.</t>
  </si>
  <si>
    <t>Franchello M.E.</t>
  </si>
  <si>
    <t>Hospitalization in Patients with Parkinson's Disease</t>
  </si>
  <si>
    <t>Franchello, M.E.| Paz, J.J.</t>
  </si>
  <si>
    <t>163-168</t>
  </si>
  <si>
    <t>10.1016/j.rmclc.2025.06.005</t>
  </si>
  <si>
    <t>2-s2.0-105009857908</t>
  </si>
  <si>
    <t>113230059| 60017912| 60105368| 132770702</t>
  </si>
  <si>
    <t>Hospital Ángel C. Padilla de Tucumán| Clínica Las Condes| Universidad Finis Terrae| Clínica Mayo</t>
  </si>
  <si>
    <t>López Arana S.</t>
  </si>
  <si>
    <t>Workplace nutrition: a right or a privilege?</t>
  </si>
  <si>
    <t>López Arana, S.| Conti Donoso, F.| Castillo Valenzuela, O.</t>
  </si>
  <si>
    <t>94-95</t>
  </si>
  <si>
    <t>10.64159/rchnut-52-3-1</t>
  </si>
  <si>
    <t>2-s2.0-105012964277</t>
  </si>
  <si>
    <t>Conti Donoso F.</t>
  </si>
  <si>
    <t>Castillo Valenzuela O.</t>
  </si>
  <si>
    <t>Gaete M.</t>
  </si>
  <si>
    <t>Metalloproteinases are involved in the regulation of prenatal tooth morphogenesis</t>
  </si>
  <si>
    <t>Janečková, E.| Juarez-Balarezo, J.| Tucker, A.S.| Matalová, E.| Holomková, K.| Gaete, M.</t>
  </si>
  <si>
    <t>American Journal of Physiology - Cell Physiology</t>
  </si>
  <si>
    <t>C323-C333</t>
  </si>
  <si>
    <t>ISSN-03636143</t>
  </si>
  <si>
    <t>10.1152/ajpcell.00656.2024</t>
  </si>
  <si>
    <t>2-s2.0-85214934806</t>
  </si>
  <si>
    <t>Glendale Community College| Charles University| Universidad Finis Terrae| King's College London| Pontificia Universidad Católica de Chile| Czech Academy of Sciences</t>
  </si>
  <si>
    <t>60039580| 60031135| 60003075| 60029681| 60011520| 60016605| 60105368</t>
  </si>
  <si>
    <t>Institute of Animal Physiology and Genetics of the Academy of Sciences of the Czech Republic| Academy of Sciences of the Czech Republic| Glendale Community College| Pontificia Universidad Católica de Chile| King's College London| Charles University| Universidad Finis Terrae</t>
  </si>
  <si>
    <t>Chile| United Kingdom| United States| Czech Republic</t>
  </si>
  <si>
    <t>Prado-Medel C.</t>
  </si>
  <si>
    <t>From Users to Technological Mediators: Experiences of Pre-service Teachers Incorporating VR and AR Technologies in Their Initial Teaching Strategies</t>
  </si>
  <si>
    <t>Prado-Medel, C.</t>
  </si>
  <si>
    <t>Lecture Notes in Educational Technology</t>
  </si>
  <si>
    <t>705-713</t>
  </si>
  <si>
    <t>ISSN-21964963</t>
  </si>
  <si>
    <t>10.1007/978-981-97-1814-6_69</t>
  </si>
  <si>
    <t>2-s2.0-85202579214</t>
  </si>
  <si>
    <t>Universidad de Salamanca| Universidad Finis Terrae</t>
  </si>
  <si>
    <t>60025028| 60105368</t>
  </si>
  <si>
    <t>Foxley V.G.</t>
  </si>
  <si>
    <t>Family-preschool relationship and family engagement in distance preschool education in the time of COVID-19 in Chile: toward a change of Principals' mentality?</t>
  </si>
  <si>
    <t>Foxley, V.G.| Figueroa, F.C.</t>
  </si>
  <si>
    <t>Educational Review</t>
  </si>
  <si>
    <t>2001-2019</t>
  </si>
  <si>
    <t>ISSN-00131911</t>
  </si>
  <si>
    <t>9.3</t>
  </si>
  <si>
    <t>10.1080/00131911.2024.2332426</t>
  </si>
  <si>
    <t>2-s2.0-85191158838</t>
  </si>
  <si>
    <t>Figueroa F.C.</t>
  </si>
  <si>
    <t>When Raynaud's phenomenon is accompanied by dreaded digital ulcers: two case reports</t>
  </si>
  <si>
    <t>Vergara, K.</t>
  </si>
  <si>
    <t>88-92</t>
  </si>
  <si>
    <t>10.1016/j.rmclc.2025.03.002</t>
  </si>
  <si>
    <t>2-s2.0-105003555837</t>
  </si>
  <si>
    <t>The Current Dilemma of the Social Healthcare System in Chile: An Analysis of the Current Situation and Discussion of the Pending Reforms, from a Social Sustainability Management Viewpoint</t>
  </si>
  <si>
    <t>Yanine, F.</t>
  </si>
  <si>
    <t>Environmental Footprints and Eco-Design of Products and Processes</t>
  </si>
  <si>
    <t>85-101</t>
  </si>
  <si>
    <t>ISSN-23457651</t>
  </si>
  <si>
    <t>52.0</t>
  </si>
  <si>
    <t>10.1007/978-3-031-81029-9_5</t>
  </si>
  <si>
    <t>2-s2.0-105000398688</t>
  </si>
  <si>
    <t>Vargas C.H.</t>
  </si>
  <si>
    <t>Jurisprudential Analysis of Supreme Court rulings on compensation for damages derived from public bidding</t>
  </si>
  <si>
    <t>Vargas, C.H.</t>
  </si>
  <si>
    <t>Revista Juridica Digital Uandes</t>
  </si>
  <si>
    <t>78-103</t>
  </si>
  <si>
    <t>ISSN-07197942</t>
  </si>
  <si>
    <t>University of the Andes</t>
  </si>
  <si>
    <t>10.24822/rjduandes.0801.4</t>
  </si>
  <si>
    <t>2-s2.0-105011732633</t>
  </si>
  <si>
    <t>Universidad Finis Terrae| Universidad de los Andes Colombia</t>
  </si>
  <si>
    <t>60105368| 60052106</t>
  </si>
  <si>
    <t>Universidad Finis Terrae| Universidad de Los Andes, Colombia</t>
  </si>
  <si>
    <t>The role of nutrition and food research, and academia, in achieving the 2030 Agenda for Sustainable Development</t>
  </si>
  <si>
    <t>Fredes, C.| Echeverría, F.| Fernández-Verdejo, R.</t>
  </si>
  <si>
    <t>261-262</t>
  </si>
  <si>
    <t>10.4067/S0717-75182024000400261</t>
  </si>
  <si>
    <t>2-s2.0-85209206144</t>
  </si>
  <si>
    <t>60009418| 60029681| 60105368| 60021235| 60007566</t>
  </si>
  <si>
    <t>Facultad de Medicina| Pontificia Universidad Católica de Chile| Universidad Finis Terrae| Pennington Biomedical Research Center| Louisiana State University</t>
  </si>
  <si>
    <t>Villegas P.A.P.</t>
  </si>
  <si>
    <t>Phenomenological Study of Body Mapping in Nursing Students: Making Life Experiences During the Pandemic Visible</t>
  </si>
  <si>
    <t>Villegas, P.A.P.| Cortina, A.H.| González, C.G.</t>
  </si>
  <si>
    <t>Cultura de los Cuidados</t>
  </si>
  <si>
    <t>65-80</t>
  </si>
  <si>
    <t>ISSN-11381728</t>
  </si>
  <si>
    <t>Universidad de Alicante</t>
  </si>
  <si>
    <t>0.147</t>
  </si>
  <si>
    <t>10.14198/cuid.27940</t>
  </si>
  <si>
    <t>2-s2.0-85216993871</t>
  </si>
  <si>
    <t>Universidad Nacional de Chimborazo| Universidad Finis Terrae</t>
  </si>
  <si>
    <t>60105368| 60108604</t>
  </si>
  <si>
    <t>Universidad Finis Terrae| Universidad Nacional de Chimborazo</t>
  </si>
  <si>
    <t>Urrea F.</t>
  </si>
  <si>
    <t>Renal and ureteral temperatures changes during ureteroscopic pulsed thulium: YAG laser lithotripsy: an in vitro analysis</t>
  </si>
  <si>
    <t>Urrea, F.| Villena, J.M.| Larrañaga, M.| Salvadó, J.A.</t>
  </si>
  <si>
    <t>Central European Journal of Urology</t>
  </si>
  <si>
    <t>70-76</t>
  </si>
  <si>
    <t>ISSN-20804806</t>
  </si>
  <si>
    <t>Polish Urological Association</t>
  </si>
  <si>
    <t>0.5</t>
  </si>
  <si>
    <t>10.5173/ceju.2024.0177</t>
  </si>
  <si>
    <t>2-s2.0-105002076440</t>
  </si>
  <si>
    <t>60105368| 106580774</t>
  </si>
  <si>
    <t>Universidad Finis Terrae| Santa Maria Clinic</t>
  </si>
  <si>
    <t>Villena J.M.</t>
  </si>
  <si>
    <t>Paredes M.V.B.</t>
  </si>
  <si>
    <t>Architectural Design for the Recovery and Rehabilitation of the Haverbeck House: The Constant Debate on the Insertion of the New into the Old</t>
  </si>
  <si>
    <t>Morales, E.A.| Aguilar, C.V.| Paredes, M.V.B.| Soto, C.I.</t>
  </si>
  <si>
    <t>76-89</t>
  </si>
  <si>
    <t>10.4206/aus.2024.n36-10</t>
  </si>
  <si>
    <t>2-s2.0-105000407376</t>
  </si>
  <si>
    <t>Universidad del Bío-Bío| Pontificia Universidad Católica de Valparaíso| Universidad de Los Lagos| Universidad Austral de Chile| Universidad Finis Terrae| Columbia University| Pontificia Universidad Católica de Chile</t>
  </si>
  <si>
    <t>60023520| 60023195| 60003634| 60007572| 60029681| 60105368| 60030162</t>
  </si>
  <si>
    <t>Pontificia Universidad Católica de Valparaíso| Universidad del Bio Bio| Universidad Austral de Chile| Universidad de Los Lagos| Pontificia Universidad Católica de Chile| Universidad Finis Terrae| Columbia University</t>
  </si>
  <si>
    <t>Association between dairy consumption and type 2 diabetes, hypertension and obesity: Results from a nationally representative survey in Chilean adults</t>
  </si>
  <si>
    <t>Fuentes, C.| López-Arana, S.| Duran-Agüero, S.| Farías-Castro, C.| Guzmán, C.| Chamorro Melo, R.| Valenzuela Báez, R.</t>
  </si>
  <si>
    <t>273-285</t>
  </si>
  <si>
    <t>10.4067/S0717-75182024000400273</t>
  </si>
  <si>
    <t>2-s2.0-85209173991</t>
  </si>
  <si>
    <t>Universidad San Sebastián| Universidad Finis Terrae| Universidad de Chile</t>
  </si>
  <si>
    <t>60012464| 60002946| 60105368| 60000636</t>
  </si>
  <si>
    <t>Universidad de Chile| Facultad de Medicina de la Universidad de Chile| Universidad Finis Terrae| Universidad San Sebastián</t>
  </si>
  <si>
    <t>Espinoza A.R.</t>
  </si>
  <si>
    <t>Medication Overuse Headache</t>
  </si>
  <si>
    <t>Espinoza, A.R.</t>
  </si>
  <si>
    <t>169-180</t>
  </si>
  <si>
    <t>10.1016/j.rmclc.2025.06.006</t>
  </si>
  <si>
    <t>2-s2.0-105009885110</t>
  </si>
  <si>
    <t>Correction: Exploring the lutein therapeutic potential in steatotic liver disease: mechanistic insights and future directions(Front. Pharmacol., (2024), 15, (1406784), 10.3389/fphar.2024.1406784)</t>
  </si>
  <si>
    <t>Balboa, E.| Saud, F.| Parra-Ruiz, C.| Fuente, M.D.L.| Landskron, G.| Zanlungo, S.</t>
  </si>
  <si>
    <t>10.3389/fphar.2025.1633575</t>
  </si>
  <si>
    <t>2-s2.0-105013575505</t>
  </si>
  <si>
    <t>Fuente M.D.L.</t>
  </si>
  <si>
    <t>Ruiz Riquelme P.</t>
  </si>
  <si>
    <t>Analysis of Factors Influencing Corrective Power of Akin’s Osteotomy in 2D Plain Radiographs: What to Consider to Obtain Good Correction in Hallux Valgus Surgery</t>
  </si>
  <si>
    <t>Testa, E.A.| Ruiz Nasarre, A.| Alvarez Goenaga, F.| Poggio Cano, D.| Porreca, A.| Baduell, A.| Garcia Elvira, R.| Dalmau-Pastor, M.| Ruiz Riquelme, P.</t>
  </si>
  <si>
    <t>10.3390/diagnostics15131618</t>
  </si>
  <si>
    <t>2-s2.0-105010641875</t>
  </si>
  <si>
    <t>Università della Svizzera italiana| Ente Ospedaliero Cantonale| Universidad Finis Terrae| Clínica Las Condes| IRCCS San Raffaele Pisana - Roma| University of Barcelona</t>
  </si>
  <si>
    <t>60046817| 60006824| 126545484| 60001576| 112685663| 60030315| 60103767| 123521168| 60017912| 60105368</t>
  </si>
  <si>
    <t>Ente Ospedaliero Cantonale| Università della Svizzera italiana| Clinical Ars Medica| Universitat de Barcelona| Hospital Sant Rafael| Hospital Clínic de Barcelona| IRCCS San Raffaele Pisana| MIFAS by GRECMIP (Minimally Invasive Foot and Ankle Society)| Clínica Las Condes| Universidad Finis Terrae</t>
  </si>
  <si>
    <t>Chile| Spain| Switzerland| Italy| France</t>
  </si>
  <si>
    <t>Gómez G.</t>
  </si>
  <si>
    <t>Tension-free hernioplasty of inguinal hernia under local anesthesia: our experience</t>
  </si>
  <si>
    <t>Petracca, G.| Gómez, G.| Capomolla, A.| Soto, M.</t>
  </si>
  <si>
    <t>Gazzetta Medica Italiana Archivio per le Scienze Mediche</t>
  </si>
  <si>
    <t>192-198</t>
  </si>
  <si>
    <t>ISSN-03933660</t>
  </si>
  <si>
    <t>91.0</t>
  </si>
  <si>
    <t>0.127</t>
  </si>
  <si>
    <t>10.23736/S0393-3660.23.05152-5</t>
  </si>
  <si>
    <t>2-s2.0-85194896543</t>
  </si>
  <si>
    <t>112599822| 60105368</t>
  </si>
  <si>
    <t>G. Jazzolino Hospital| Universidad Finis Terrae</t>
  </si>
  <si>
    <t>Soto M.</t>
  </si>
  <si>
    <t>Arregui L.M.D.</t>
  </si>
  <si>
    <t>Fee-based contracts in private and public health services: a review of counter-indicators and indicators of labor subordination</t>
  </si>
  <si>
    <t>Arregui, L.M.D.| Zañartu, T.V.</t>
  </si>
  <si>
    <t>10.24822/rjduandes.0902.4</t>
  </si>
  <si>
    <t>2-s2.0-105040086008</t>
  </si>
  <si>
    <t>Montero-Orellana M.J.</t>
  </si>
  <si>
    <t>Postoperative Physical Therapy Following Primary Cheiloplasty in Cleft Lip and Palate Patients: A Retrospective Analysis</t>
  </si>
  <si>
    <t>Montero-Orellana, M.J.| Garcia Gutierrez, J.| Ossa-Cox, M.| G. Villarroel, C.</t>
  </si>
  <si>
    <t>Journal of Craniofacial Surgery</t>
  </si>
  <si>
    <t>2778-2780</t>
  </si>
  <si>
    <t>ISSN-10492275</t>
  </si>
  <si>
    <t>1.7</t>
  </si>
  <si>
    <t>0.388</t>
  </si>
  <si>
    <t>10.1097/SCS.0000000000011456</t>
  </si>
  <si>
    <t>2-s2.0-105005324704</t>
  </si>
  <si>
    <t>Universidad Finis Terrae| Clínica Alemana de Santiago</t>
  </si>
  <si>
    <t>133567152| 133567271| 133567575| 60105368| 60000146</t>
  </si>
  <si>
    <t>Physiotherapy Unit| Gantz Foundation| Gantz Foundation – Children’s Hospital for Cleft Lip and Palate| Universidad Finis Terrae| Clinica Alemana</t>
  </si>
  <si>
    <t>Ossa-Cox M.</t>
  </si>
  <si>
    <t>Feasibility of using ultrasound for drug delivery through micellar systems</t>
  </si>
  <si>
    <t>Marambio, E.| Velasquez, P.| Cepeda-Plaza, M.| Galleguillos, R.</t>
  </si>
  <si>
    <t>IEEE International Conference on Nano/Molecular Medicine and Engineering, NANOMED</t>
  </si>
  <si>
    <t>108-112</t>
  </si>
  <si>
    <t>ISSN-21596964</t>
  </si>
  <si>
    <t>93.0</t>
  </si>
  <si>
    <t>10.1109/NANOMED64244.2024.10946060</t>
  </si>
  <si>
    <t>2-s2.0-105002686088</t>
  </si>
  <si>
    <t>60002636| 60105368</t>
  </si>
  <si>
    <t>Dynamic Pricing and Seasonality: Insights From Short-Term Rental Market</t>
  </si>
  <si>
    <t>Torres-Luque, P.| Guevara, E.| Torres-Luque, P.| Carpio-Clemente, F.</t>
  </si>
  <si>
    <t>Proceedings of the International Conference on Tourism Research</t>
  </si>
  <si>
    <t>347-355</t>
  </si>
  <si>
    <t>ISSN-25163612</t>
  </si>
  <si>
    <t>Academic Conferences and Publishing International Limited</t>
  </si>
  <si>
    <t>10.34190/ictr.8.1.3440</t>
  </si>
  <si>
    <t>2-s2.0-105008209360</t>
  </si>
  <si>
    <t>Universidad Finis Terrae| Universidad Autónoma de Guerrero| Universidad de Artes, Ciencias y Comunicación</t>
  </si>
  <si>
    <t>60077185| 60105368| 60022139</t>
  </si>
  <si>
    <t>Universidad de Artes, Ciencias y Comunicación - UNIACC| Universidad Finis Terrae| Universidad Autónoma de Guerrero</t>
  </si>
  <si>
    <t>Chile| Mexico</t>
  </si>
  <si>
    <t>Cortés-Sylvester M.F.</t>
  </si>
  <si>
    <t>Prevalence of degenerative signs of the temporomandibular joint in the Canarian population through the analysis of panoramic radiographs: A pilot study</t>
  </si>
  <si>
    <t>Betancor-Pérez, M.| Velázquez-Cayón, R.T.| Loro-Ferrer, J.F.| Cortés-Sylvester, M.F.</t>
  </si>
  <si>
    <t>Journal of Clinical and Experimental Dentistry</t>
  </si>
  <si>
    <t>e1019-e1026</t>
  </si>
  <si>
    <t>ISSN-19895488</t>
  </si>
  <si>
    <t>Medicina Oral S.L.</t>
  </si>
  <si>
    <t>0.457</t>
  </si>
  <si>
    <t>10.4317/jced.63004</t>
  </si>
  <si>
    <t>2-s2.0-105020950354</t>
  </si>
  <si>
    <t>Universidad Finis Terrae| Universidad Pablo de Olavide| University of Las Palmas de Gran Canaria</t>
  </si>
  <si>
    <t>60009669| 60275362| 60030114| 60105368</t>
  </si>
  <si>
    <t>Universidad de Las Palmas de Gran Canaria| Universidad Fernando Pessoa Canarias| Universidad Pablo de Olavide, de Sevilla| Universidad Finis Terrae</t>
  </si>
  <si>
    <t>Muszalski H.</t>
  </si>
  <si>
    <t>Some Considerations on the Psychological Experience of Time in Friendship According to Thomas Aquinas</t>
  </si>
  <si>
    <t>Muszalski, H.</t>
  </si>
  <si>
    <t>Scripta Mediaevalia</t>
  </si>
  <si>
    <t>135-163</t>
  </si>
  <si>
    <t>ISSN-18518753</t>
  </si>
  <si>
    <t>Editorial de la Facultad de Filosofia y Letras de la Universidad Nacional de Cuyo</t>
  </si>
  <si>
    <t>69.0</t>
  </si>
  <si>
    <t>0.123</t>
  </si>
  <si>
    <t>10.48162/rev.35.048</t>
  </si>
  <si>
    <t>2-s2.0-105005176800</t>
  </si>
  <si>
    <t>Thielemann L.</t>
  </si>
  <si>
    <t>POOR PEOPLE DIE MORE. THE 1957 INFLUENZA EPIDEMIC AND SOCIAL INEQUALITY IN CHILE</t>
  </si>
  <si>
    <t>Thielemann, L.| Caffarena, P.</t>
  </si>
  <si>
    <t>Dialogo Andino</t>
  </si>
  <si>
    <t>173-181</t>
  </si>
  <si>
    <t>ISSN-07162278</t>
  </si>
  <si>
    <t>Universidad de Tarapaca</t>
  </si>
  <si>
    <t>0.287</t>
  </si>
  <si>
    <t>10.4067/s0719-26812025000200173</t>
  </si>
  <si>
    <t>2-s2.0-105033170449</t>
  </si>
  <si>
    <t>Caffarena P.</t>
  </si>
  <si>
    <t>Intracranial hypotension syndrome in neurocritical patient: a case report</t>
  </si>
  <si>
    <t>Arroyo, A.| Reccius, A.</t>
  </si>
  <si>
    <t>109-113</t>
  </si>
  <si>
    <t>10.1016/j.rmclc.2025.04.002</t>
  </si>
  <si>
    <t>2-s2.0-105003736290</t>
  </si>
  <si>
    <t>A Study of Software Architects’ Cognitive Approaches: Kolb’s Learning Styles Inventory in Action</t>
  </si>
  <si>
    <t>Communications in Computer and Information Science</t>
  </si>
  <si>
    <t>231-246</t>
  </si>
  <si>
    <t>ISSN-18650929</t>
  </si>
  <si>
    <t>0.181</t>
  </si>
  <si>
    <t>10.1007/978-3-031-75147-9_16</t>
  </si>
  <si>
    <t>2-s2.0-85208235194</t>
  </si>
  <si>
    <t>Universidad Andrés Bello| Universidad Finis Terrae| Universidad Técnica Federico Santa Maria| University of A Coruna</t>
  </si>
  <si>
    <t>60105368| 60007087| 60002636| 60023610</t>
  </si>
  <si>
    <t>Universidad Finis Terrae| Universidad Técnica Federico Santa María| Universidad Andrés Bello| Universidade da Coruña</t>
  </si>
  <si>
    <t>Giglio Jimenez A.</t>
  </si>
  <si>
    <t>Race against clots: the challenges of managing antithrombin deficiency in the ICU</t>
  </si>
  <si>
    <t>Giglio Jimenez, A.| Aravena, P.| Ibañez, V.| Ferre, A.</t>
  </si>
  <si>
    <t>10.1136/bcr-2024-263287</t>
  </si>
  <si>
    <t>2-s2.0-85214307945</t>
  </si>
  <si>
    <t>Ibañez V.</t>
  </si>
  <si>
    <t>Toledo S.H.</t>
  </si>
  <si>
    <t>"LOS REYES DE LA PIRATERÍA EDITORIAL". LA POLÉMICA POR LOS DERECHOS DE AUTOR ENTRE ERCILLA Y SUR (1936-1938)</t>
  </si>
  <si>
    <t>Toledo, S.H.</t>
  </si>
  <si>
    <t>197-220</t>
  </si>
  <si>
    <t>2-s2.0-85213951769</t>
  </si>
  <si>
    <t>Caffarena Barcenilla P.</t>
  </si>
  <si>
    <t>Vaccination and public health: the role of health units in diphtheria control in Chile (1943-1952)</t>
  </si>
  <si>
    <t>González Moya, M.| Caffarena Barcenilla, P.</t>
  </si>
  <si>
    <t>Revista Chilena de Infectologia</t>
  </si>
  <si>
    <t>642-648</t>
  </si>
  <si>
    <t>ISSN-07161018</t>
  </si>
  <si>
    <t>Sociedad Chilena de Infectologia</t>
  </si>
  <si>
    <t>0.18</t>
  </si>
  <si>
    <t>10.4067/s0716-10182025000600190</t>
  </si>
  <si>
    <t>2-s2.0-105035057887</t>
  </si>
  <si>
    <t>134088320| 60105368</t>
  </si>
  <si>
    <t>Universidad de las Américas| Universidad Finis Terrae</t>
  </si>
  <si>
    <t>Andrade Kobayashi M.</t>
  </si>
  <si>
    <t>To write, to exchange, to publish: Variable Piece #4: Secrets (1970) of Douglas Huebler and Secreto (2016-2020) of María P. Vila</t>
  </si>
  <si>
    <t>Andrade Kobayashi, M.</t>
  </si>
  <si>
    <t>Alpha</t>
  </si>
  <si>
    <t>ISSN-07164254</t>
  </si>
  <si>
    <t>Universidad de los Lagos</t>
  </si>
  <si>
    <t>0.103</t>
  </si>
  <si>
    <t>10.32735/s0718-22012025000603297</t>
  </si>
  <si>
    <t>2-s2.0-105036358278</t>
  </si>
  <si>
    <t>Severe obesity and menopause symptoms are associated with cognitive impairment in postmenopausal women from Latin America</t>
  </si>
  <si>
    <t>Blümel, J.E.| Vallejo, M.S.| Chedraui, P.| Aedo, S.| Hipolito Rodrigues, M.A.| Salinas, C.| Tserotas, K.| Calle, A.| Dextre, M.| Elizalde, A.| Escalante Gomez, C.| Gómez-Tabares, G.| Monterrosa-Castro, Á.D.J.| Espinoza, M.T.| Ñañez, M.| Ojeda, E.| Rey, C.| Rodríguez-Vidal, D.</t>
  </si>
  <si>
    <t>Climacteric</t>
  </si>
  <si>
    <t>579-584</t>
  </si>
  <si>
    <t>ISSN-13697137</t>
  </si>
  <si>
    <t>10.1080/13697137.2025.2491637</t>
  </si>
  <si>
    <t>2-s2.0-105003482174</t>
  </si>
  <si>
    <t>60002946| 60012464| 60104602| 60105368| 60030074| 105888846| 126710413| 60110777| 60120511| 60003542| 60019006| 60071929| 60195990| 60066812| 60055678| 60000658| 60112686| 101550488| 60009065| 60001563</t>
  </si>
  <si>
    <t>Facultad de Medicina de la Universidad de Chile| Universidad de Chile| Universidad Espíritu Santo| Universidad Finis Terrae| Universidade Federal de Minas Gerais| Hospital Ángeles| Clínica Los Ángeles| Universidad Tecnológica Indoamérica| Clínica Javier Prado| Universidad Nacional del Nordeste| Fundacion Barcelo, Facultad de Medicina| Universidad de Costa Rica| Universidad de Costa Rica, Facultad de Medicina| Universidad del Valle, Cali| Universidad de Cartagena| Universidad Nacional de Córdoba| Universidad Andina del Cusco| Asociación Argentina para el Estudio del Climaterio| Hospital de Clínicas "José de San Martín"| Universidad de Buenos Aires</t>
  </si>
  <si>
    <t>Chile| Mexico| Ecuador| Costa Rica| Colombia| Bolivia| Peru| Brazil| Argentina</t>
  </si>
  <si>
    <t>PhD Programs in Sport Science: Impact Beyond Academia and Scientific Publishing</t>
  </si>
  <si>
    <t>Mujika, I.| Abbiss, C.R.</t>
  </si>
  <si>
    <t>10.1123/ijspp.2025-0185</t>
  </si>
  <si>
    <t>2-s2.0-105012780820</t>
  </si>
  <si>
    <t>Edith Cowan University| Universidad Finis Terrae| University of the Basque Country</t>
  </si>
  <si>
    <t>60027856| 60105368| 60105210</t>
  </si>
  <si>
    <t>Universidad del Pais Vasco| Universidad Finis Terrae| Edith Cowan University</t>
  </si>
  <si>
    <t>Intracranial volume variation in Chinchorro mummies: a comparative study with pre-hispanic farmers and contemporary Chilean populations</t>
  </si>
  <si>
    <t>Rojas-Costa, G.M.| Silva-Pinto, V.| Valenzuela, Y.| de la Iglesia-Vayá, M.| Molina-Mateo, J.| Salazar-García, D.C.| Valdes-Sosa, P.A.| Gálvez, M.</t>
  </si>
  <si>
    <t>10.1038/s41598-025-25186-y</t>
  </si>
  <si>
    <t>2-s2.0-105022610814</t>
  </si>
  <si>
    <t>Universidad Diego Portales| University of Electronic Science and Technology of China| Centro de Investigación Biomédica en Red| University of Valencia| Universidad Finis Terrae| University of Cape Town| Clínica Las Condes| Instituto de Salud Carlos III| Polytechnic University of Valencia</t>
  </si>
  <si>
    <t>60105368| 60017912| 131502015| 60013592| 60031893| 60002644| 123497952| 60104561| 60011476| 60000356| 60005465| 60077495</t>
  </si>
  <si>
    <t>Universidad Finis Terrae| Clínica Las Condes| Foundation for the Promotion of Health and Biomedical Research of Valencia Region| Universidad Diego Portales| Museo Nacional de Historia Natural Chile| Universitat de València| Regional Ministry of Health in Valencia Region| Centro de Investigación Biomédica En Red de Salud Mental| Universitat Politècnica de València| University of Cape Town| University of Electronic Science and Technology of China| Centro de Neurociencias de Cuba</t>
  </si>
  <si>
    <t>Chile| China| Spain| South Africa| Cuba</t>
  </si>
  <si>
    <t>Arenas-Massa A.</t>
  </si>
  <si>
    <t>Social and health factors affecting work-related accidents among older informal workers in Chile: A probit model analysis based on CASEN 2022</t>
  </si>
  <si>
    <t>Alvear-Vega, S.| Arenas-Massa, A.</t>
  </si>
  <si>
    <t>0.634</t>
  </si>
  <si>
    <t>10.1016/j.ssaho.2025.102231</t>
  </si>
  <si>
    <t>2-s2.0-105023693720</t>
  </si>
  <si>
    <t>The shapeshifting landscape of academic publishing in pediatrics: focus on Open Access</t>
  </si>
  <si>
    <t>Díaz, F.| Gómez-Lund, O.| Riderelli, J.| Monteverde-Fernández, N.| González-Dambrauskas, S.| Jabornisky, R.| Jaramillo-Bustamante, J.C.| Caporal, P.</t>
  </si>
  <si>
    <t>ISSN-24526045</t>
  </si>
  <si>
    <t>10.32641/andespediatr.v96i6.5684</t>
  </si>
  <si>
    <t>2-s2.0-105030927249</t>
  </si>
  <si>
    <t>Johns Hopkins University| Universidad de la República| Universidad de Antioquia| Hospital Pablo Tobon Uribe| Universidad Finis Terrae</t>
  </si>
  <si>
    <t>60105368| 60281394| 126932395| 60092302| 128285583| 112419796| 60071617| 60071612| 123957561| 60058437| 60087080| 60055833| 60006183</t>
  </si>
  <si>
    <t>Universidad Finis Terrae| Hospital El Carmen Dr. Luis Valentín Ferrada| LARed Network| Hospital Materno Infantil de Salta| Sanatorio Altos de Salta| Médica Uruguaya| Centro Hospitalario Pereira Rossell| Universidad de la Republica| Hospital Regional Olga Stucky de Rizzi| Hospital Pablo Tobon Uribe| Hospital General de Medellin Luz Castro de Gutiérrez - E.S.E| Universidad de Antioquia| Johns Hopkins Bloomberg School of Public Health</t>
  </si>
  <si>
    <t>Chile| Uruguay| United States| Colombia| Argentina</t>
  </si>
  <si>
    <t>Tibial Slope in ACL Reconstruction: When Should It Be Corrected?</t>
  </si>
  <si>
    <t>Pineda, T.| Dejour, D.H.</t>
  </si>
  <si>
    <t>Revista Espanola de Cirugia Ortopedica y Traumatologia</t>
  </si>
  <si>
    <t>ISSN-18884415</t>
  </si>
  <si>
    <t>0.285</t>
  </si>
  <si>
    <t>10.1016/j.recot.2025.11.032</t>
  </si>
  <si>
    <t>2-s2.0-105025438646</t>
  </si>
  <si>
    <t>60105368| 60019103| 60002636| 113169911</t>
  </si>
  <si>
    <t>Universidad Finis Terrae| Hospital del Trabajador de Santiago| Universidad Andrés Bello| Clinique de la Sauvegarde</t>
  </si>
  <si>
    <t>Chile| France</t>
  </si>
  <si>
    <t>Sepúlveda P. P.</t>
  </si>
  <si>
    <t>Radiological patterns in interstitial lung diseases</t>
  </si>
  <si>
    <t>Furnaro L., F.| Sepúlveda P., P.</t>
  </si>
  <si>
    <t>255-261</t>
  </si>
  <si>
    <t>10.1016/j.rmclc.2024.05.003</t>
  </si>
  <si>
    <t>2-s2.0-85201364254</t>
  </si>
  <si>
    <t>Díaz-Galaz L.</t>
  </si>
  <si>
    <t>Development of gestural language in childhood: how is it addressed in the guidelines proposed in documents that control kindergarten education in Chile?</t>
  </si>
  <si>
    <t>Díaz-Galaz, L.</t>
  </si>
  <si>
    <t>Estudios Pedagogicos</t>
  </si>
  <si>
    <t>323-341</t>
  </si>
  <si>
    <t>ISSN-0716050X</t>
  </si>
  <si>
    <t>0.228</t>
  </si>
  <si>
    <t>10.4067/S0718-07052024000100323</t>
  </si>
  <si>
    <t>2-s2.0-85205437662</t>
  </si>
  <si>
    <t>60105368| 125151759</t>
  </si>
  <si>
    <t>Universidad Finis Terrae| Universidad Americana de Europa</t>
  </si>
  <si>
    <t>Moyano C.</t>
  </si>
  <si>
    <t>School choice in Indigenous families as a conflicting path between territories and cultures: The case of rural Mapuche families in Chile</t>
  </si>
  <si>
    <t>de Dios Oyarzún, J.| Luna, L.| Moyano, C.</t>
  </si>
  <si>
    <t>Australian Journal of Indigenous Education</t>
  </si>
  <si>
    <t>ISSN-13260111</t>
  </si>
  <si>
    <t>Aboriginal and Torres Strait Islander Studies Unit, The University of Queensland</t>
  </si>
  <si>
    <t>2.2</t>
  </si>
  <si>
    <t>0.365</t>
  </si>
  <si>
    <t>10.55146/ajie.v54i1.1035</t>
  </si>
  <si>
    <t>2-s2.0-105014613650</t>
  </si>
  <si>
    <t>Pontificia Universidad Católica de Valparaíso| Universidad Finis Terrae| Pontificia Universidad Católica de Chile</t>
  </si>
  <si>
    <t>60023520| 60029681| 133091162| 122573094| 60281392| 133090990| 60105368</t>
  </si>
  <si>
    <t>Pontificia Universidad Católica de Valparaíso| Pontificia Universidad Católica de Chile| Center for Local Development (CEDEL UC)| Center for Intercultural and Indigenous Research (CIIR)| Centro Internacional Cabo de Hornos| Millennium Nucleus for Research on Anti-Racist Chilean Education (MRACE)| Universidad Finis Terrae</t>
  </si>
  <si>
    <t>Debesa-Arregui L.M.</t>
  </si>
  <si>
    <t>Between sound criticism and legal qualification: new limits of the annulment appeal in labor protection proceedings cases for workplace harassment in light of articles 2 (b), 211-e, and 478 (b) and (c) of the Labor Code</t>
  </si>
  <si>
    <t>Debesa-Arregui, L.M.</t>
  </si>
  <si>
    <t>Ius et Praxis</t>
  </si>
  <si>
    <t>146-165</t>
  </si>
  <si>
    <t>ISSN-07172877</t>
  </si>
  <si>
    <t>Universidad de Talca</t>
  </si>
  <si>
    <t>0.34</t>
  </si>
  <si>
    <t>10.4067/S0718-00122025000300146</t>
  </si>
  <si>
    <t>2-s2.0-105033633263</t>
  </si>
  <si>
    <t>60105368| 60011284</t>
  </si>
  <si>
    <t>Universidad Finis Terrae| Universidad de los Andes, Chile</t>
  </si>
  <si>
    <t>Rugeles F.L.</t>
  </si>
  <si>
    <t>A ORDENAÇÃO DOS DESEJOS POR MEIO DA PRÁTICA DAS VIRTUDES E O DESENVOLVIMENTO DO RACIOCÍNIO PRÁTICO: UMA PROPOSTA PARA O FLORESCIMENTO HUMANO BASEADA NO PENSAMENTO DE ALASDAIR MACINTYRE</t>
  </si>
  <si>
    <t>Rugeles, F.L.</t>
  </si>
  <si>
    <t>Kriterion (Brazil)</t>
  </si>
  <si>
    <t>ISSN-0100512X</t>
  </si>
  <si>
    <t>Universidade de Minas Gerais</t>
  </si>
  <si>
    <t>0.106</t>
  </si>
  <si>
    <t>10.1590/0100-512X2025n16202flr</t>
  </si>
  <si>
    <t>2-s2.0-105030132592</t>
  </si>
  <si>
    <t>Jiménez A.G.</t>
  </si>
  <si>
    <t>Cost-effectiveness of dabigatran for thromboembolic events prevention in atrial fibrillation patients in Chile</t>
  </si>
  <si>
    <t>Abbot, T.| Armijo, N.| Orellana, L.R.| Jiménez, A.G.| Balmaceda, C.| Espinoza, M.</t>
  </si>
  <si>
    <t>Cost Effectiveness and Resource Allocation</t>
  </si>
  <si>
    <t>ISSN-14787547</t>
  </si>
  <si>
    <t>0.789</t>
  </si>
  <si>
    <t>10.1186/s12962-025-00642-8</t>
  </si>
  <si>
    <t>2-s2.0-105010226179</t>
  </si>
  <si>
    <t>The University of Hong Kong| Bocconi University| Universidad Finis Terrae| Clínica Las Condes| Pontificia Universidad Católica de Chile</t>
  </si>
  <si>
    <t>60029681| 60009418| 60105368| 60017912| 60021796| 60006541| 60103563</t>
  </si>
  <si>
    <t>Pontificia Universidad Católica de Chile| Facultad de Medicina| Universidad Finis Terrae| Clínica Las Condes| Università Bocconi| The University of Hong Kong| The University of Hong Kong Li Ka Shing Faculty of Medicine</t>
  </si>
  <si>
    <t>Chile| Hong Kong| Italy</t>
  </si>
  <si>
    <t>Rocco-Toloza V.</t>
  </si>
  <si>
    <t>Back to the future: a call for scientific and technical writing in times of digital immediacy</t>
  </si>
  <si>
    <t>Salas-Eljatib, C.| Vargas-Gaete, R.| Rocco-Toloza, V.| Contreras, M.</t>
  </si>
  <si>
    <t>Gayana - Botanica</t>
  </si>
  <si>
    <t>197-204</t>
  </si>
  <si>
    <t>ISSN-00165301</t>
  </si>
  <si>
    <t>Universidad de Concepcion</t>
  </si>
  <si>
    <t>88.0</t>
  </si>
  <si>
    <t>10.4067/s0717-6643202500020197</t>
  </si>
  <si>
    <t>2-s2.0-105037529753</t>
  </si>
  <si>
    <t>Universidad de la Frontera| Universidad Austral de Chile| Universidad Finis Terrae| Universidad de Chile| Pontificia Universidad Católica de Chile</t>
  </si>
  <si>
    <t>60012464| 60012035| 60029681| 60105368| 60003634</t>
  </si>
  <si>
    <t>Universidad de Chile| Universidad de la Frontera| Pontificia Universidad Católica de Chile| Universidad Finis Terrae| Universidad Austral de Chile</t>
  </si>
  <si>
    <t>Premorbid school performance trajectories in patients with treatment-resistant schizophrenia prescribed clozapine in the public health system in Chile: A case-control study, 2007-2020</t>
  </si>
  <si>
    <t>Conejeros-Pavez, J.| Vasquez, J.| Diaz, C.| Mena, C.| Undurraga, J.| Gonzalez-Valderrama, A.| Claro, S.| Undurraga, E.A.| Crossley, N.A.</t>
  </si>
  <si>
    <t>Psychological Medicine</t>
  </si>
  <si>
    <t>ISSN-00332917</t>
  </si>
  <si>
    <t>10.1017/S0033291725101062</t>
  </si>
  <si>
    <t>2-s2.0-105011399576</t>
  </si>
  <si>
    <t>60029681| 60105879| 60105368| 60006469| 60000146| 60105877| 60055833| 60002634| 60026851</t>
  </si>
  <si>
    <t>Pontificia Universidad Católica de Chile| Instituto Psiquiatrico Dr. Jose Horwitz Barak| Universidad Finis Terrae| Universidad del Desarrollo| Clinica Alemana| Centro de Investigación para la Gestión Integrada del Riesgo de Desastres| Universidad de Antioquia| University of Oxford Medical Sciences Division| University of Oxford</t>
  </si>
  <si>
    <t>The Nestlé – University Finis Terrae Nutritional Observatory: food perceptions and practices in children and adolescents in Chile: a profile</t>
  </si>
  <si>
    <t>Bustos-Arriagada, E.| López-Arana, S.| Duarte-Silva, L.| Castillo-Valenzuela, O.</t>
  </si>
  <si>
    <t>435-443</t>
  </si>
  <si>
    <t>10.64159/RCHNUT-52-6-7</t>
  </si>
  <si>
    <t>2-s2.0-105034890639</t>
  </si>
  <si>
    <t>60105368| 60022810</t>
  </si>
  <si>
    <t>Universidad Finis Terrae| Clinica Santa Maria</t>
  </si>
  <si>
    <t>Evaluation of the Effect of the Technical Guidelines for Chilean Milk Dietary Service on the Microbiological and Nutritional Quality of a Powdered Infant Formula</t>
  </si>
  <si>
    <t>Bustos-Arriagada, E.| Mendoza, A.L.D.| Mariotti-Celis, M.S.</t>
  </si>
  <si>
    <t>0.521</t>
  </si>
  <si>
    <t>10.3390/app14209556</t>
  </si>
  <si>
    <t>2-s2.0-85207330751</t>
  </si>
  <si>
    <t>Universidad Finis Terrae| Universidad Tecnológica Centroamericana</t>
  </si>
  <si>
    <t>60105368| 60110564</t>
  </si>
  <si>
    <t>Chile| Honduras</t>
  </si>
  <si>
    <t>Temporal Heterogeneous Causal Effects in Organizational Mining via Multiview Autoencoders</t>
  </si>
  <si>
    <t>Montoya, F.| Rivera-Lazo, G.| Hidalgo, M.| Goyo, M.| Astudillo, H.</t>
  </si>
  <si>
    <t>TEMSCON LATAM 2025 - Technology and Engineering Management Society Conference</t>
  </si>
  <si>
    <t>10.1109/TEMSCONLATAM65810.2025.11238525</t>
  </si>
  <si>
    <t>2-s2.0-105029840294</t>
  </si>
  <si>
    <t>Universidad Andrés Bello| Universidad Finis Terrae| Universidad Técnica Federico Santa Maria| Pontificia Universidad Católica de Chile</t>
  </si>
  <si>
    <t>60007087| 60029681| 132922707| 60105368| 60002636</t>
  </si>
  <si>
    <t>Universidad Técnica Federico Santa María| Pontificia Universidad Católica de Chile| AISA Research Group - Corriente Sur| Universidad Finis Terrae| Universidad Andrés Bello</t>
  </si>
  <si>
    <t>Roles and Challenges of 6G for the Human–Computer Interface</t>
  </si>
  <si>
    <t>Dash, P.| Patnaik, A.| Sahoo, S.K.| Yanine, F.F.</t>
  </si>
  <si>
    <t>Development of 6G Networks and Technology</t>
  </si>
  <si>
    <t>319-337</t>
  </si>
  <si>
    <t>10.1002/9781394230686.ch14</t>
  </si>
  <si>
    <t>2-s2.0-85214639634</t>
  </si>
  <si>
    <t>National Institute of Science and Technology| Universidad Finis Terrae</t>
  </si>
  <si>
    <t>60103951| 60114758| 60105368</t>
  </si>
  <si>
    <t>NIST University| BPUT, Parala Maharaja Engineering College| Universidad Finis Terrae</t>
  </si>
  <si>
    <t>Prevalence of the Sphenoidal Emissary Foramen in a Chilean Osteological Sample: Anatomical and Surgical Implications</t>
  </si>
  <si>
    <t>Valenzuela Fuenzalida, J.J.| Alcaíno Adasme, C.| Soublette Tocornal, T.| Alvial-Ahumada, F.| Perez Gutierrez, M.| Bruna-Mejias, A.| Orellana-Donoso, M.| Nova-Baeza, P.| Suazo-Santibañez, A.| Gutierrez-Espinoza, H.| Sanchis-Gimeno, J.| Piagkou, M.| Triantafyllou, G.| Samolis, A.| León-Rojas, J.E.</t>
  </si>
  <si>
    <t>10.3390/diagnostics15212800</t>
  </si>
  <si>
    <t>2-s2.0-105021417953</t>
  </si>
  <si>
    <t>Universidad de las Américas - Chile| Universidad de las Américas - Ecuador| Universidad Andrés Bello| Universidad Autónoma de Chile| Universidad San Sebastián| University of Valencia| Universidad Finis Terrae| National and Kapodistrian University of Athens| Universidad Bernardo O'Higgins</t>
  </si>
  <si>
    <t>60002636| 60105370| 60105368| 60000636| 60105362| 60105371| 60002644| 60067083| 60028900| 131194245| 60104441</t>
  </si>
  <si>
    <t>Universidad Andrés Bello| Universidad Bernardo O'Higgins| Universidad Finis Terrae| Universidad San Sebastián| Universidad de Las Américas Chile| Universidad Autónoma de Chile| Universitat de València| School of Medicine| National and Kapodistrian University of Athens| Masovian Academy in Płock| Universidad de las Americas - Ecuador</t>
  </si>
  <si>
    <t>Chile| Ecuador| Spain| Poland| Greece</t>
  </si>
  <si>
    <t>First imported case report in chile of cutaneous leishmaniasis caused by leishmania infantum</t>
  </si>
  <si>
    <t>Hartmann, D.| García, V.| Fuentes, I.| García, F.| Pérez-Wilson, J.</t>
  </si>
  <si>
    <t>547-551</t>
  </si>
  <si>
    <t>0.165</t>
  </si>
  <si>
    <t>10.4067/s0716-10182024000400139</t>
  </si>
  <si>
    <t>2-s2.0-85211508534</t>
  </si>
  <si>
    <t>Universidad del Desarrollo| Universidad Finis Terrae| Arauco| Clínica Alemana de Santiago</t>
  </si>
  <si>
    <t>60105368| 60086390| 60006469| 60000146</t>
  </si>
  <si>
    <t>Universidad Finis Terrae| Arauco| Universidad del Desarrollo| Clinica Alemana</t>
  </si>
  <si>
    <t>Giancáspero-Inostroza F.</t>
  </si>
  <si>
    <t>Cycling Isokinetic Peak Force Explains Maximal Aerobic Power and Physiological Thresholds but Not Cycling Economy in Trained Triathletes</t>
  </si>
  <si>
    <t>Giancáspero-Inostroza, F.| Burgos-Jara, C.| Sepúlveda, C.| Haichelis, D.| Meneses-Valdés, R.| Orizola-Cáceres, I.| Cerda-Kohler, H.</t>
  </si>
  <si>
    <t>0.804</t>
  </si>
  <si>
    <t>10.3390/jfmk9040273</t>
  </si>
  <si>
    <t>2-s2.0-85213446767</t>
  </si>
  <si>
    <t>University of Copenhagen| Universidade Federal do Rio de Janeiro| Universidad Finis Terrae| Universidad Metropolitana de Ciencias de la Educación</t>
  </si>
  <si>
    <t>60109622| 60105368| 118019931| 60030840| 60003126| 60000036</t>
  </si>
  <si>
    <t>Clinica Meds, Chile| Universidad Finis Terrae| Instituto Nacional de Deportes| Københavns Universitet| Universidad Metropolitana de Ciencias de la Educación| Universidade Federal do Rio de Janeiro</t>
  </si>
  <si>
    <t>Chile| Denmark| Brazil</t>
  </si>
  <si>
    <t>VISUAL NARRATIVES OF CRIME ON INSTAGRAM: Storytelling Strategies of the Main Chilean TV Channels in 2023-2024</t>
  </si>
  <si>
    <t>Flores, P.C.</t>
  </si>
  <si>
    <t>VISUAL Review. International Visual Culture Review / Revista Internacional de Cultura</t>
  </si>
  <si>
    <t>147-160</t>
  </si>
  <si>
    <t>ISSN-26959631</t>
  </si>
  <si>
    <t>VisualCOM Scientific Publications</t>
  </si>
  <si>
    <t>0.196</t>
  </si>
  <si>
    <t>10.62161/revvisual.v17.5760</t>
  </si>
  <si>
    <t>2-s2.0-105003392328</t>
  </si>
  <si>
    <t>Gómez Barbieri G.</t>
  </si>
  <si>
    <t>An update in ovaric cystic pediculated detached: an unusual clinical presentation</t>
  </si>
  <si>
    <t>Petracca, G.| Gómez Barbieri, G.| Capomolla, A.| Lebrino, C.| Mileto, I.| Soto, M.</t>
  </si>
  <si>
    <t>283-286</t>
  </si>
  <si>
    <t>10.23736/S0394-9508.23.05593-6</t>
  </si>
  <si>
    <t>2-s2.0-85203074360</t>
  </si>
  <si>
    <t>100424723| 60105368| 60069616</t>
  </si>
  <si>
    <t>Jazzolino Hospital| Universidad Finis Terrae| Università degli studi Magna Graecia di Catanzaro</t>
  </si>
  <si>
    <t>Martínez-Cárdenas B.</t>
  </si>
  <si>
    <t>Consumers at risk: Analysis of the influence of the use of algorithms on the supplier's benefit</t>
  </si>
  <si>
    <t>Martínez-Cárdenas, B.| Hauri, S.B.</t>
  </si>
  <si>
    <t>Revista Chilena de Derecho y Tecnologia</t>
  </si>
  <si>
    <t>ISSN-07192576</t>
  </si>
  <si>
    <t>Universidad de Chile</t>
  </si>
  <si>
    <t>0.407</t>
  </si>
  <si>
    <t>10.5354/0719-2584.2024.70418</t>
  </si>
  <si>
    <t>2-s2.0-85214993472</t>
  </si>
  <si>
    <t>Mardónez M.M.</t>
  </si>
  <si>
    <t>Granular Cell Tumor of the Anal Canal: Case Report and Literature Review</t>
  </si>
  <si>
    <t>Prats, J.A.| Prado, D.G.| Villegas, G.C.| Mardónez, M.M.</t>
  </si>
  <si>
    <t>Journal of Coloproctology</t>
  </si>
  <si>
    <t>e281-e284</t>
  </si>
  <si>
    <t>ISSN-22379363</t>
  </si>
  <si>
    <t>Georg Thieme Verlag</t>
  </si>
  <si>
    <t>0.12</t>
  </si>
  <si>
    <t>10.1055/s-0044-1788665</t>
  </si>
  <si>
    <t>2-s2.0-85213020589</t>
  </si>
  <si>
    <t>60002636| 60012464| 60105368</t>
  </si>
  <si>
    <t>Universidad Andrés Bello| Universidad de Chile| Universidad Finis Terrae</t>
  </si>
  <si>
    <t>López-Soto P.</t>
  </si>
  <si>
    <t>training in information and research competencies using AI in bioethics classes</t>
  </si>
  <si>
    <t>López-Soto, P.| Santos, M.| Herrera, N.| Williams, C.</t>
  </si>
  <si>
    <t>505-513</t>
  </si>
  <si>
    <t>10.1016/j.rmclc.2025.12.005</t>
  </si>
  <si>
    <t>2-s2.0-105030031270</t>
  </si>
  <si>
    <t>Universidad Central de Chile| Universidad Finis Terrae</t>
  </si>
  <si>
    <t>60105368| 60088669</t>
  </si>
  <si>
    <t>Universidad Finis Terrae| Universidad Central de Chile</t>
  </si>
  <si>
    <t>Herrera N.</t>
  </si>
  <si>
    <t>Martineau P.D.H.C.</t>
  </si>
  <si>
    <t>Self-regulated learning among Chilean dental assistant students: differences by gender and academic semester</t>
  </si>
  <si>
    <t>Martineau, P.D.H.C.| Cortina, A.H.</t>
  </si>
  <si>
    <t>429-437</t>
  </si>
  <si>
    <t>10.1016/j.rmclc.2024.09.004</t>
  </si>
  <si>
    <t>2-s2.0-85208550405</t>
  </si>
  <si>
    <t>Cárdenas Larenas J.P.</t>
  </si>
  <si>
    <t>Surgical management experience of pressure injuries during the COVID-19 pandemic</t>
  </si>
  <si>
    <t>Cárdenas Larenas, J.P.| Guardia Castro, D.| Arauco Rodríguez, D.| Beytia Osses, I.| Bencina Matus, F.| Moraga Concha, J.</t>
  </si>
  <si>
    <t>Revista de Cirugia</t>
  </si>
  <si>
    <t>283-289</t>
  </si>
  <si>
    <t>ISSN-24524557</t>
  </si>
  <si>
    <t>Sociedad de Cirujanos de Chile</t>
  </si>
  <si>
    <t>0.13</t>
  </si>
  <si>
    <t>10.35687/s2452-454920250032541</t>
  </si>
  <si>
    <t>2-s2.0-105006493357</t>
  </si>
  <si>
    <t>60105368| 60015638| 60012464</t>
  </si>
  <si>
    <t>Universidad Finis Terrae| Hospital San Juan de Dios, Santiago de Chile| Universidad de Chile</t>
  </si>
  <si>
    <t>Guardia Castro D.</t>
  </si>
  <si>
    <t>Arauco Rodríguez D.</t>
  </si>
  <si>
    <t>Beytia Osses I.</t>
  </si>
  <si>
    <t>Bencina Matus F.</t>
  </si>
  <si>
    <t>Moraga Concha J.</t>
  </si>
  <si>
    <t>Sudden Cardiac Death: Trend Analysis by Sex and Age, Chile 2010 to 2020</t>
  </si>
  <si>
    <t>Vergara, M.| Valderrama, P.| González, Á.| Páez, S.| García, A.| Nazzal, C.</t>
  </si>
  <si>
    <t>760-772</t>
  </si>
  <si>
    <t>0.216</t>
  </si>
  <si>
    <t>10.4067/s0034-98872025001100760</t>
  </si>
  <si>
    <t>2-s2.0-105022173050</t>
  </si>
  <si>
    <t>60012464| 60002946| 60105368</t>
  </si>
  <si>
    <t>Universidad de Chile| Facultad de Medicina de la Universidad de Chile| Universidad Finis Terrae</t>
  </si>
  <si>
    <t>Molina C.</t>
  </si>
  <si>
    <t>Myotendinous Junction Anesthesia: An Alternative Infiltration Site for Ultrasound-Guided Injections</t>
  </si>
  <si>
    <t>Rosales, J.| Droppelmann, G.| García, N.| Saravia, A.| Molina, C.| Jorquera, C.</t>
  </si>
  <si>
    <t>Arthroscopy Techniques</t>
  </si>
  <si>
    <t>ISSN-22126287</t>
  </si>
  <si>
    <t>1.9</t>
  </si>
  <si>
    <t>0.545</t>
  </si>
  <si>
    <t>10.1016/j.eats.2024.103195</t>
  </si>
  <si>
    <t>2-s2.0-85202769941</t>
  </si>
  <si>
    <t>Universidad Mayor| Harvard University| Universidad Finis Terrae</t>
  </si>
  <si>
    <t>60109622| 60032499| 60105368| 60005881</t>
  </si>
  <si>
    <t>Clinica Meds, Chile| Harvard T.H. Chan School of Public Health| Universidad Finis Terrae| Universidad Mayor</t>
  </si>
  <si>
    <t>The Impact of Audiovisual Content on Bitcoin’s Transaction Volume and Price</t>
  </si>
  <si>
    <t>Campos-Jaque, Z.| Yanine, F.| Catalan, S.</t>
  </si>
  <si>
    <t>Revista Finanzas y Politica Economica</t>
  </si>
  <si>
    <t>ISSN-22486046</t>
  </si>
  <si>
    <t>Universidad Catolica de Colombia</t>
  </si>
  <si>
    <t>0.173</t>
  </si>
  <si>
    <t>10.14718/REVFINANZPOLITECON.V17.2025.7</t>
  </si>
  <si>
    <t>2-s2.0-105003831479</t>
  </si>
  <si>
    <t>Universidad de Santiago de Chile| Universidad Finis Terrae| Universidad Técnica Federico Santa Maria</t>
  </si>
  <si>
    <t>60023383| 60105368| 60007087</t>
  </si>
  <si>
    <t>Universidad de Santiago de Chile| Universidad Finis Terrae| Universidad Técnica Federico Santa María</t>
  </si>
  <si>
    <t>Bastías J.</t>
  </si>
  <si>
    <t>COVID-19 pension raids and sovereign risk</t>
  </si>
  <si>
    <t>Bastías, J.| Ruiz, J.L.</t>
  </si>
  <si>
    <t>International Review of Economics and Finance</t>
  </si>
  <si>
    <t>ISSN-10590560</t>
  </si>
  <si>
    <t>10.1016/j.iref.2025.104155</t>
  </si>
  <si>
    <t>2-s2.0-105004356535</t>
  </si>
  <si>
    <t>60105368| 60012464</t>
  </si>
  <si>
    <t>Anthropometric profile and somatotype of classical ballet dancers in Chile</t>
  </si>
  <si>
    <t>Llanos, N.| Castillo, O.| Callejas, J.A.| Durán, S.</t>
  </si>
  <si>
    <t>252-257</t>
  </si>
  <si>
    <t>10.64159/RCHNUT-52-4-8</t>
  </si>
  <si>
    <t>2-s2.0-105017992313</t>
  </si>
  <si>
    <t>Loyola M.</t>
  </si>
  <si>
    <t>SALVADOR ALLENDE AND THE USSR: A COMPLEX RELATIONSHIP</t>
  </si>
  <si>
    <t>Loyola, M.| Schelchkov, A.</t>
  </si>
  <si>
    <t>Historia Actual Online</t>
  </si>
  <si>
    <t>109-124</t>
  </si>
  <si>
    <t>ISSN-16962060</t>
  </si>
  <si>
    <t>Asociacion de Historia Actual</t>
  </si>
  <si>
    <t>0.148</t>
  </si>
  <si>
    <t>10.36132/cfzrhs53</t>
  </si>
  <si>
    <t>2-s2.0-85218863798</t>
  </si>
  <si>
    <t>The role of mentalization in a video-feedback intervention: a case study of a mother-infant dyad with depressive symptomatology</t>
  </si>
  <si>
    <t>Morán-Kneer, J.| Sieverson, C.| Olhaberry, M.| Costa-Cordella, S.| Honorato, C.| Muzard, A.| Leyton, F.| León, M.J.| García Bravo, N.| Arredondo Guerrero, K.| Olivares García, S.| Garay Contreras, C.| Alvarado-Quiroz, V.</t>
  </si>
  <si>
    <t>Psychoanalytic Psychotherapy</t>
  </si>
  <si>
    <t>300-323</t>
  </si>
  <si>
    <t>ISSN-02668734</t>
  </si>
  <si>
    <t>0.474</t>
  </si>
  <si>
    <t>10.1080/02668734.2025.2576057</t>
  </si>
  <si>
    <t>2-s2.0-105021421573</t>
  </si>
  <si>
    <t>60281485| 60008781| 60029681| 60013592| 60105368| 133383346</t>
  </si>
  <si>
    <t>Instituto Milenio para la Investigación en Depresión y Personalidad| Universidad de Valparaiso| Pontificia Universidad Católica de Chile| Universidad Diego Portales| Universidad Finis Terrae| Fundación Más Mentes</t>
  </si>
  <si>
    <t>Carneiro A.M.Y.</t>
  </si>
  <si>
    <t>Interactions in the literature class. Dialogical constructions? A case study in Chilean secondary schools</t>
  </si>
  <si>
    <t>Carneiro, A.M.Y.| Morales, L.M.</t>
  </si>
  <si>
    <t>Literatura y Linguistica</t>
  </si>
  <si>
    <t>407-431</t>
  </si>
  <si>
    <t>ISSN-07165811</t>
  </si>
  <si>
    <t>Universidad Catolica Silva Henriquez</t>
  </si>
  <si>
    <t>10.29344/0717621X.49.3303</t>
  </si>
  <si>
    <t>2-s2.0-85196098734</t>
  </si>
  <si>
    <t>Reducing variability and improving safety: the need for protocolized care in pediatric diabetic ketoacidosis</t>
  </si>
  <si>
    <t>Díaz, F.</t>
  </si>
  <si>
    <t>727-729</t>
  </si>
  <si>
    <t>10.32641/andespediatr.v96i6.6008</t>
  </si>
  <si>
    <t>2-s2.0-105026244514</t>
  </si>
  <si>
    <t>60281394| 60105368| 133553933</t>
  </si>
  <si>
    <t>Efficacy of Massage Therapy for Symptom Management in Cancer Patients: A Systematic Review and Meta-Analysis</t>
  </si>
  <si>
    <t>Uzunoglu, A.| Matta-Diaz, P.| Bustos-Gajardo, V.| Obreque-González, J.| Cifuentes-Suazo, G.| Granite, G.| Orellana Donoso, M.| Nova Baeza, P.| Oyanedel-Amaro, G.| Becerra Farfan, A.| Sanchis-Gimeno, J.| Valenzuela-Fuenzalida, J.J.| Loaiza Giraldo, J.P.| León-Rojas, J.E.</t>
  </si>
  <si>
    <t>10.3390/healthcare13243268</t>
  </si>
  <si>
    <t>2-s2.0-105026192250</t>
  </si>
  <si>
    <t>Universidad de las Américas - Chile| Universidad de las Américas - Ecuador| Universidad Andrés Bello| Universidad Autónoma de Chile| University of Valencia| Universidad Finis Terrae| Uniformed Services University of the Health Sciences| Universidad Bernardo O'Higgins</t>
  </si>
  <si>
    <t>125750965| 60002636| 60006762| 60279370| 60105368| 60105371| 60105370| 60002644| 60105362| 133052368| 60104441</t>
  </si>
  <si>
    <t>Republic of Turkey Ministry of National Education| Universidad Andrés Bello| Uniformed Services University of the Health Sciences| F. Edward Hebert School of Medicine| Universidad Finis Terrae| Universidad Autónoma de Chile| Universidad Bernardo O'Higgins| Universitat de València| Universidad de Las Américas Chile| Universidad Central del Valle del Cauca (UCEVA)| Universidad de las Americas - Ecuador</t>
  </si>
  <si>
    <t>Chile| Ecuador| Spain| United States| Colombia| Turkey</t>
  </si>
  <si>
    <t>Cruz D.H.-D.L.</t>
  </si>
  <si>
    <t>Autoimmune Encephalitis Associated with Anti-LGI1 Antibodies: A Review of Clinical, Diagnostic, and Therapeutic Aspects</t>
  </si>
  <si>
    <t>Cruz, D.H.-D.L.| Bustamante-Canales, L.A.A.| Silva-Carrasco, C.P.| Faúndez-Silva, R.A.</t>
  </si>
  <si>
    <t>192-197</t>
  </si>
  <si>
    <t>10.1016/j.rmclc.2025.06.004</t>
  </si>
  <si>
    <t>2-s2.0-105009803214</t>
  </si>
  <si>
    <t>Universidad Autónoma de Chile| Universidad Finis Terrae| Universidad de Chile</t>
  </si>
  <si>
    <t>60105368| 60002946| 60012464| 60105371</t>
  </si>
  <si>
    <t>Universidad Finis Terrae| Facultad de Medicina de la Universidad de Chile| Universidad de Chile| Universidad Autónoma de Chile</t>
  </si>
  <si>
    <t>Elton Í.A.G.</t>
  </si>
  <si>
    <t>The knowledge of the person in their uniqueness. An approximation from two exponents of the Thomist School of Barcelona</t>
  </si>
  <si>
    <t>Elton, Í.A.G.</t>
  </si>
  <si>
    <t>Humanidades</t>
  </si>
  <si>
    <t>ISSN-15105024</t>
  </si>
  <si>
    <t>Universidad de Montevideo</t>
  </si>
  <si>
    <t>58.0</t>
  </si>
  <si>
    <t>10.25185/16.6</t>
  </si>
  <si>
    <t>2-s2.0-85216011073</t>
  </si>
  <si>
    <t>Protamine induced vasoplegic syndrome. The importance of ECLS with ECMO and CALS protocol in complex cases</t>
  </si>
  <si>
    <t>Arroyo, A.| Zamorano, A.| Silva, D.| Gacitúa, T.| Portilla, M.| Salazar, P.| Zamorano, J.</t>
  </si>
  <si>
    <t>103-108</t>
  </si>
  <si>
    <t>10.1016/j.rmclc.2025.04.003</t>
  </si>
  <si>
    <t>2-s2.0-105003571817</t>
  </si>
  <si>
    <t>60105368| 60022810| 60016278</t>
  </si>
  <si>
    <t>Universidad Finis Terrae| Clinica Santa Maria| Universidad de Talca</t>
  </si>
  <si>
    <t>Zamorano A.</t>
  </si>
  <si>
    <t>Errázuriz A.M.</t>
  </si>
  <si>
    <t>The school and its urban imprint. Alianza Francesa - Antoine de Saint-Exupéry School, Chamisero. Colina, Chile, 2021</t>
  </si>
  <si>
    <t>Errázuriz, A.M.| Chadwick, C.F.</t>
  </si>
  <si>
    <t>ARQ</t>
  </si>
  <si>
    <t>36-43</t>
  </si>
  <si>
    <t>ISSN-07160852</t>
  </si>
  <si>
    <t>0.134</t>
  </si>
  <si>
    <t>10.4067/s0717-69962024000200036</t>
  </si>
  <si>
    <t>2-s2.0-85216253641</t>
  </si>
  <si>
    <t>Chadwick C.F.</t>
  </si>
  <si>
    <t>Attitudes of early childhood educators to deal with emotional crisis situations of children with autism</t>
  </si>
  <si>
    <t>Aqueveque-Muñoz, C.</t>
  </si>
  <si>
    <t>97.0</t>
  </si>
  <si>
    <t>10.31637/epsir-2024-719</t>
  </si>
  <si>
    <t>2-s2.0-85209811590</t>
  </si>
  <si>
    <t>60105368| 60105370</t>
  </si>
  <si>
    <t>Management of systolic dysfunction in patients with hypertrophic cardiomyopathy: challenges and perspectives</t>
  </si>
  <si>
    <t>Fernández, A.| Giordanino, E.</t>
  </si>
  <si>
    <t>406-412</t>
  </si>
  <si>
    <t>10.1016/j.rmclc.2025.10.002</t>
  </si>
  <si>
    <t>2-s2.0-105026965629</t>
  </si>
  <si>
    <t>Fundación Favaloro| Universidad Finis Terrae| Clínica Las Condes</t>
  </si>
  <si>
    <t>60281799| 60023623| 60017912| 60105368</t>
  </si>
  <si>
    <t>Instituto de Neurociencias Buenos Aires| Fundacion Favaloro| Clínica Las Condes| Universidad Finis Terrae</t>
  </si>
  <si>
    <t>Reply to letter to the editor regarding “Wound drain in lumbar arthrodesis for degenerative disease: an experimental, multicenter, randomized controlled trial”</t>
  </si>
  <si>
    <t>Molina, M.</t>
  </si>
  <si>
    <t>Spine Journal</t>
  </si>
  <si>
    <t>393-394</t>
  </si>
  <si>
    <t>ISSN-15299430</t>
  </si>
  <si>
    <t>10.1016/j.spinee.2023.09.031</t>
  </si>
  <si>
    <t>2-s2.0-85182999283</t>
  </si>
  <si>
    <t>60000146| 60105368</t>
  </si>
  <si>
    <t>Clinica Alemana| Universidad Finis Terrae</t>
  </si>
  <si>
    <t>Vitamin D and cutaneous pathologies</t>
  </si>
  <si>
    <t>Hartmann Schatloff, D.| Valenzuela A., F.</t>
  </si>
  <si>
    <t>21-30</t>
  </si>
  <si>
    <t>10.1016/j.piel.2023.07.002</t>
  </si>
  <si>
    <t>2-s2.0-85174710743</t>
  </si>
  <si>
    <t>60105368| 60011682</t>
  </si>
  <si>
    <t>Universidad Finis Terrae| Hospital Clínico Universidad De Chile</t>
  </si>
  <si>
    <t>Perez S.</t>
  </si>
  <si>
    <t>A New Approach to Evaluating Diversity and Difficulty in Procedurally Generated 2D Platformer Game Levels Through the Relationship Between Structural Metrics and Game Mechanic Constraints in Intelligent Agents</t>
  </si>
  <si>
    <t>Perez, S.| Rojas, D.</t>
  </si>
  <si>
    <t>10.1109/SCCC67219.2025.11420775</t>
  </si>
  <si>
    <t>2-s2.0-105035827005</t>
  </si>
  <si>
    <t>Manzur A.</t>
  </si>
  <si>
    <t>Evaluation of the evidence-based practices for the management of PCOS in the Latin America context: the consensus of the Latin American Association of Gynecological Endocrinology (ALEG)</t>
  </si>
  <si>
    <t>Spritzer, P.M.| Gonzalo Salazar Santos, G.| Munevar Vega, M.L.| Chedraui, P.| Pilnik, S.| Camero Lascano, A.| Belardo, A.| Elizalde Cremonte, A.| Vivas Ramírez, A.| Rosas Balán, A.| Barragán, A.M.| Gómez Quintero, A.M.| Camargo Rodríguez, C.A.| Buitrago, D.A.| Barón Castañeda, G.| Rossi, G.| de La Parra, I.| Montes Suárez, I.D.| Michel Vergara, J.A.| Marchesan, L.B.| Abril Barreto, M.| Sánchez Torrejón, M.| Lima, S.| Ramos de Ferreira, T.D.J.| Manzur, A.</t>
  </si>
  <si>
    <t>Gynecological Endocrinology</t>
  </si>
  <si>
    <t>ISSN-09513590</t>
  </si>
  <si>
    <t>0.699</t>
  </si>
  <si>
    <t>10.1080/09513590.2025.2456578</t>
  </si>
  <si>
    <t>2-s2.0-85216338090</t>
  </si>
  <si>
    <t>Universidade Federal do Rio Grande do Sul| Universidad Espíritu Santo, Ecuador| Universidad del Rosario| Instituto Nacional de Perinatologia| Universidad El Bosque| Universidad Finis Terrae| Universidad de Guadalajara| Hospital Italiano de Buenos Aires| Seguro Social de Salud del Perú| Hospital Universitario Mayor Méderi| Hospital Nossa Senhora da Conceição| Universidad Nacional del Nordeste</t>
  </si>
  <si>
    <t>60006726| 60014120| 106973789| 132196525| 60104602| 60008557| 132196747| 60003542| 60019006| 60065589| 60033487| 122523770| 60190863| 60070348| 132196790| 60008943| 60069644| 60112597| 105349969| 132196701| 60105368</t>
  </si>
  <si>
    <t>Universidade Federal do Rio Grande do Sul| Hospital de Clinicas de Porto Alegre| Clínica del Country| Fertivida Centro de Fertilidad and Grupo de Endocrinología Ginecológica| Universidad Espíritu Santo| Hospital Italiano de Buenos Aires| Private Medical Gynecological Clinic| Universidad Nacional del Nordeste| Fundacion Barcelo, Facultad de Medicina| Universidad del Rosario| Instituto Nacional de Perinatologia| Conceptum - Unidad de Fertilidad del Country| Hospital Universitario Mayor Méderi| Universidad El Bosque| Instituto Dr. Guillermo Rossi| Universidad de Guadalajara| Hospital Nossa Senhora da Conceicao| Hospital Nacional Guillermo Almenara Irigoyen, EsSalud| Facultad de Medicina CLAEH| Private Medical Gynecological Clinic| Universidad Finis Terrae</t>
  </si>
  <si>
    <t>Chile| Paraguay| Mexico| Uruguay| Ecuador| Colombia| Peru| Brazil| Argentina</t>
  </si>
  <si>
    <t>Resting energy expenditure and low-density lipoproteins serum concentration in adults with mild subclinical hypothyroidism</t>
  </si>
  <si>
    <t>Vicuña-Herrera, I.| Fernández-Verdejo, R.| Galgani, J.E.</t>
  </si>
  <si>
    <t>103-110</t>
  </si>
  <si>
    <t>10.4067/s0717-75182024000200103</t>
  </si>
  <si>
    <t>2-s2.0-85194839690</t>
  </si>
  <si>
    <t>Universidad Finis Terrae| Universidad de Valparaíso| Pontificia Universidad Católica de Chile</t>
  </si>
  <si>
    <t>60029681| 60009418| 60008781| 60105368</t>
  </si>
  <si>
    <t>Pontificia Universidad Católica de Chile| Facultad de Medicina| Universidad de Valparaiso| Universidad Finis Terrae</t>
  </si>
  <si>
    <t>Partial agenesis of the pectoralis major and minor muscle: A cadaveric case report</t>
  </si>
  <si>
    <t>Bruna-Mejía, A.| Orellana-Donoso, M.| Nova-Baeza, P.| Suazo Santibañez, A.| Oyanedel-Amaro, G.| Valenzuela-Fuenzalida, J.J.</t>
  </si>
  <si>
    <t>10.1097/MD.0000000000039444</t>
  </si>
  <si>
    <t>2-s2.0-85204418067</t>
  </si>
  <si>
    <t>Universidad de las Américas - Chile| Universidad Andrés Bello| Universidad Autónoma de Chile| Universidad Finis Terrae| Universidad Bernardo O'Higgins</t>
  </si>
  <si>
    <t>109523353| 60105368| 60002636| 60105362| 60105371| 60105370</t>
  </si>
  <si>
    <t>Universidad de PlayaAncha| Universidad Finis Terrae| Universidad Andrés Bello| Universidad de Las Américas Chile| Universidad Autónoma de Chile| Universidad Bernardo O'Higgins</t>
  </si>
  <si>
    <t>Snapshot of a Decade: Idiopathic Inflammatory Myopathies in Chile - A 10-Year Short Report</t>
  </si>
  <si>
    <t>Ramirez, P.| Giglio, A.| Dominguez, I.| Garrido, F.| Gutierrez, F.</t>
  </si>
  <si>
    <t>Journal of Clinical Rheumatology</t>
  </si>
  <si>
    <t>205-209</t>
  </si>
  <si>
    <t>ISSN-10761608</t>
  </si>
  <si>
    <t>10.1097/RHU.0000000000002230</t>
  </si>
  <si>
    <t>2-s2.0-105003371923</t>
  </si>
  <si>
    <t>Aceves Álvarez O.</t>
  </si>
  <si>
    <t>Recreate What Has Never Been Created. The Double Paradox of Reconstructing the Formworks of the "House in Jean Mermoz" (1956-1961-1992)</t>
  </si>
  <si>
    <t>Fracalossi, I.| Aceves Álvarez, O.</t>
  </si>
  <si>
    <t>Dearq</t>
  </si>
  <si>
    <t>23-32</t>
  </si>
  <si>
    <t>ISSN-20113188</t>
  </si>
  <si>
    <t>Universidad de los Andes, Colombia</t>
  </si>
  <si>
    <t>0.143</t>
  </si>
  <si>
    <t>10.18389/dearq39.2024.03</t>
  </si>
  <si>
    <t>2-s2.0-85198340798</t>
  </si>
  <si>
    <t>Universidad Andrés Bello| Pontificia Universidad Católica de Valparaíso| Universidad Finis Terrae</t>
  </si>
  <si>
    <t>60023520| 60105368| 60002636</t>
  </si>
  <si>
    <t>Pontificia Universidad Católica de Valparaíso| Universidad Finis Terrae| Universidad Andrés Bello</t>
  </si>
  <si>
    <t>Ventilatory load reduction by combined mild hypothermia and ultraprotective mechanical ventilation strategy in severe COVID-19-related acute respiratory distress syndrome: A physiological study</t>
  </si>
  <si>
    <t>Cruces, P.| Moreno, D.| Reveco, S.| Ramírez, Y.| Díaz, F.</t>
  </si>
  <si>
    <t>Turkish Journal of Emergency Medicine</t>
  </si>
  <si>
    <t>117-121</t>
  </si>
  <si>
    <t>ISSN-24522473</t>
  </si>
  <si>
    <t>10.4103/tjem.tjem_339_22</t>
  </si>
  <si>
    <t>2-s2.0-85189660184</t>
  </si>
  <si>
    <t>60281394| 60002636| 60281764| 60105368</t>
  </si>
  <si>
    <t>Hospital El Carmen Dr. Luis Valentín Ferrada| Universidad Andrés Bello| Facultad de Ciencias de la Vida| Universidad Finis Terrae</t>
  </si>
  <si>
    <t>García-Meneses C.</t>
  </si>
  <si>
    <t>Effects of stabilization exercises on pain and psychological factors in people with nonspecific low back pain: systematic review and meta-analysis</t>
  </si>
  <si>
    <t>García-Meneses, C.| Guzmán-Muñoz, E.| Méndez, J.S.| Valdés-Badilla, P.| Vásquez-Muñoz, M.</t>
  </si>
  <si>
    <t>374-394</t>
  </si>
  <si>
    <t>10.47197/retos.v66.111857</t>
  </si>
  <si>
    <t>2-s2.0-86000458181</t>
  </si>
  <si>
    <t>Universidad Viña del Mar| Universidad Mayor| Universidad Santo Tomás, Santiago| Universidad Autónoma de Chile| Universidad Finis Terrae| Universidad Católica del Maule</t>
  </si>
  <si>
    <t>60105368| 60009128| 60105371| 60009462| 60033240| 60005881</t>
  </si>
  <si>
    <t>Universidad Finis Terrae| Universidad Santo Tomas, Santiago| Universidad Autónoma de Chile| Universidad Católica del Maule| Universidad Viña del Mar| Universidad Mayor</t>
  </si>
  <si>
    <t>Desert storm: Socio-natural Disaster and Neoliberalism in the Testimonial Literature of the 25M in Atacama</t>
  </si>
  <si>
    <t>Taller de Letras</t>
  </si>
  <si>
    <t>33-65</t>
  </si>
  <si>
    <t>ISSN-07160798</t>
  </si>
  <si>
    <t>10.7764/Tl.75.33-65</t>
  </si>
  <si>
    <t>2-s2.0-105018212364</t>
  </si>
  <si>
    <t>Nasal myiasis: an infrequent cause of sinusitis in a critical care patient</t>
  </si>
  <si>
    <t>Giglio Jimenez, A.| Dreyse, J.| Venegas, J.C.| Ferre, A.</t>
  </si>
  <si>
    <t>10.1136/bcr-2024-263124</t>
  </si>
  <si>
    <t>2-s2.0-85215072903</t>
  </si>
  <si>
    <t>Erazo P.V.</t>
  </si>
  <si>
    <t>Obesity treatment: recommendation from the Nutrition Branch of the Chilean Society of Pediatrics 4</t>
  </si>
  <si>
    <t>Olivos, C.L.R.| García, M.V.A.| Jiménez, P.B.| Silva, A.P.| Paredes, P.D.| Espejo, B.R.| Erazo, P.V.| Uribe, P.F.| Weisstaub, G.</t>
  </si>
  <si>
    <t>10.32641/andespediatr.v96i5.5784</t>
  </si>
  <si>
    <t>2-s2.0-105014254129</t>
  </si>
  <si>
    <t>Universidad Mayor| Universidad de los Andes Chile| Universidad Finis Terrae| Universidad de Valparaíso| Universidad de Chile| Pontificia Universidad Católica de Chile</t>
  </si>
  <si>
    <t>60002946| 60012464| 60004577| 60029681| 60022810| 60011284| 60006841| 60008781| 60015638| 60105368| 60105887| 133076268| 60005881</t>
  </si>
  <si>
    <t>Facultad de Medicina de la Universidad de Chile| Universidad de Chile| Hospital Clínico San Borja Arriarán| Pontificia Universidad Católica de Chile| Clinica Santa Maria| Universidad de los Andes, Chile| Hospital Dr Gustavo Fricke| Universidad de Valparaiso| Hospital San Juan de Dios, Santiago de Chile| Universidad Finis Terrae| Hospital Dr. Exequiel González Cortés| Team Chile| Universidad Mayor</t>
  </si>
  <si>
    <t>Developmental biology in Chile: an open window to Latin America and the world</t>
  </si>
  <si>
    <t>Concha, M.L.| Gaete, M.| Marcellini, S.| Palma, V.| Torrejón, M.| Vásquez-Doorman, C.</t>
  </si>
  <si>
    <t>Differentiation</t>
  </si>
  <si>
    <t>ISSN-03014681</t>
  </si>
  <si>
    <t>10.1016/j.diff.2025.100882</t>
  </si>
  <si>
    <t>2-s2.0-105008900246</t>
  </si>
  <si>
    <t>Ministerio de Planificación, Chile| Universidad Finis Terrae| Universidad de Chile| Universidad Bernardo O'Higgins| Universidad de Concepción</t>
  </si>
  <si>
    <t>60002946| 60012464| 60281816| 132727905| 60105368| 60001282| 60105370</t>
  </si>
  <si>
    <t>Facultad de Medicina de la Universidad de Chile| Universidad de Chile| Instituto de Neurociencia Biomédica| Sociedad de Biología del Desarrollo de Chile| Universidad Finis Terrae| Universidad de Concepcion| Universidad Bernardo O'Higgins</t>
  </si>
  <si>
    <t>Figueroa-Bustos A.</t>
  </si>
  <si>
    <t>Thematic agenda, use of sources, and quality in the alternative media El Ciudadano and El Líbero</t>
  </si>
  <si>
    <t>Figueroa-Bustos, A.</t>
  </si>
  <si>
    <t>Cuadernos.info</t>
  </si>
  <si>
    <t>229-250</t>
  </si>
  <si>
    <t>ISSN-07193661</t>
  </si>
  <si>
    <t>0.291</t>
  </si>
  <si>
    <t>10.7764/cdi.61.87916</t>
  </si>
  <si>
    <t>2-s2.0-105012781743</t>
  </si>
  <si>
    <t>Kobayashi M.A.</t>
  </si>
  <si>
    <t>"Writing from no language": Henri Michaux's signs in motion.</t>
  </si>
  <si>
    <t>Kobayashi, M.A.</t>
  </si>
  <si>
    <t>Logos: Revista de Linguistica, Filosofia y Literatura</t>
  </si>
  <si>
    <t>ISSN-07167520</t>
  </si>
  <si>
    <t>Universidad de la Serena,Departamento de Artes y Letras</t>
  </si>
  <si>
    <t>10.15443/RL3502</t>
  </si>
  <si>
    <t>2-s2.0-105007197288</t>
  </si>
  <si>
    <t>Widow G.L.</t>
  </si>
  <si>
    <t>is tHere any kind of real participation in aristotle? double rationality in tHe soul’s potencies in nic. et. a 13</t>
  </si>
  <si>
    <t>Widow, G.L.| Rego, T.</t>
  </si>
  <si>
    <t>Hypnos</t>
  </si>
  <si>
    <t>204-226</t>
  </si>
  <si>
    <t>ISSN-14139138</t>
  </si>
  <si>
    <t>Faculty of Engineering, Khon Kaen University</t>
  </si>
  <si>
    <t>2-s2.0-85214021784</t>
  </si>
  <si>
    <t>Ramirez P.</t>
  </si>
  <si>
    <t>American Society for Transplantation and Cellular Therapy International Affairs Committee: Report of the 4th Workshop on Quality as a Development Tool for Hematopoietic Cell Transplantation Programs at the 2023 Tandem BMT Meetings</t>
  </si>
  <si>
    <t>Ramirez, P.| Atsuta, Y.| Alseraihy, A.| Okamoto, S.| Teshima, T.| Aljurf, M.| Majhail, N.S.| Rondelli, D.| Chao, N.| Flowers, M.E.</t>
  </si>
  <si>
    <t>Transplantation and Cellular Therapy</t>
  </si>
  <si>
    <t>468-474</t>
  </si>
  <si>
    <t>ISSN-26666367</t>
  </si>
  <si>
    <t>10.1016/j.jtct.2024.02.011</t>
  </si>
  <si>
    <t>2-s2.0-85186319082</t>
  </si>
  <si>
    <t>Aichi Medical University| The Japanese Data Center for Hematopoietic Cell Transplantation| Hokkaido University| King Faisal Specialist Hospital and Research Centre| University of Illinois at Chicago| Universidad Finis Terrae| Keio University| Clínica Las Condes| University of Washington| Fred Hutchinson Cancer Research Center| Duke University</t>
  </si>
  <si>
    <t>60105368| 60017912| 60116771| 60161449| 60016332| 60025252| 60014652| 60171691| 101856682| 127869887| 60023868| 60008724| 60028548| 60279163</t>
  </si>
  <si>
    <t>Universidad Finis Terrae| Clínica Las Condes| Japanese Data Center for Hematopoietic Cell Transplantation| Aichi Medical University School of Medicine| King Faisal Specialist Hospital &amp; Research Centre| Keio University School of Medicine| Hokkaido University| Faculty of Medicine| Japan Society for Hematopoietic Cell Transplantation| Sarah Cannon Transplant and Cellular Therapy Network| University of Illinois College of Medicine| Duke University| University of Washington School of Medicine| Fred Hutchinson Cancer Center</t>
  </si>
  <si>
    <t>Chile| Japan| Saudi Arabia| United States</t>
  </si>
  <si>
    <t>Rivas Orrego J.</t>
  </si>
  <si>
    <t>The importance of oral expression for journalism interns in chilean media</t>
  </si>
  <si>
    <t>Rivas Orrego, J.| Moena Benítez, M.F.| Crisóstomo Flores, P.</t>
  </si>
  <si>
    <t>10.31637/epsir-2024-1066</t>
  </si>
  <si>
    <t>2-s2.0-85212276677</t>
  </si>
  <si>
    <t>Moena Benítez M.F.</t>
  </si>
  <si>
    <t>Crisóstomo Flores P.</t>
  </si>
  <si>
    <t>Severe middle childhood acne treated with isotretinoin</t>
  </si>
  <si>
    <t>González, A.| Garrido, V.| Yutronic, J.| Castillo, P.| Darlic, V.| Hartmann, D.</t>
  </si>
  <si>
    <t>59-61</t>
  </si>
  <si>
    <t>0.105</t>
  </si>
  <si>
    <t>10.1016/j.piel.2024.04.006</t>
  </si>
  <si>
    <t>2-s2.0-85203202321</t>
  </si>
  <si>
    <t>Universidad del Desarrollo| Universidad Finis Terrae| Universidad de Chile</t>
  </si>
  <si>
    <t>60002946| 60012464| 60012467| 60006469| 60105368</t>
  </si>
  <si>
    <t>Facultad de Medicina de la Universidad de Chile| Universidad de Chile| Hospital de Niños Roberto del Río| Universidad del Desarrollo| Universidad Finis Terrae</t>
  </si>
  <si>
    <t>Polanco V.</t>
  </si>
  <si>
    <t>Activity of novel endogenous pararetroviruses and their associations with S. lycopersicum ripening</t>
  </si>
  <si>
    <t>Villacreses, J.| Sanchez-Doñas, C.| Polanco, V.| Johnson, N.R.| Maracaja-Coutinho, V.| Martin, A.J.M.</t>
  </si>
  <si>
    <t>Current Plant Biology</t>
  </si>
  <si>
    <t>ISSN-22146628</t>
  </si>
  <si>
    <t>0.887</t>
  </si>
  <si>
    <t>10.1016/j.cpb.2025.100565</t>
  </si>
  <si>
    <t>2-s2.0-105021937565</t>
  </si>
  <si>
    <t>Universidad Mayor| Universidad San Sebastián| Ministerio de Planificación, Chile| Universidad Finis Terrae| Fundação Oswaldo Cruz| Universidad de Chile</t>
  </si>
  <si>
    <t>60005881| 60012442| 133399650| 60105368| 60281456| 60012464| 60281366| 60026004| 60000636</t>
  </si>
  <si>
    <t>Universidad Mayor| Fundación Ciencia &amp; Vida| Centro de Oncología de Precisión| Universidad Finis Terrae| Instituto Milenio de Biología Integrativa| Universidad de Chile| Centro Avanzado de Enfermedades Crónicas| Fundacao Oswaldo Cruz| Universidad San Sebastián</t>
  </si>
  <si>
    <t>Silva A.K.</t>
  </si>
  <si>
    <t>Clinical course of atypical parathyroid neoplasm with soft tissue extension</t>
  </si>
  <si>
    <t>Feldman, H.A.| Busaidy, N.L.| Tame-Elorduy, A.| Silva, A.K.| Halfteck, G.| Merriman, K.| Waguespack, S.G.| Graham, P.H.| Williams, M.D.| Perrier, N.D.</t>
  </si>
  <si>
    <t>Journal of Surgical Oncology</t>
  </si>
  <si>
    <t>1092-1096</t>
  </si>
  <si>
    <t>ISSN-00224790</t>
  </si>
  <si>
    <t>0.741</t>
  </si>
  <si>
    <t>10.1002/jso.27829</t>
  </si>
  <si>
    <t>2-s2.0-85201423875</t>
  </si>
  <si>
    <t>University of Texas MD Anderson Cancer Center| Geisinger Medical Center| Universidad Finis Terrae</t>
  </si>
  <si>
    <t>60001527| 60015023| 60105368</t>
  </si>
  <si>
    <t>Geisinger Medical Center| The University of Texas MD Anderson Cancer Center| Universidad Finis Terrae</t>
  </si>
  <si>
    <t>Contreras Valeria C.</t>
  </si>
  <si>
    <t>Self-regulation guide for the development of argumentation skills in nursing care management: A mixed study</t>
  </si>
  <si>
    <t>Contreras Valeria, C.| Williams Oyarce, C.</t>
  </si>
  <si>
    <t>10.1016/j.edumed.2024.100943</t>
  </si>
  <si>
    <t>2-s2.0-85195467867</t>
  </si>
  <si>
    <t>Universidad de Santiago de Chile| Universidad Finis Terrae</t>
  </si>
  <si>
    <t>60105368| 60023383</t>
  </si>
  <si>
    <t>Universidad Finis Terrae| Universidad de Santiago de Chile</t>
  </si>
  <si>
    <t>Williams Oyarce C.</t>
  </si>
  <si>
    <t>Villalobos P.</t>
  </si>
  <si>
    <t>Dystopian imaginaries and ecosocial imaginaries: artistic practices at the beginning of the pandemic in Chile and Spain.</t>
  </si>
  <si>
    <t>Villalobos, P.</t>
  </si>
  <si>
    <t>Arte, Individuo y Sociedad</t>
  </si>
  <si>
    <t>673-686</t>
  </si>
  <si>
    <t>ISSN-11315598</t>
  </si>
  <si>
    <t>Universidad Compultense Madrid</t>
  </si>
  <si>
    <t>0.244</t>
  </si>
  <si>
    <t>10.5209/aris.93263</t>
  </si>
  <si>
    <t>2-s2.0-85196187514</t>
  </si>
  <si>
    <t>Sanchez-Duque C.G.</t>
  </si>
  <si>
    <t>Body disposition in theatre of animated forms to rethink gender equality in primary education</t>
  </si>
  <si>
    <t>Sanchez-Duque, C.G.| Chacón-Gordillo, P.| Barros Rodriguez, F.</t>
  </si>
  <si>
    <t>Youth Theatre Journal</t>
  </si>
  <si>
    <t>ISSN-08929092</t>
  </si>
  <si>
    <t>10.1080/08929092.2025.2527042</t>
  </si>
  <si>
    <t>2-s2.0-105013179657</t>
  </si>
  <si>
    <t>Androgen therapy in midlife and older women: a position statement of the Latin American Association of Gynecological Endocrinology (ALEG)</t>
  </si>
  <si>
    <t>Pilnik, S.| Belardo, A.| Marchesan, L.B.| Camero-Lascano, A.| Acuña-San Martín, M.| Elizalde-Cremonte, A.| Ojeda, E.| Manzur, A.| Chedraui, P.</t>
  </si>
  <si>
    <t>529-536</t>
  </si>
  <si>
    <t>10.1080/13697137.2025.2548805</t>
  </si>
  <si>
    <t>2-s2.0-105015390928</t>
  </si>
  <si>
    <t>Universidad Espíritu Santo, Ecuador| Universidad de la Frontera| Universidad Favaloro| Universidad Finis Terrae| Universidad Andina del Cusco| Hospital Italiano de Buenos Aires| Hospital Nossa Senhora da Conceição| Universidad Nacional del Nordeste</t>
  </si>
  <si>
    <t>60013553| 60008557| 60069644| 132196747| 60012035| 60003542| 60019006| 60112686| 60109622| 60105368| 60104602</t>
  </si>
  <si>
    <t>Universidad Favaloro| Hospital Italiano de Buenos Aires| Hospital Nossa Senhora da Conceicao| Private Medical Gynecological Clinic| Universidad de la Frontera| Universidad Nacional del Nordeste| Fundacion Barcelo, Facultad de Medicina| Universidad Andina del Cusco| Clinica Meds, Chile| Universidad Finis Terrae| Universidad Espíritu Santo</t>
  </si>
  <si>
    <t>Chile| Ecuador| Colombia| Peru| Brazil| Argentina</t>
  </si>
  <si>
    <t>Kawasaki Disease and Pediatric Multisystem Inflammatory Syndrome in the Aftermath of the Pandemic</t>
  </si>
  <si>
    <t>10.32641/andespediatr.v96i4.5361</t>
  </si>
  <si>
    <t>2-s2.0-105011376001</t>
  </si>
  <si>
    <t>Casals M.</t>
  </si>
  <si>
    <t>“We Have to Kick This Guy Out”.The Dismissal of Gustavo Leigh from the Military Junta in Chile (1978)</t>
  </si>
  <si>
    <t>Casals, M.| Estefane, A.</t>
  </si>
  <si>
    <t>10.38178/07183089/1916231230</t>
  </si>
  <si>
    <t>2-s2.0-105034689949</t>
  </si>
  <si>
    <t>EV Battery Charging System</t>
  </si>
  <si>
    <t>Balamurugan, M.| Narendiran, S.| Sarat Kumar, S.| Yanine, F.</t>
  </si>
  <si>
    <t>215-233</t>
  </si>
  <si>
    <t>2-s2.0-85194763042</t>
  </si>
  <si>
    <t>Universidad Finis Terrae| Dayananda Sagar Institutions</t>
  </si>
  <si>
    <t>60114492| 60103989| 60114758| 60105368</t>
  </si>
  <si>
    <t>Dayananda Sagar College of Engineering| Sri Krishna College of Engineering and Technology Coimbatore| BPUT, Parala Maharaja Engineering College| Universidad Finis Terrae</t>
  </si>
  <si>
    <t>Maldonado J D.</t>
  </si>
  <si>
    <t>Social Media and Plastic Surgery, the Good, the Bad, and Where are We Going?</t>
  </si>
  <si>
    <t>Maldonado J, D.| Arriagada I, C.| Conejero R, A.| Covarrubias C, P.| Doña V, J.| Hurtado D, M.J.</t>
  </si>
  <si>
    <t>Aesthetic Plastic Surgery</t>
  </si>
  <si>
    <t>5224-5236</t>
  </si>
  <si>
    <t>ISSN-0364216X</t>
  </si>
  <si>
    <t>0.907</t>
  </si>
  <si>
    <t>10.1007/s00266-025-04748-5</t>
  </si>
  <si>
    <t>2-s2.0-86000772886</t>
  </si>
  <si>
    <t>Arriagada I C.</t>
  </si>
  <si>
    <t>Conejero R A.</t>
  </si>
  <si>
    <t>Covarrubias C P.</t>
  </si>
  <si>
    <t>Doña V J.</t>
  </si>
  <si>
    <t>Hurtado D M.J.</t>
  </si>
  <si>
    <t>COLLABORATIVE PRACITCES IN FOUR CONTEMPORARY EXPERIMENTAL PUBLICATIONS</t>
  </si>
  <si>
    <t>379-408</t>
  </si>
  <si>
    <t>10.7764/ANALESLITCHI.44.18</t>
  </si>
  <si>
    <t>2-s2.0-105030880867</t>
  </si>
  <si>
    <t>Cutaneous manifestations to the use of cetuximab</t>
  </si>
  <si>
    <t>555-561</t>
  </si>
  <si>
    <t>10.1016/j.piel.2024.01.017</t>
  </si>
  <si>
    <t>2-s2.0-85192535624</t>
  </si>
  <si>
    <t>Early Childhood Education and Care Leaders Strengthen the Relationship with Families. Three Exemplary Cases from Chile</t>
  </si>
  <si>
    <t>Opazo, M.-J.| Pardo, M.| Vanni, X.| Valenzuela, J.P.| Figueroa, D.| de la Fuente, L.| Uribe, M.</t>
  </si>
  <si>
    <t>Early Childhood Pedagogical Practices Across the World: Selected Case Studies on the Role of Teachers for Learning and Care</t>
  </si>
  <si>
    <t>139-154</t>
  </si>
  <si>
    <t>10.1007/978-981-96-2747-9_12</t>
  </si>
  <si>
    <t>2-s2.0-105023358927</t>
  </si>
  <si>
    <t>Universidad Diego Portales| Universidad Finis Terrae| Universidad de Chile</t>
  </si>
  <si>
    <t>60012464| 60105368| 60013592</t>
  </si>
  <si>
    <t>Universidad de Chile| Universidad Finis Terrae| Universidad Diego Portales</t>
  </si>
  <si>
    <t>Hernández L.T.</t>
  </si>
  <si>
    <t>The Chilean Trade Union Movement in the face of Peronism: the case of ATLAS, 1952-1955</t>
  </si>
  <si>
    <t>Leiva, D.J.| Hernández, L.T.</t>
  </si>
  <si>
    <t>201-226</t>
  </si>
  <si>
    <t>10.5354/0719-1243.2025.79110</t>
  </si>
  <si>
    <t>2-s2.0-105009748521</t>
  </si>
  <si>
    <t>60023383| 60012464| 60105368</t>
  </si>
  <si>
    <t>Universidad de Santiago de Chile| Universidad de Chile| Universidad Finis Terrae</t>
  </si>
  <si>
    <t>Reyes M.</t>
  </si>
  <si>
    <t>Hypophosphatemia in ICU. It’s not all refeeding syndrome</t>
  </si>
  <si>
    <t>Lund, O.G.| Reyes, M.| Díaz, F.</t>
  </si>
  <si>
    <t>298-299</t>
  </si>
  <si>
    <t>10.32641/andespediatr.v96i2.5607</t>
  </si>
  <si>
    <t>2-s2.0-105007196459</t>
  </si>
  <si>
    <t>60092302| 132650622| 60105368| 60281394</t>
  </si>
  <si>
    <t>Hospital Materno Infantil de Salta| Red Pediátrica Colaborativa de Latino América (LARed Network)| Universidad Finis Terrae| Hospital El Carmen Dr. Luis Valentín Ferrada</t>
  </si>
  <si>
    <t>AFTER THE 11TH, BEFORE “THE TEN”: DC UNIONISM AND THE FIRST YEAR OF THE DICTATORSHIP IN CHILE. 1973-1975</t>
  </si>
  <si>
    <t>Hernández, L.T.</t>
  </si>
  <si>
    <t>Revista de Humanidades</t>
  </si>
  <si>
    <t>547-581</t>
  </si>
  <si>
    <t>ISSN-07170491</t>
  </si>
  <si>
    <t>Universidad Andres Bello</t>
  </si>
  <si>
    <t>10.53382/issn.2452-445X.886</t>
  </si>
  <si>
    <t>2-s2.0-85217899276</t>
  </si>
  <si>
    <t>Beyond the school effect: A new perspective on institutional habitus</t>
  </si>
  <si>
    <t>Turri, T.I.| Valdés, C.Á.</t>
  </si>
  <si>
    <t>Cuhso</t>
  </si>
  <si>
    <t>ISSN-2452610X</t>
  </si>
  <si>
    <t>Faculty of Social Sciences and Humanities, Catholic University of Temuco</t>
  </si>
  <si>
    <t>0.184</t>
  </si>
  <si>
    <t>10.7770/CUHSO-V35N1-ART801</t>
  </si>
  <si>
    <t>2-s2.0-105022754408</t>
  </si>
  <si>
    <t>Universidad Finis Terrae| Universidad de Playa Ancha de Ciencias de la Educación</t>
  </si>
  <si>
    <t>60019586| 60105368</t>
  </si>
  <si>
    <t>Universidad de Playa Ancha| Universidad Finis Terrae</t>
  </si>
  <si>
    <t>Understanding How Software Project Managers Learn Using Kolb’s Learning Style Inventory</t>
  </si>
  <si>
    <t>Hidalgo, M.| Castro, L.M.| Astudillo, H.</t>
  </si>
  <si>
    <t>Ingenieria e Investigacion</t>
  </si>
  <si>
    <t>ISSN-01205609</t>
  </si>
  <si>
    <t>Universidad Nacional de Colombia</t>
  </si>
  <si>
    <t>0.214</t>
  </si>
  <si>
    <t>10.15446/ing.investig.115837</t>
  </si>
  <si>
    <t>2-s2.0-105004886970</t>
  </si>
  <si>
    <t>60105368| 60023610| 60002636</t>
  </si>
  <si>
    <t>Universidad Finis Terrae| Universidade da Coruña| Universidad Andrés Bello</t>
  </si>
  <si>
    <t>Pizarro S.I.</t>
  </si>
  <si>
    <t>Primordial assessment: Relevance, components and actions</t>
  </si>
  <si>
    <t>Pizarro, S.I.| Cortes, P.A.</t>
  </si>
  <si>
    <t>MedEdPublish</t>
  </si>
  <si>
    <t>ISSN-23127996</t>
  </si>
  <si>
    <t>F1000 Research Ltd</t>
  </si>
  <si>
    <t>99.0</t>
  </si>
  <si>
    <t>10.12688/MEP.21005.1</t>
  </si>
  <si>
    <t>2-s2.0-105019256759</t>
  </si>
  <si>
    <t>60105368| 133285573</t>
  </si>
  <si>
    <t>Universidad Finis Terrae| SAMU Metropolitano</t>
  </si>
  <si>
    <t>Fermín-González M.</t>
  </si>
  <si>
    <t>Early Childhood Education in Times of Pandemic: The Lived Experience of Children in Latin American Countries</t>
  </si>
  <si>
    <t>Fermín-González, M.| Caffarena-Barcenilla, C.| Barco, B.| Echenique-Arguinzones, A.</t>
  </si>
  <si>
    <t>Revista Colombiana de Educacion</t>
  </si>
  <si>
    <t>ISSN-01203916</t>
  </si>
  <si>
    <t>Research Center of Universidad Pedagogica Nacional</t>
  </si>
  <si>
    <t>0.293</t>
  </si>
  <si>
    <t>10.17227/rce.num95-18798</t>
  </si>
  <si>
    <t>2-s2.0-85216784465</t>
  </si>
  <si>
    <t>60105368| 60029681| 60012464| 60035434</t>
  </si>
  <si>
    <t>Universidad Finis Terrae| Pontificia Universidad Católica de Chile| Universidad de Chile| Universidad Pedagógica Experimental Libertador</t>
  </si>
  <si>
    <t>Martínez Galdames B.</t>
  </si>
  <si>
    <t>Clinical association of the SCN5A c.2302A&gt;G variant (p.Ile768Val) with Brugada syndrome</t>
  </si>
  <si>
    <t>Kuzmicic Calderón, B.| Martínez Galdames, B.| Hassi Thumala, M.| Van Grieken, J.| Kuzmicic, J.</t>
  </si>
  <si>
    <t>657-659</t>
  </si>
  <si>
    <t>0.66</t>
  </si>
  <si>
    <t>10.1016/j.recesp.2024.12.010</t>
  </si>
  <si>
    <t>2-s2.0-85214579541</t>
  </si>
  <si>
    <t>Universidad de Los Lagos| Universidad Finis Terrae</t>
  </si>
  <si>
    <t>60012072| 60105368| 60007572</t>
  </si>
  <si>
    <t>Hospital Dipreca| Universidad Finis Terrae| Universidad de Los Lagos</t>
  </si>
  <si>
    <t>Hernández R.N.</t>
  </si>
  <si>
    <t>The personal pantheon as an expression of popular piety and religious sense in modern pluralism</t>
  </si>
  <si>
    <t>Hernández, R.N.</t>
  </si>
  <si>
    <t>Cuadernos de Teologia</t>
  </si>
  <si>
    <t>ISSN-07198175</t>
  </si>
  <si>
    <t>Universidad Catolica del Norte</t>
  </si>
  <si>
    <t>10.22199/issn.0719-8175-6479</t>
  </si>
  <si>
    <t>2-s2.0-105024771428</t>
  </si>
  <si>
    <t>Bustos-Muñoz D.</t>
  </si>
  <si>
    <t>Unfolding of matter</t>
  </si>
  <si>
    <t>Bustos-Muñoz, D.</t>
  </si>
  <si>
    <t>Estudios Filologicos</t>
  </si>
  <si>
    <t>349-353</t>
  </si>
  <si>
    <t>ISSN-00711713</t>
  </si>
  <si>
    <t>0.125</t>
  </si>
  <si>
    <t>10.4067/S0071-17132025000200349</t>
  </si>
  <si>
    <t>2-s2.0-105038642980</t>
  </si>
  <si>
    <t>Seasonal transcriptome profile across three different tissues of the Andean Killifish Orestias ascotanensis</t>
  </si>
  <si>
    <t>Maldonado-Agurto, R.| Acevedo, E.| Maracaja-Coutinho, V.| Montecino, M.</t>
  </si>
  <si>
    <t>ISSN-20524463</t>
  </si>
  <si>
    <t>10.1038/s41597-025-05345-6</t>
  </si>
  <si>
    <t>2-s2.0-105007903192</t>
  </si>
  <si>
    <t>Universidad Andrés Bello| Ministerio de Planificación, Chile| Universidad Finis Terrae| Universidad de Chile</t>
  </si>
  <si>
    <t>60105368| 60002636| 60012464| 60281366| 60281572</t>
  </si>
  <si>
    <t>Universidad Finis Terrae| Universidad Andrés Bello| Universidad de Chile| Centro Avanzado de Enfermedades Crónicas| Millennium Institute Center for Genome Regulation</t>
  </si>
  <si>
    <t>Reccius-Meza A.</t>
  </si>
  <si>
    <t>Early Brain Injury In Aneurysmal Subarachnoid Hemorrhage: Understanding The Pathophysiology To Optimize Intensive Management</t>
  </si>
  <si>
    <t>Reccius-Meza, A.</t>
  </si>
  <si>
    <t>181-191</t>
  </si>
  <si>
    <t>10.1016/j.rmclc.2025.06.009</t>
  </si>
  <si>
    <t>2-s2.0-105009809377</t>
  </si>
  <si>
    <t>Wildfire Occurrence and Damage Dataset for Chile (1985–2024): A Real Data Resource for Early Detection and Prevention Systems</t>
  </si>
  <si>
    <t>Vidal-Silva, C.| Pizarro, R.| Castillo-Soto, M.| de la Fuente, C.| Duarte, V.| Sangüesa, C.| Ibañez, A.| Paredes, R.| Ingram, B.</t>
  </si>
  <si>
    <t>10.3390/data10070093</t>
  </si>
  <si>
    <t>2-s2.0-105011861852</t>
  </si>
  <si>
    <t>Universidad de Talca| Cranfield University| Universidad Finis Terrae| Universidad de Chile| Pontificia Universidad Católica de Chile| Universidad Católica del Norte</t>
  </si>
  <si>
    <t>60016278| 60029681| 60012464| 60029195| 60105368| 60004407</t>
  </si>
  <si>
    <t>Universidad de Talca| Pontificia Universidad Católica de Chile| Universidad de Chile| Universidad Católica del Norte| Universidad Finis Terrae| Cranfield University</t>
  </si>
  <si>
    <t>Acceleration in School Time: Issues of Educational Justice Between the Use of Digital Technology and the Idea of Skholé</t>
  </si>
  <si>
    <t>Allegra, C.G.| Dávila, C.M.| Prieto, I.T.</t>
  </si>
  <si>
    <t>Educational Research and the Question(s) of Time</t>
  </si>
  <si>
    <t>371-385</t>
  </si>
  <si>
    <t>10.1007/978-981-97-3418-4_20</t>
  </si>
  <si>
    <t>2-s2.0-85205957638</t>
  </si>
  <si>
    <t>Universidad Finis Terrae| Universidad Alberto Hurtado| Universidad Católica del Maule</t>
  </si>
  <si>
    <t>60009462| 60105368| 60088733</t>
  </si>
  <si>
    <t>Universidad Católica del Maule| Universidad Finis Terrae| Universidad Alberto Hurtado</t>
  </si>
  <si>
    <t>Ramos-Alarcón M.B.</t>
  </si>
  <si>
    <t>Masson's Tumor: case report and literature review</t>
  </si>
  <si>
    <t>Ñanco-Meléndez, C.A.| Ramos-Alarcón, M.B.| Cobeña-Macías, K.L.</t>
  </si>
  <si>
    <t>553-557</t>
  </si>
  <si>
    <t>10.1016/j.rmclc.2025.12.004</t>
  </si>
  <si>
    <t>2-s2.0-105030040251</t>
  </si>
  <si>
    <t>60109629| 60105368</t>
  </si>
  <si>
    <t>Hospital San Juan de Diós de Curicó| Universidad Finis Terrae</t>
  </si>
  <si>
    <t>Verdugo F.J.</t>
  </si>
  <si>
    <t>Cardiologic Involvement in an Experimental Model of Reperfused Ischemic Stroke</t>
  </si>
  <si>
    <t>Verdugo, F.J.| Barbieri, I.P.| Riveros, V.B.F.| Buchholz, B.</t>
  </si>
  <si>
    <t>Revista Argentina de Cardiologia</t>
  </si>
  <si>
    <t>316-318</t>
  </si>
  <si>
    <t>ISSN-00347000</t>
  </si>
  <si>
    <t>Sociedad Argentina de Cardiologia</t>
  </si>
  <si>
    <t>0.116</t>
  </si>
  <si>
    <t>10.7775/rac.es.v92.i4.20810</t>
  </si>
  <si>
    <t>2-s2.0-105007015111</t>
  </si>
  <si>
    <t>Hospital del Salvador| Universidad Finis Terrae</t>
  </si>
  <si>
    <t>60006634| 60105368</t>
  </si>
  <si>
    <t>González S.E.</t>
  </si>
  <si>
    <t>Being a good teacher: views of young teachers in Chile and Argentina</t>
  </si>
  <si>
    <t>González, S.E.| Di Leo, P.F.| Silva, I.M.</t>
  </si>
  <si>
    <t>0.186</t>
  </si>
  <si>
    <t>2-s2.0-105004457421</t>
  </si>
  <si>
    <t>Consejo Nacional de Investigaciones Científicas y Técnicas| University of Lleida| Universidad Finis Terrae| Universidad de Chile| Pontificia Universidad Católica de Chile| Universidad de Buenos Aires| Universidad Nacional Autónoma de México</t>
  </si>
  <si>
    <t>60012464| 60032717| 60105368| 60270101| 60001563| 60004518| 60029681| 60032442</t>
  </si>
  <si>
    <t>Universidad de Chile| Universitat de Lleida| Universidad Finis Terrae| Instituto de Investigaciones Gino Germani| Universidad de Buenos Aires| Consejo Nacional de Investigaciones Científicas y Técnicas| Pontificia Universidad Católica de Chile| Universidad Nacional Autónoma de México</t>
  </si>
  <si>
    <t>Chile| Spain| Mexico| Argentina</t>
  </si>
  <si>
    <t>Silva I.M.</t>
  </si>
  <si>
    <t>Castillo L.P.</t>
  </si>
  <si>
    <t>Myasthenic crisis, diagnosis and treatment</t>
  </si>
  <si>
    <t>Panchana, L.G.| Castillo, L.P.</t>
  </si>
  <si>
    <t>137-145</t>
  </si>
  <si>
    <t>10.1016/j.rmclc.2025.06.003</t>
  </si>
  <si>
    <t>2-s2.0-105009775843</t>
  </si>
  <si>
    <t>60017912| 60105910| 60105368</t>
  </si>
  <si>
    <t>Clínica Las Condes| Hospital Clínico Félix Bulnes| Universidad Finis Terrae</t>
  </si>
  <si>
    <t>Trends in research on biology education between 2010-2023: a comparative review</t>
  </si>
  <si>
    <t>Cofré, H.| Díaz, C.V.| Becerra, B.| Núñez, P.| Pavéz, J.M.| Santibáñez, D.</t>
  </si>
  <si>
    <t>Revista Eureka</t>
  </si>
  <si>
    <t>ISSN-1697011X</t>
  </si>
  <si>
    <t>Universidad de Cadiz</t>
  </si>
  <si>
    <t>0.322</t>
  </si>
  <si>
    <t>10.25267/Rev_Eureka_ensen_divulg_cienc.2025.v22.i3.3302</t>
  </si>
  <si>
    <t>2-s2.0-105025646291</t>
  </si>
  <si>
    <t>Pontificia Universidad Católica de Valparaíso| Universidad Finis Terrae| Universidad Alberto Hurtado| Western Illinois University</t>
  </si>
  <si>
    <t>60023520| 60088733| 60010100| 60105368</t>
  </si>
  <si>
    <t>Pontificia Universidad Católica de Valparaíso| Universidad Alberto Hurtado| Western Illinois University| Universidad Finis Terrae</t>
  </si>
  <si>
    <t>Hamartoma neurocrístico con afectación extensa del cuero cabelludo: un tumor enigmático</t>
  </si>
  <si>
    <t>González, Á.| Alcayaga, F.| del Castillo, D.| Carreño, L.| Hartmann, D.| Darlic, V.</t>
  </si>
  <si>
    <t>121-124</t>
  </si>
  <si>
    <t>Moldavian| Moldovan| Romanian| Spanish</t>
  </si>
  <si>
    <t>10.1016/j.piel.2024.05.004</t>
  </si>
  <si>
    <t>2-s2.0-85206632773</t>
  </si>
  <si>
    <t>60002946| 60012464| 60011682| 60105368| 60006469</t>
  </si>
  <si>
    <t>Facultad de Medicina de la Universidad de Chile| Universidad de Chile| Hospital Clínico Universidad De Chile| Universidad Finis Terrae| Universidad del Desarrollo</t>
  </si>
  <si>
    <t>Crisóstomo-Flores P.</t>
  </si>
  <si>
    <t>An analysis of the audiovisual journalistic approach of a digital community media outlet: El Salto TV (2017–2023)</t>
  </si>
  <si>
    <t>Rosique-Cedillo, G.| Crisóstomo-Flores, P.| Rodríguez-Gómez, E.F.</t>
  </si>
  <si>
    <t>Estudios Sobre el Mensaje Periodistico</t>
  </si>
  <si>
    <t>473-484</t>
  </si>
  <si>
    <t>ISSN-11341629</t>
  </si>
  <si>
    <t>0.327</t>
  </si>
  <si>
    <t>10.5209/emp.99627</t>
  </si>
  <si>
    <t>2-s2.0-105008242401</t>
  </si>
  <si>
    <t>Universidad Carlos III de Madrid| Universidad Finis Terrae</t>
  </si>
  <si>
    <t>60001741| 60105368</t>
  </si>
  <si>
    <t>VMA21-X-linked myopathy in Peru: characterization of three families</t>
  </si>
  <si>
    <t>Martínez-Esteban, P.| Sotelo-Muñoz, M.| Severa, G.| Cortez-Salazar, L.| Cassandrini, D.| Urtizberea, J.A.| Castiglioni, C.| Malfatti, E.</t>
  </si>
  <si>
    <t>Neuromuscular Disorders</t>
  </si>
  <si>
    <t>ISSN-09608966</t>
  </si>
  <si>
    <t>0.915</t>
  </si>
  <si>
    <t>10.1016/j.nmd.2025.105311</t>
  </si>
  <si>
    <t>2-s2.0-85217742186</t>
  </si>
  <si>
    <t>École normale supérieure| Ministerio de Salud del Perú| Hospital Nacional Edgardo Rebagliati Martins| Universidad Finis Terrae| Sorbonne Université| Instituto Nacional de Salud del Niño de San Borja| Paris-Est Sup| Seguro Social de Salud del Perú| Azienda Ospedaliera Universitaria Integrata Verona| Etablissement français du sang| Hôpital Henri Mondor| CNRS| University of Verona| Institut national de la santé et de la recherche médicale| Université Paris-Est Créteil</t>
  </si>
  <si>
    <t>60112690| 60023970| 60025066| 60106700| 60000905| 60071262| 60060733| 60015622| 60109622| 60105368</t>
  </si>
  <si>
    <t>Instituto Nacional de Salud del Niño San Borja| Hôpital Henri Mondor| Université Paris-Est Créteil Val de Marne| Institut Mondor de Recherche Biomédicale| Inserm| Hospital Nacional Edgardo Rebagliati Martins, EsSalud| Azienda Ospedaliera Universitaria Integrata Verona| Hôpital Universitaire Pitié Salpêtrière| Clinica Meds, Chile| Universidad Finis Terrae</t>
  </si>
  <si>
    <t>Chile| Italy| France| Peru</t>
  </si>
  <si>
    <t>Amarouch García I.</t>
  </si>
  <si>
    <t>A viaduct for Madrid. The infrastructure project of Agustín Aguirre</t>
  </si>
  <si>
    <t>Amarouch García, I.</t>
  </si>
  <si>
    <t>ZARCH</t>
  </si>
  <si>
    <t>160-173</t>
  </si>
  <si>
    <t>ISSN-23410531</t>
  </si>
  <si>
    <t>Prensas de la Universidad de Zaragoza</t>
  </si>
  <si>
    <t>0.135</t>
  </si>
  <si>
    <t>10.26754/ojs_zarch/zarch.20252411151</t>
  </si>
  <si>
    <t>2-s2.0-105011212960</t>
  </si>
  <si>
    <t>Drug-induced hypersensitivity syndrome associated with minocycline prescribed for acne treatment. Case report</t>
  </si>
  <si>
    <t>Valenzuela, R.| Aravena, P.| Garcia, K.| Cerda, E.| Ferre, A.</t>
  </si>
  <si>
    <t>93-97</t>
  </si>
  <si>
    <t>10.1016/j.rmclc.2025.03.003</t>
  </si>
  <si>
    <t>2-s2.0-105003597806</t>
  </si>
  <si>
    <t>Garcia K.</t>
  </si>
  <si>
    <t>The Apical Tooth Replantation with Surgical Intrusion Technique (ATR-SIT) for the Regenerative Treatment of Hopeless Teeth: A Report of Two Cases</t>
  </si>
  <si>
    <t>Fukuba, S.| Ogawa, Y.| Strauss, F.J.| Saida, H.| Thoma, D.| Aoki, A.| Iwata, T.</t>
  </si>
  <si>
    <t>International Journal of Periodontics and Restorative Dentistry</t>
  </si>
  <si>
    <t>59-69</t>
  </si>
  <si>
    <t>ISSN-01987569</t>
  </si>
  <si>
    <t>Quintessence Publishing Co. Inc.</t>
  </si>
  <si>
    <t>0.426</t>
  </si>
  <si>
    <t>10.11607/prd.6932</t>
  </si>
  <si>
    <t>2-s2.0-85216908541</t>
  </si>
  <si>
    <t>University of Zurich| Universidad Finis Terrae| Keio University| Institute of Science Tokyo</t>
  </si>
  <si>
    <t>60283164| 60172570| 60012614| 60025997| 60025252| 60105368</t>
  </si>
  <si>
    <t>Institute of Science Tokyo| Graduate School of Medical and Dental Sciences| Universität Zürich| Keio University| Keio University School of Medicine| Universidad Finis Terrae</t>
  </si>
  <si>
    <t>Chile| Japan| Switzerland</t>
  </si>
  <si>
    <t>Tabilo-Prieto I.</t>
  </si>
  <si>
    <t>Care: Following the Micropolitics of Pathologization and Depathologization of Children in Chilean Schools</t>
  </si>
  <si>
    <t>Rojas-Navarro, S.| Alarcón-Arcos, S.| Tabilo-Prieto, I.</t>
  </si>
  <si>
    <t>Pathologisation, Depathologisation and Mental Health: Keys for a Contemporary Discussion from Ibero-America</t>
  </si>
  <si>
    <t>159-184</t>
  </si>
  <si>
    <t>10.1007/978-3-031-70043-9_6</t>
  </si>
  <si>
    <t>2-s2.0-105005675463</t>
  </si>
  <si>
    <t>Universidad Andrés Bello| Ministerio de Planificación, Chile| Universidad Finis Terrae| Pontificia Universidad Católica de Chile| Universidad Alberto Hurtado</t>
  </si>
  <si>
    <t>60002636| 60281510| 60029681| 60088733| 60105368</t>
  </si>
  <si>
    <t>Universidad Andrés Bello| Instituto Milenio para la Investigación del Cuidado| Pontificia Universidad Católica de Chile| Universidad Alberto Hurtado| Universidad Finis Terrae</t>
  </si>
  <si>
    <t>Gender Stereotypes and Language Processing: Cognitive and Social Insights from a Decade of Research (2012–2023)</t>
  </si>
  <si>
    <t>European Journal of Education</t>
  </si>
  <si>
    <t>ISSN-01418211</t>
  </si>
  <si>
    <t>10.1111/ejed.70063</t>
  </si>
  <si>
    <t>2-s2.0-105005794899</t>
  </si>
  <si>
    <t>60219190| 60012464| 60105368</t>
  </si>
  <si>
    <t>Centro de Estudios de Conflicto y Cohesión Social| Universidad de Chile| Universidad Finis Terrae</t>
  </si>
  <si>
    <t>Cisternas-Zamora L.A.</t>
  </si>
  <si>
    <t>What heritage is taught in the subject of History, Geography, and Social Sciences? Initial teacher training in Primary Education and School Curriculum</t>
  </si>
  <si>
    <t>Cisternas-Zamora, L.A.| Almendras-Chacana, R.A.</t>
  </si>
  <si>
    <t>195-216</t>
  </si>
  <si>
    <t>10.4067/S0718-07052025000100195</t>
  </si>
  <si>
    <t>2-s2.0-105016743911</t>
  </si>
  <si>
    <t>Almendras-Chacana R.A.</t>
  </si>
  <si>
    <t>Real-Time Ultrasonic Inspection System for Oil Content in Emulsions for Production Lines</t>
  </si>
  <si>
    <t>Galleguillos, R.| Ponce, P.</t>
  </si>
  <si>
    <t>10.1109/CHILECON66915.2025.11476660</t>
  </si>
  <si>
    <t>2-s2.0-105037997770</t>
  </si>
  <si>
    <t>Ponce P.</t>
  </si>
  <si>
    <t>Glomangiosarcoma arising from traumatic lesion in the elbow</t>
  </si>
  <si>
    <t>Lobos, N.| Pereira, M.J.| Stevenson, M.| Hartmann, D.| Darlic, V.| Castro, A.</t>
  </si>
  <si>
    <t>0.595</t>
  </si>
  <si>
    <t>10.1016/j.abd.2024.05.010</t>
  </si>
  <si>
    <t>2-s2.0-85214559954</t>
  </si>
  <si>
    <t>Universidad del Desarrollo| Universidad Finis Terrae| Universidad de Chile| Clínica Alemana de Santiago</t>
  </si>
  <si>
    <t>60105880| 60012464| 60002946| 60006469| 60000146| 60105368</t>
  </si>
  <si>
    <t>Instituto Nacional del Cáncer, Chile| Universidad de Chile| Facultad de Medicina de la Universidad de Chile| Universidad del Desarrollo| Clinica Alemana| Universidad Finis Terrae</t>
  </si>
  <si>
    <t>Author Correction: Neurocognitive correlates of semantic memory navigation in Parkinson’s disease (npj Parkinson's Disease, (2024), 10, 1, (15), 10.1038/s41531-024-00630-4)</t>
  </si>
  <si>
    <t>10.1038/s41531-024-00644-y</t>
  </si>
  <si>
    <t>2-s2.0-85183428139</t>
  </si>
  <si>
    <t>60001430| 60003942| 60012464| 60008314| 60004518| 60001563| 60023691| 60011149| 60017912| 130689163| 60105368| 60002946| 60006634| 60281340| 60006469| 60000146| 60023383</t>
  </si>
  <si>
    <t>Universidade Federal do ABC| Universidad Adolfo Ibáñez| Universidad de Chile| Universidad de San Andres| Consejo Nacional de Investigaciones Científicas y Técnicas| Universidad de Buenos Aires| University of California, San Francisco| Trinity College Dublin| Clínica Las Condes| Join Unit FISABIO-CIPF| Universidad Finis Terrae| Facultad de Medicina de la Universidad de Chile| Hospital del Salvador| Centro de Gerociencia, Salud Mental y Metabolismo| Universidad del Desarrollo| Clinica Alemana| Universidad de Santiago de Chile</t>
  </si>
  <si>
    <t>Obstructive Sleep Apnea and Nocturnal Hypoxemia Increase the Cardiovascular Risk in Chilean</t>
  </si>
  <si>
    <t>Labarca, G.| Henríquez-Beltrán, M.| Jorquera-Díaz, J.| Dreyse, J.| Jorquera, J.</t>
  </si>
  <si>
    <t>424-434</t>
  </si>
  <si>
    <t>10.4067/s0034-98872024000400424</t>
  </si>
  <si>
    <t>2-s2.0-85207350071</t>
  </si>
  <si>
    <t>University of Lleida| Centro de Investigación Biomédica en Red| Biomedical Research Institute of Lleida| Universidad Finis Terrae| Clínica Las Condes| Instituto de Salud Carlos III| Pontificia Universidad Católica de Chile| Universidad Adventista de Chile</t>
  </si>
  <si>
    <t>60029681| 60009418| 60011456| 60100395| 60102756| 60001602| 60105372| 130066629| 60105368| 60017912</t>
  </si>
  <si>
    <t>Pontificia Universidad Católica de Chile| Facultad de Medicina| Hospital Universitari Arnau de Vilanova de Lleida| Instituto de Investigación Biomédica de Lleida Fundació Dr. Pifarré| Centro de Investigación Biomédica en Red de Enfermedades Respiratorias| Instituto de Salud Carlos III| Universidad Adventista de Chile| Universidad Favarolo| Universidad Finis Terrae| Clínica Las Condes</t>
  </si>
  <si>
    <t>Rojas J.P.</t>
  </si>
  <si>
    <t>Bosworth fracture dislocation: report of two cases with different results</t>
  </si>
  <si>
    <t>Cáceres, A.| Rojas, J.P.| de Vos, V.| Cid, N.| Verschae, G.</t>
  </si>
  <si>
    <t>10.1016/j.rmclc.2025.01.001</t>
  </si>
  <si>
    <t>2-s2.0-85217907150</t>
  </si>
  <si>
    <t>101808003| 60105368| 60017912</t>
  </si>
  <si>
    <t>Instituto de Seguridad del Trabajo| Universidad Finis Terrae| Clínica Las Condes</t>
  </si>
  <si>
    <t>de Vos V.</t>
  </si>
  <si>
    <t>Rufin-Larraín A.</t>
  </si>
  <si>
    <t>Effects of variable resistance training on functionality in people with musculoskeletal disorders: A systematic review</t>
  </si>
  <si>
    <t>Rufin-Larraín, A.| Guzmán-Muñoz, E.| Terol-Sanchis, M.| Méndez-Rebolledo, G.| Elvira-Aranda, C.| Pérez-Turpin, J.A.</t>
  </si>
  <si>
    <t>1065-1076</t>
  </si>
  <si>
    <t>10.47197/retos.v65.110490</t>
  </si>
  <si>
    <t>2-s2.0-85219052166</t>
  </si>
  <si>
    <t>University of Alicante| Universidad Santo Tomás, Santiago| Universidad Autónoma de Chile| Universidad Finis Terrae</t>
  </si>
  <si>
    <t>60105368| 60009128| 60105371| 60010844</t>
  </si>
  <si>
    <t>Universidad Finis Terrae| Universidad Santo Tomas, Santiago| Universidad Autónoma de Chile| Universitat d'Alacant</t>
  </si>
  <si>
    <t>San Martín T.</t>
  </si>
  <si>
    <t>Immunotherapy-Related Pancreatitis: A Case Series of 8 Patients from a High-Volume Oncology Centre</t>
  </si>
  <si>
    <t>San Martín, T.| González-Montero, J.| Espino, A.| Rojas, C.| Burotto, M.</t>
  </si>
  <si>
    <t>Case Reports in Oncology</t>
  </si>
  <si>
    <t>1277-1287</t>
  </si>
  <si>
    <t>ISSN-16626575</t>
  </si>
  <si>
    <t>10.1159/000548016</t>
  </si>
  <si>
    <t>2-s2.0-105022732486</t>
  </si>
  <si>
    <t>60105368| 60281428| 60012464| 60002946| 60029681</t>
  </si>
  <si>
    <t>Universidad Finis Terrae| Bradford Hill Centro de Investigacion Clinica| Universidad de Chile| Facultad de Medicina de la Universidad de Chile| Pontificia Universidad Católica de Chile</t>
  </si>
  <si>
    <t>Giordanino E.F.</t>
  </si>
  <si>
    <t>Main topic: Heart failure</t>
  </si>
  <si>
    <t>Giordanino, E.F.</t>
  </si>
  <si>
    <t>10.1016/j.rmclc.2025.10.012</t>
  </si>
  <si>
    <t>2-s2.0-105027067369</t>
  </si>
  <si>
    <t>The Silent Workforce of Academic Publishing: Time to Give Credit to Peer Reviewers</t>
  </si>
  <si>
    <t>Lamberts, R.P.| Noordhof, D.A.| Sandbakk, Ø.| Mujika, I.| Chamari, K.| Roelands, B.| Skorski, S.| Haugen, T.| Boullosa, D.| Cortis, C.| Janse de Jonge, X.A.K.| McGawley, K.| Loturco, I.| Stevens, C.J.| Pyne, D.B.| Foster, C.| Beneke, R.| de Koning, J.J.| Langerak, N.G.</t>
  </si>
  <si>
    <t>1181-1183</t>
  </si>
  <si>
    <t>10.1123/ijspp.2025-0303</t>
  </si>
  <si>
    <t>2-s2.0-105014108527</t>
  </si>
  <si>
    <t>University of Leon| University of Canberra| Mid Sweden University| University of Groningen| University of Tromsø – The Arctic University of Norway| Universidade Federal de São Paulo| University of Cape Town| Griffith University Queensland| Universidad Finis Terrae| University of Marburg| University of the Basque Country| St. Martin Clinic| University of Manouba| Vrije Universiteit Amsterdam| Southern Cross University| University of Wisconsin-La Crosse| University of Cassino and Southern Lazio| Vrije Universiteit Brussel| Norwegian University of Science and Technology| Amsterdam UMC| Saarland University</t>
  </si>
  <si>
    <t>60006027| 60010023| 60013141| 60021255| 60027856| 60105368| 114554531| 60274653| 60070316| 60026810| 60033241| 132413213| 60020657| 60001711| 60032987| 60105080| 60014992| 60011941| 60022193| 60021023| 60012556| 60264477| 60008734| 60000566| 60000356| 60010932</t>
  </si>
  <si>
    <t>Universitair Medisch Centrum Groningen| Rijksuniversiteit Groningen| Norges Teknisk-Naturvitenskapelige Universitet| UiT Norges Arktiske Universitet| Universidad del Pais Vasco| Universidad Finis Terrae| Wellness and Recovery Center| Institut Supérieur du Sport et de l'Education Physique de Ksar-Saïd| Université de la Manouba| Vrije Universiteit Brussel| Universität des Saarlandes| Kristiania University of Applied Sciences| Universidad de León| Universita di Cassino e del Lazio Meridionale| Griffith University| Mid Sweden University, Östersund| Universidade Federal de São Paulo| Southern Cross University| University of Canberra| University of Wisconsin-La Crosse| Philipps-Universität Marburg| Amsterdam Movement Sciences| Vrije Universiteit Amsterdam| St. Martin Clinic, Nijmegen| University of Cape Town| Faculty of Health Sciences, University of Cape Town</t>
  </si>
  <si>
    <t>Chile| Spain| South Africa| Italy| Brazil| Qatar| Belgium| Norway| Tunisia| United States| Germany| Australia| Netherlands| Sweden</t>
  </si>
  <si>
    <t>Díaz Rubio F.</t>
  </si>
  <si>
    <t>Key Learnings on Children’s Rights disruption during the COVID-19 Pandemic: the Disease, the Evidence, and Public Policies</t>
  </si>
  <si>
    <t>Díaz Rubio, F.| Sepúlveda, L.S.</t>
  </si>
  <si>
    <t>678-694</t>
  </si>
  <si>
    <t>10.32641/andespediatr.v95i6.5236</t>
  </si>
  <si>
    <t>2-s2.0-85212306111</t>
  </si>
  <si>
    <t>60281394| 60105368| 132053348</t>
  </si>
  <si>
    <t>Hospital El Carmen Dr. Luis Valentín Ferrada| Universidad Finis Terrae| LaRed Network)</t>
  </si>
  <si>
    <t>Association between physical fitness and lifestyles with academic achievement in chilean high school students</t>
  </si>
  <si>
    <t>Montalva-Valenzuela, F.| Guzmán-Muñoz, E.| Castillo-Paredes, A.| Valdés-Badilla, P.| Molina-Márquez, I.| Fuentes-Barría, H.</t>
  </si>
  <si>
    <t>Sportis: Scientific Technical Journal of School Sport, Physical Education and Psychomotricity</t>
  </si>
  <si>
    <t>ISSN-23868333</t>
  </si>
  <si>
    <t>Campus EDUCA SPORTIS S.L.</t>
  </si>
  <si>
    <t>92.0</t>
  </si>
  <si>
    <t>0.157</t>
  </si>
  <si>
    <t>10.17979/sportis.2025.11.3.11920</t>
  </si>
  <si>
    <t>2-s2.0-105010261920</t>
  </si>
  <si>
    <t>Universidad Viña del Mar| Universidad de las Américas - Chile| Universidad Santo Tomás, Santiago| Universidad Andrés Bello| Universidad Autónoma de Chile| Universidad Finis Terrae| Universidad Arturo Prat| Universidad Adventista de Chile| Universidad Católica del Maule</t>
  </si>
  <si>
    <t>60105368| 132791875| 60009128| 60105371| 60105362| 60009462| 60033240| 60105372| 60010144| 60002636</t>
  </si>
  <si>
    <t>Universidad Finis Terrae| Instituto Nacional del Fútbol (INAF)| Universidad Santo Tomas, Santiago| Universidad Autónoma de Chile| Universidad de Las Américas Chile| Universidad Católica del Maule| Universidad Viña del Mar| Universidad Adventista de Chile| Universidad Arturo Prat| Universidad Andrés Bello</t>
  </si>
  <si>
    <t>Moreno S.</t>
  </si>
  <si>
    <t>Preliminary psychometric linguistic validation of the satisfaction survey for inflatable penile implant in Spanish</t>
  </si>
  <si>
    <t>Flores, J.M.| Ljubetic, B.M.| Novaes, L.F.| Becher, E.F.| De Toledo, I.A.| Carvajal, A.| Correa, E.C.| Fernandez-Pascual, E.| Martinez-Salamanca, J.I.| Nelson, C.| Salter, C.A.| Torremade, J.| D’Anna, M.| Valenzuela, R.| Negron, A.| Moreno, S.| Henríquez, C.| Atkinson, T.M.| Mulhall, J.P.</t>
  </si>
  <si>
    <t>Sexual Medicine</t>
  </si>
  <si>
    <t>ISSN-20501161</t>
  </si>
  <si>
    <t>0.532</t>
  </si>
  <si>
    <t>10.1093/sexmed/qfaf089</t>
  </si>
  <si>
    <t>2-s2.0-105020755054</t>
  </si>
  <si>
    <t>Hospital Universitario Puerta de Hierro Majadahonda| Francisco de Vitoria University| Universidad Finis Terrae| Hospital Universitario La Paz| Universidad de Buenos Aires| Universidad CES| Memorial Sloan-Kettering Cancer Center</t>
  </si>
  <si>
    <t>60009343| 60092452| 60001563| 60077386| 60028162| 60108692| 60025844| 60030315| 105258730| 60022810| 60105368</t>
  </si>
  <si>
    <t>Memorial Sloan Kettering Cancer Center| Centro de Urología, Buenos Aires| Universidad de Buenos Aires| Universidad CES| Hospital Universitario La Paz| Universidad Francisco de Vitoria| Hospital Universitario Puerta de Hierro Majadahonda| Hospital Clínic de Barcelona| Mount Sinai| Clinica Santa Maria| Universidad Finis Terrae</t>
  </si>
  <si>
    <t>Chile| Spain| United States| Colombia| Argentina</t>
  </si>
  <si>
    <t>Henríquez C.</t>
  </si>
  <si>
    <t>Núñez-Lisboa M.</t>
  </si>
  <si>
    <t>Letter to the Editor: Caution Needed in Interpreting Step-to-Step Transitions in Stroke Rehabilitation</t>
  </si>
  <si>
    <t>Núñez-Lisboa, M.| Dewolf, A.</t>
  </si>
  <si>
    <t>Physiotherapy Research International</t>
  </si>
  <si>
    <t>ISSN-13582267</t>
  </si>
  <si>
    <t>10.1002/pri.70098</t>
  </si>
  <si>
    <t>2-s2.0-105013085189</t>
  </si>
  <si>
    <t>Nevo de Hori</t>
  </si>
  <si>
    <t>González, A.| Arratia, I.| Muñoz, P.| Darlic, V.| Hartmann, D.</t>
  </si>
  <si>
    <t>54-56</t>
  </si>
  <si>
    <t>Estonian| Spanish</t>
  </si>
  <si>
    <t>10.1016/j.piel.2024.03.020</t>
  </si>
  <si>
    <t>2-s2.0-85200537072</t>
  </si>
  <si>
    <t>60002946| 60012464| 60011682| 60006469| 60105368</t>
  </si>
  <si>
    <t>Facultad de Medicina de la Universidad de Chile| Universidad de Chile| Hospital Clínico Universidad De Chile| Universidad del Desarrollo| Universidad Finis Terrae</t>
  </si>
  <si>
    <t>Impacts of Energy Storage Systems on PV Prosumer Based on Household Load Profiles</t>
  </si>
  <si>
    <t>Srikanth, B.| Sahoo, S.K.| Yanine, F.F.</t>
  </si>
  <si>
    <t>123-136</t>
  </si>
  <si>
    <t>10.1201/9781003481836-8</t>
  </si>
  <si>
    <t>2-s2.0-85194527332</t>
  </si>
  <si>
    <t>Risk factors and outcomes of pediatric non-invasive respiratory support failure in Latin America</t>
  </si>
  <si>
    <t>Escobar-Serna, D.P.| Barajas-Romero, J.S.| Peralta-Palmezano, J.J.| Jaramillo-Bustamante, J.C.| Monteverde-Fernandez, N.| Serra, J.A.| Caporal, P.| Menta, S.| Lasso-Palomino, R.| Zemanate, E.| Martínez, J.| Herrera, H.| Martínez, L.| Zamorano, F.C.| Carvajal, C.| Decía, M.| Jabornisky, R.| Diaz, F.| Gonzalez-Dambrauskas, S.| Vasquez-Hoyos, P.</t>
  </si>
  <si>
    <t>Journal of Intensive Medicine</t>
  </si>
  <si>
    <t>176-184</t>
  </si>
  <si>
    <t>ISSN-20970250</t>
  </si>
  <si>
    <t>Chinese Medical Association</t>
  </si>
  <si>
    <t>10.1016/j.jointm.2024.09.001</t>
  </si>
  <si>
    <t>2-s2.0-105001330915</t>
  </si>
  <si>
    <t>Fundación Valle del Lili| Johns Hopkins University| Universidad de la República| Universidad Nacional de Colombia| Universidad del Desarrollo| Hospital Pablo Tobon Uribe| Universidad Finis Terrae| Clínica Alemana de Santiago| Hospital San José| Universidad ICESI</t>
  </si>
  <si>
    <t>127365700| 60055696| 60087080| 123764794| 60058437| 112419796| 60071617| 60006183| 60078314| 60104957| 60109272| 117723547| 60071618| 124913718| 60006484| 60006469| 60000146| 131599177| 60071612| 123957561| 60105368| 60281394| 60071613| 60361197| 60110407</t>
  </si>
  <si>
    <t>Fundación Hospital Pediátrico La Misericordia| Universidad Nacional de Colombia| Hospital General de Medellin Luz Castro de Gutiérrez - E.S.E| Red Colaborativa Pediátrica de Latinoamérica (LARed Network)| Hospital Pablo Tobon Uribe| Médica Uruguaya| Centro Hospitalario Pereira Rossell| Johns Hopkins Bloomberg School of Public Health| Hospital Regional de Tacuarembó| Universidad Icesi| Fundación Valle del Lili| Hospital Susana López de Valencia| Hospital Central de Las Fuerzas Armadas, Montevideo| Corporación Médica Páysandu COMEPA| Hospital Padre Hurtado| Universidad del Desarrollo| Clinica Alemana| Hospital Del Circulo Catolico de Obreros Montevideo| Universidad de la Republica| Hospital Regional Olga Stucky de Rizzi| Universidad Finis Terrae| Hospital El Carmen Dr. Luis Valentín Ferrada| Universidad de la Republica Facultad de Medicina| Fundación Universitaria de Ciencias de la Salud - FUCS| Hospital De San José, Bogotá, Colombia</t>
  </si>
  <si>
    <t>Montero V.</t>
  </si>
  <si>
    <t>Net art from Latin America: between fascination, critique and its disappearance</t>
  </si>
  <si>
    <t>Montero, V.</t>
  </si>
  <si>
    <t>ISSN-16955951</t>
  </si>
  <si>
    <t>Universitat Oberta de Catalunya</t>
  </si>
  <si>
    <t>0.277</t>
  </si>
  <si>
    <t>10.7238/artnodes.v0i36.431891</t>
  </si>
  <si>
    <t>2-s2.0-105006537091</t>
  </si>
  <si>
    <t>Rojas Gonzaga T.</t>
  </si>
  <si>
    <t>Bilateral medial discoid Menisci: Case report and literature review</t>
  </si>
  <si>
    <t>Rojas Gonzaga, T.| Arteaga, M.| Tuca, M.J.</t>
  </si>
  <si>
    <t>Journal of Clinical Orthopaedics and Trauma</t>
  </si>
  <si>
    <t>ISSN-09765662</t>
  </si>
  <si>
    <t>Delhi Orthopedic Association</t>
  </si>
  <si>
    <t>10.1016/j.jcot.2025.103181</t>
  </si>
  <si>
    <t>2-s2.0-105014832499</t>
  </si>
  <si>
    <t>Zamorano S.</t>
  </si>
  <si>
    <t>INSTRUMENTS FOR MEASURING ANXIETY IN DENTAL STUDENTS: A BIBLIOMETRIC ANALYSIS</t>
  </si>
  <si>
    <t>Zamorano, S.| Caro, J.C.| Ponce, N.| Moya, P.</t>
  </si>
  <si>
    <t>Journal of Oral Research</t>
  </si>
  <si>
    <t>245-254</t>
  </si>
  <si>
    <t>ISSN-07192460</t>
  </si>
  <si>
    <t>90.0</t>
  </si>
  <si>
    <t>10.17126/joralres.2025.020</t>
  </si>
  <si>
    <t>2-s2.0-105024529012</t>
  </si>
  <si>
    <t>60105368| 133490909</t>
  </si>
  <si>
    <t>Universidad Finis Terrae| CESFAM Haydee López</t>
  </si>
  <si>
    <t>Caro J.C.</t>
  </si>
  <si>
    <t>Ponce N.</t>
  </si>
  <si>
    <t>Integral training for food sustainability: a pending subject in Latin America</t>
  </si>
  <si>
    <t>Rincón-Cervera, M.Á.| López-Arana, S.| Martínez-Galán, J.P.</t>
  </si>
  <si>
    <t>370-378</t>
  </si>
  <si>
    <t>10.64159/RCHNUT-52-5-10</t>
  </si>
  <si>
    <t>2-s2.0-105034853792</t>
  </si>
  <si>
    <t>University of Almeria| Universidad de Antioquia| Universidad Finis Terrae| Universidad de Chile</t>
  </si>
  <si>
    <t>60012464| 60016818| 60105368| 60055833</t>
  </si>
  <si>
    <t>Universidad de Chile| Universidad de Almería| Universidad Finis Terrae| Universidad de Antioquia</t>
  </si>
  <si>
    <t>Unilateral Lung Agenesis: A Systematic Review of Prevalence, Anatomical Variants, and Clinical Implications</t>
  </si>
  <si>
    <t>Orellana-Donoso, M.| Barrenechea-Salvador, M.| Caro-Navarro, J.| Cervela-Díaz, M.| Chacón-Ortiz, C.| Claudet-Córdoba, N.| Sanchis-Gimeno, J.| Nova-Baeza, P.| Valenzuela-Fuenzalida, J.J.| Suazo-Santibañez, A.| Valdes-Orrego, I.| Cifuentes-Suazo, G.| Leon-Rojas, J.E.</t>
  </si>
  <si>
    <t>10.3390/diagnostics15172272</t>
  </si>
  <si>
    <t>2-s2.0-105016120982</t>
  </si>
  <si>
    <t>Universidad de las Américas - Chile| Universidad de las Américas - Ecuador| Universidad Andrés Bello| Universidad Autónoma de Chile| Universidad San Sebastián| Universidad Católica de la Santísima Concepción| University of Valencia| Universidad Finis Terrae| Universidad Bernardo O'Higgins</t>
  </si>
  <si>
    <t>60105368| 60000636| 60002644| 60002636| 60105370| 60105362| 60105371| 60031536| 60104441</t>
  </si>
  <si>
    <t>Universidad Finis Terrae| Universidad San Sebastián| Universitat de València| Universidad Andrés Bello| Universidad Bernardo O'Higgins| Universidad de Las Américas Chile| Universidad Autónoma de Chile| Universidad Catolica de la Santisima Concepcion| Universidad de las Americas - Ecuador</t>
  </si>
  <si>
    <t>Barrenechea-Salvador M.</t>
  </si>
  <si>
    <t>Caro-Navarro J.</t>
  </si>
  <si>
    <t>Cervela-Díaz M.</t>
  </si>
  <si>
    <t>Chacón-Ortiz C.</t>
  </si>
  <si>
    <t>Claudet-Córdoba N.</t>
  </si>
  <si>
    <t>Conflicts, actors, and expanding networks: New stories from the Latin American Cold War</t>
  </si>
  <si>
    <t>Casals, M.</t>
  </si>
  <si>
    <t>Divergencia</t>
  </si>
  <si>
    <t>ISSN-07192398</t>
  </si>
  <si>
    <t>Taller de Historia Política O.C.F.</t>
  </si>
  <si>
    <t>0.138</t>
  </si>
  <si>
    <t>2-s2.0-105028560286</t>
  </si>
  <si>
    <t>Galaz M.T.V.</t>
  </si>
  <si>
    <t>Vaginal infiltration for relief of neuropathic pain after sacrospinous hysteropexy: First successful mid-term report</t>
  </si>
  <si>
    <t>Peñaloza, G.V.| Galaz, M.T.V.| Villarroel, N.C.| Martin, P.A.Q.S.| Landreau, C.C.| Candell, M.B.</t>
  </si>
  <si>
    <t>Medwave</t>
  </si>
  <si>
    <t>ISSN-07176384</t>
  </si>
  <si>
    <t>Medwave Estudios Ltda</t>
  </si>
  <si>
    <t>0.26</t>
  </si>
  <si>
    <t>10.5867/medwave.2025.01.2958</t>
  </si>
  <si>
    <t>2-s2.0-85216316930</t>
  </si>
  <si>
    <t>Universidad del Desarrollo| Universidad Finis Terrae| Clínica Alemana de Santiago</t>
  </si>
  <si>
    <t>60281394| 60006469| 60000146| 60211751| 60105368</t>
  </si>
  <si>
    <t>Hospital El Carmen Dr. Luis Valentín Ferrada| Universidad del Desarrollo| Clinica Alemana| Facultad de Medicina Clinica Alemana Universidad del Desarrollo| Universidad Finis Terrae</t>
  </si>
  <si>
    <t>Villarroel N.C.</t>
  </si>
  <si>
    <t>Martin P.A.Q.S.</t>
  </si>
  <si>
    <t>Landreau C.C.</t>
  </si>
  <si>
    <t>Candell M.B.</t>
  </si>
  <si>
    <t>Prevalence of Radial Artery Variants and Their Relationship with Clinical Considerations of the Antebrachial Region: Systematic Review and Meta-Analysis</t>
  </si>
  <si>
    <t>Sanchis-Gimeno, J.| Loaiza-Giraldo, J.P.| Alruiz, Y.| Vergara, M.| Navia, M.F.| Roman, C.| Suazo-Santibañez, A.| Nova-Baeza, P.| Orellana-Donoso, M.| Oyanedel-Amaro, G.| Rodriguez-Luengo, M.| Bruna-Mejias, A.| Valenzuela-Fuenzalida, J.J.| León-Rojas, J.E.| Granite, G.</t>
  </si>
  <si>
    <t>10.3390/diagnostics15232984</t>
  </si>
  <si>
    <t>2-s2.0-105024475536</t>
  </si>
  <si>
    <t>Unidad Central Del Valle Del Cauca| Universidad de las Américas - Chile| Universidad de las Américas - Ecuador| Universidad Andrés Bello| Universidad Autónoma de Chile| Universidad San Sebastián| University of Valencia| Universidad Finis Terrae| Uniformed Services University of the Health Sciences| Universidad de Playa Ancha de Ciencias de la Educación| Universidad Bernardo O'Higgins</t>
  </si>
  <si>
    <t>60002644| 60190577| 60002636| 60105362| 60105368| 60000636| 60105371| 60019586| 60105370| 60104441| 60279370| 60006762</t>
  </si>
  <si>
    <t>Universitat de València| Unidad Central del Valle del Cauca| Universidad Andrés Bello| Universidad de Las Américas Chile| Universidad Finis Terrae| Universidad San Sebastián| Universidad Autónoma de Chile| Universidad de Playa Ancha| Universidad Bernardo O'Higgins| Universidad de las Americas - Ecuador| F. Edward Hebert School of Medicine| Uniformed Services University of the Health Sciences</t>
  </si>
  <si>
    <t>Rodas C.</t>
  </si>
  <si>
    <t>The general practitioner’s role in wound management</t>
  </si>
  <si>
    <t>Ahmajärvi, K.| Magalhães, S.| Majchzak, K.| Ranta, T.| Rodas, C.| Isoherranen, K.</t>
  </si>
  <si>
    <t>Journal of Wound Management</t>
  </si>
  <si>
    <t>118-119</t>
  </si>
  <si>
    <t>ISSN-27885771</t>
  </si>
  <si>
    <t>European Wound Management Association (EWMA)</t>
  </si>
  <si>
    <t>0.162</t>
  </si>
  <si>
    <t>10.35279/jowm2024.25.03.04</t>
  </si>
  <si>
    <t>2-s2.0-85210445194</t>
  </si>
  <si>
    <t>Universidad Finis Terrae| University of Helsinki| Hospital District of Helsinki and Uusimaa</t>
  </si>
  <si>
    <t>60002952| 131985616| 60011090| 131985767| 60281406| 60105368| 60016987</t>
  </si>
  <si>
    <t>Helsingin Yliopisto| Complex Wound Center| Hopital de la Tour| Viiskulma Primary Care Wound Healing Centre| Hospital de Urgencia Asistencia Pública| Universidad Finis Terrae| Helsinki University Hospital</t>
  </si>
  <si>
    <t>Chile| Finland| Portugal| Switzerland</t>
  </si>
  <si>
    <t>Ayala M.</t>
  </si>
  <si>
    <t>Publishing and Anti-revolutionary Conspiracy at Quimantú: the Case of The Secret Documents of the ITT</t>
  </si>
  <si>
    <t>Anwandter, C.| Ayala, M.| Rivero, R.</t>
  </si>
  <si>
    <t>Revista Letral</t>
  </si>
  <si>
    <t>92-123</t>
  </si>
  <si>
    <t>ISSN-19893302</t>
  </si>
  <si>
    <t>Department of Spanish Literature of the University of Granada</t>
  </si>
  <si>
    <t>0.217</t>
  </si>
  <si>
    <t>10.30827/rl.v0i32.29144</t>
  </si>
  <si>
    <t>2-s2.0-85187311118</t>
  </si>
  <si>
    <t>60003942| 60105368</t>
  </si>
  <si>
    <t>Assessment of dimensions of socio-emotional, cognitive, and motor development in Chilean children with Developmental Language Disorder and typical development: An analytic</t>
  </si>
  <si>
    <t>Iturra-Osorio, D.| Allende-Valenzuela, T.| Vargas Ríos, F.A.</t>
  </si>
  <si>
    <t>Revista Argentina de Ciencias del Comportamiento</t>
  </si>
  <si>
    <t>66-76</t>
  </si>
  <si>
    <t>ISSN-18524206</t>
  </si>
  <si>
    <t>Universidad Nacional de Cordoba - Facultad de Psicologia</t>
  </si>
  <si>
    <t>0.174</t>
  </si>
  <si>
    <t>10.32348/1852.4206.v16.n3.40113</t>
  </si>
  <si>
    <t>2-s2.0-85203525781</t>
  </si>
  <si>
    <t>Universidad San Sebastián| Universidad Católica Silva Henríquez| Universidad Finis Terrae</t>
  </si>
  <si>
    <t>60105381| 60000636| 60105368</t>
  </si>
  <si>
    <t>Universidad Católica Silva Henríquez| Universidad San Sebastián| Universidad Finis Terrae</t>
  </si>
  <si>
    <t>Botto Stuven A.</t>
  </si>
  <si>
    <t>Chilean Catholicism between the 40s and the 60s. A study through three controversies: The Coursed Law, the Molina strike and the pastoral letters in 1962</t>
  </si>
  <si>
    <t>Botto Stuven, A.</t>
  </si>
  <si>
    <t>Jahrbuch fuer Geschichte Lateinamerikas/Anuario de Historia de America Latina</t>
  </si>
  <si>
    <t>79-111</t>
  </si>
  <si>
    <t>ISSN-14384752</t>
  </si>
  <si>
    <t>Hamburg University Press</t>
  </si>
  <si>
    <t>0.164</t>
  </si>
  <si>
    <t>10.18716/ojs/jbla.61.2227</t>
  </si>
  <si>
    <t>2-s2.0-85216851062</t>
  </si>
  <si>
    <t>Facial pemphigus vegetans mimicking squamous cell carcinoma: when dermoscopy confuses the diagnosis</t>
  </si>
  <si>
    <t>Lobos, N.| Reculé, F.| Stevenson, M.| Darlic, V.| Hartmann, D.| Castro, A.</t>
  </si>
  <si>
    <t>362-364</t>
  </si>
  <si>
    <t>10.1016/j.abd.2024.05.009</t>
  </si>
  <si>
    <t>2-s2.0-85215558913</t>
  </si>
  <si>
    <t>60105880| 60012464| 60002946| 60000146| 60006469| 60105368</t>
  </si>
  <si>
    <t>Instituto Nacional del Cáncer, Chile| Universidad de Chile| Facultad de Medicina de la Universidad de Chile| Clinica Alemana| Universidad del Desarrollo| Universidad Finis Terrae</t>
  </si>
  <si>
    <t>Preliminary Study of Learning Patterns in Engineering Students</t>
  </si>
  <si>
    <t>Zambrano, C.| Hernandez, C.</t>
  </si>
  <si>
    <t>10.1109/CHILECON66915.2025.11476576</t>
  </si>
  <si>
    <t>2-s2.0-105037990993</t>
  </si>
  <si>
    <t>60105368| 60000636</t>
  </si>
  <si>
    <t>Universidad Finis Terrae| Universidad San Sebastián</t>
  </si>
  <si>
    <t>Autor (norm.)</t>
  </si>
  <si>
    <t>Año</t>
  </si>
  <si>
    <t>Tipo</t>
  </si>
  <si>
    <t>#</t>
  </si>
  <si>
    <t>Investigador</t>
  </si>
  <si>
    <t>Total</t>
  </si>
  <si>
    <t>Tipo de publicación</t>
  </si>
  <si>
    <t>Conf. Paper</t>
  </si>
  <si>
    <t>Otros</t>
  </si>
  <si>
    <t>Revista</t>
  </si>
  <si>
    <t>N° autores UFT</t>
  </si>
  <si>
    <t>Autores UFT (autoría / coautoría)</t>
  </si>
  <si>
    <t>Perez S. | Rojas D.</t>
  </si>
  <si>
    <t>Aguilar-Risco C. | Mendez-Rebolledo G.</t>
  </si>
  <si>
    <t>Zárate A. | Triat M.T.</t>
  </si>
  <si>
    <t>Olive F. | Sanhueza M.B. | Giglio A. | Ferre A.</t>
  </si>
  <si>
    <t>Díaz F. | Carvajal C.</t>
  </si>
  <si>
    <t>Giglio A. | Ferre A.</t>
  </si>
  <si>
    <t>Bustos-Arriagada E. | Etchegaray-Armijo K.</t>
  </si>
  <si>
    <t>Rojas-Costa G.M. | Gálvez M.</t>
  </si>
  <si>
    <t>Cerda E. | Urbina K.G.D. | Ferre A. | Dreyse J. | Giglio A. | Valenzuela R.</t>
  </si>
  <si>
    <t>Vergara K. | Jimenez A.G.</t>
  </si>
  <si>
    <t>González S.E. | Silva I.M.</t>
  </si>
  <si>
    <t>Santibáñez D. | Salas N.</t>
  </si>
  <si>
    <t>Etchegaray-Armijo K. | Bustos-Arriagada E.</t>
  </si>
  <si>
    <t>Rojas J.P. | de Vos V. | Cid N. | Verschae G.</t>
  </si>
  <si>
    <t>Vasquez F. | Tiscornia C. | Lorca-Ponce E.</t>
  </si>
  <si>
    <t>Arroyo A. | Ramos A. | Reccius A.</t>
  </si>
  <si>
    <t>Mena C. | Nachar R. | Gonzalez-Valderrama A.</t>
  </si>
  <si>
    <t>Balboa E. | Saud F. | Fuente M.D.L. | Landskron G.</t>
  </si>
  <si>
    <t>Diaz-Pizarro M. | Pino-Zúñiga J. | Cancino-López J.</t>
  </si>
  <si>
    <t>Simón L. | Torres K.</t>
  </si>
  <si>
    <t>Valenzuela R. | Garcia K. | Cerda E. | Ferre A.</t>
  </si>
  <si>
    <t>Fermín-González M. | Caffarena-Barcenilla C.</t>
  </si>
  <si>
    <t>Cancino-López J. | Pino-Zúñiga J.</t>
  </si>
  <si>
    <t>Lang M. | Quezada M.</t>
  </si>
  <si>
    <t>Hasbun P. | Garcia J. | Ferre A. | Giglio A.</t>
  </si>
  <si>
    <t>De la Fuente López M. | Landskron G.</t>
  </si>
  <si>
    <t>Gálvez-Bravo F. | Edwards-Toro F. | Opazo-García C.</t>
  </si>
  <si>
    <t>Giglio A. | Ferre A. | Garcia J.</t>
  </si>
  <si>
    <t>Undurraga R. | Montalva J.T. | Barrera E.G.</t>
  </si>
  <si>
    <t>Arregui L.M.D. | Zañartu T.V.</t>
  </si>
  <si>
    <t>Saenz A. | Dreyse J. | Giglio A.</t>
  </si>
  <si>
    <t>Reyes M. | Díaz F.</t>
  </si>
  <si>
    <t>Zamorano S. | Caro J.C. | Ponce N. | Moya P.</t>
  </si>
  <si>
    <t>Ferre A. | Giglio A. | Van Sint Jan N. | Benites M.H. | Dreyse J. | Hasbun P.</t>
  </si>
  <si>
    <t>Arroyo A. | Reccius A.</t>
  </si>
  <si>
    <t>Hidalgo M. | Yanine F.F. | Galleguillos R. | Paredes R.</t>
  </si>
  <si>
    <t>Nachar R. | Mena C. | Gonzalez-Valderrama A.</t>
  </si>
  <si>
    <t>Murray N.P. | Aedo S.</t>
  </si>
  <si>
    <t>Tiscornia C. | Tapia V. | Águila D. | Lorca-Ponce E. | Vasquez F.</t>
  </si>
  <si>
    <t>Giglio Jimenez A. | Dreyse J. | Ferre A.</t>
  </si>
  <si>
    <t>Vergara K. | Giglio A.</t>
  </si>
  <si>
    <t>Bustos-Arriagada E. | Vasquez F. | Etchegaray-Armijo K. | López-Arana S.</t>
  </si>
  <si>
    <t>Torres K. | Orellana C. | Osorio M. | Simón L.</t>
  </si>
  <si>
    <t>Giglio A. | Ferre A. | Hasbun P. | Reccius A.</t>
  </si>
  <si>
    <t>Thielemann L. | Caffarena P.</t>
  </si>
  <si>
    <t>Villegas P.A.P. | Cortina A.H.</t>
  </si>
  <si>
    <t>Gutiérrez J. | Muñoz-Medina C. | Carriel-Nesvara A. | Castro-Sepúlveda M.</t>
  </si>
  <si>
    <t>Montero-Orellana M.J. | Ossa-Cox M.</t>
  </si>
  <si>
    <t>Tiscornia C. | Vasquez F.</t>
  </si>
  <si>
    <t>Moreno S. | Henríquez C.</t>
  </si>
  <si>
    <t>Mena C. | Gonzalez-Valderrama A.</t>
  </si>
  <si>
    <t>López-Arana S. | Bustos-Arriagada E.</t>
  </si>
  <si>
    <t>Arroyo A. | Zamorano A.</t>
  </si>
  <si>
    <t>Marrugo N. | Giordanino E. | Palma G. | Venegas J.C.</t>
  </si>
  <si>
    <t>Galleguillos R. | Ponce P.</t>
  </si>
  <si>
    <t>Jeria-Espinoza V. | Henríquez-Olguín C.</t>
  </si>
  <si>
    <t>Urrea F. | Villena J.M. | Larrañaga M.</t>
  </si>
  <si>
    <t>Giglio Jimenez A. | Tovar W. | Pedreros C. | Ferre A.</t>
  </si>
  <si>
    <t>Maldonado J D. | Arriagada I C. | Conejero R A. | Covarrubias C P. | Doña V J. | Hurtado D M.J.</t>
  </si>
  <si>
    <t>Verschae G. | Val V. | Alba V. | Pavez S. | Cid N.</t>
  </si>
  <si>
    <t>Cárdenas Larenas J.P. | Guardia Castro D. | Arauco Rodríguez D. | Beytia Osses I. | Bencina Matus F. | Moraga Concha J.</t>
  </si>
  <si>
    <t>Rivera-Tovar P.R. | Contreras-Contreras G. | Mariotti-Celis M.S.</t>
  </si>
  <si>
    <t>Chiuminatto P. | Hill A.C.</t>
  </si>
  <si>
    <t>Bustos-Arriagada E. | López-Arana S. | Castillo-Valenzuela O.</t>
  </si>
  <si>
    <t>Neira M. | Mena C. | Torres K. | Simón L.</t>
  </si>
  <si>
    <t>Carriel-Nesvara A. | Muñoz-Medina C. | Castro-Sepúlveda M.</t>
  </si>
  <si>
    <t>C F.O. | Sanhueza M.B.</t>
  </si>
  <si>
    <t>González I. | Maldonado-Agurto R.</t>
  </si>
  <si>
    <t>Orellana-Donoso M. | Barrenechea-Salvador M. | Caro-Navarro J. | Cervela-Díaz M. | Chacón-Ortiz C. | Claudet-Córdoba N.</t>
  </si>
  <si>
    <t>Larrañaga M. | Ibañez H.</t>
  </si>
  <si>
    <t>Galaz M.T.V. | Villarroel N.C. | Martin P.A.Q.S. | Landreau C.C. | Candell M.B.</t>
  </si>
  <si>
    <t>Giglio A. | Barrientos J. | Ferre A.</t>
  </si>
  <si>
    <t>Hidalgo M. | Yanine F.F. | Paredes R.</t>
  </si>
  <si>
    <t>Cisternas-Zamora L.A. | Almendras-Chacana R.A.</t>
  </si>
  <si>
    <t>Pedreros C. | Saenz A. | Ferre A. | Giglio A.</t>
  </si>
  <si>
    <t>López-Arana S. | Conti Donoso F. | Castillo-Valenzuela O.</t>
  </si>
  <si>
    <t>López-Soto P. | Santos M. | Herrera N.</t>
  </si>
  <si>
    <t>Díaz-Castro F. | Tuñón-Suárez M. | Cancino J. | Figueroa A.M. | Gutiérrez J. | Zbinden-Foncea H. | Henríquez-Olguín C. | Castro-Sepúlveda M.</t>
  </si>
  <si>
    <t>Giglio A. | Ferre A. | Reccius A.</t>
  </si>
  <si>
    <t>Rojas-Saffie J.P. | García-Matte N.</t>
  </si>
  <si>
    <t>Gómez Barbieri G. | Soto M.</t>
  </si>
  <si>
    <t>Ferre A. | Giglio A. | Van Sint Jan N. | Reccius A. | Dreyse J. | Hasbun P.</t>
  </si>
  <si>
    <t>Trautmann D. | Suazo F. | Torres K. | Simón L.</t>
  </si>
  <si>
    <t>Figueroa-Toledo A.M. | Gutiérrez-Pino J. | Carriel-Nesvara A. | Marchese-Bittencourt M. | Zbinden-Foncea H. | Castro-Sepúlveda M.</t>
  </si>
  <si>
    <t>Giglio A. | Reccius A. | Carvajal C. | Pedreros C. | Ferre A.</t>
  </si>
  <si>
    <t>De la Fuente M. | Landskron G.</t>
  </si>
  <si>
    <t>Cortina A.H. | Soto-Suazo M.</t>
  </si>
  <si>
    <t>Mayo B. | Penroz S. | Torres K. | Simón L.</t>
  </si>
  <si>
    <t>Nazal L. | Valenzuela R. | Ferre A.</t>
  </si>
  <si>
    <t>Rodríguez C. | Smague D.</t>
  </si>
  <si>
    <t>Zaio Á. | Castro M.</t>
  </si>
  <si>
    <t>de la Cruz P.S. | López Y.M.</t>
  </si>
  <si>
    <t>Pino-Zúñiga J. | Olivares M. | Cancino-López J.</t>
  </si>
  <si>
    <t>Mansilla-Obando K. | Llanos G. | Gómez-Sotta E. | Buchuk P. | Ortiz F. | Aguirre M. | Ahumada F.</t>
  </si>
  <si>
    <t>Contreras-Contreras G. | Mariotti-Celis M.S.</t>
  </si>
  <si>
    <t>Tapia-Curimil G. | Castro-Sepúlveda M. | Zbinden-Foncea H.</t>
  </si>
  <si>
    <t>Kemeny R. | Giglio A. | Ramos A. | Arroyo A. | Pedreros C. | Ferre A.</t>
  </si>
  <si>
    <t>Carvajal C. | Von Moltke R.</t>
  </si>
  <si>
    <t>Cavada Chacón G. | Horna Campos O.</t>
  </si>
  <si>
    <t>Bustos-Arriagada E. | Mariotti-Celis M.S.</t>
  </si>
  <si>
    <t>Balboa E. | Saud F. | De la Fuente M. | Landskron G.</t>
  </si>
  <si>
    <t>Foxley V.G. | Figueroa F.C.</t>
  </si>
  <si>
    <t>Fernández-Verdejo R. | Tuñón-Suárez M.</t>
  </si>
  <si>
    <t>van Sint Jan D N. | Ferre A.</t>
  </si>
  <si>
    <t>Williams C. | Cayu E.</t>
  </si>
  <si>
    <t>Orellana-Donoso M. | Romero-Zucchino D. | Fuentes-Abarca A. | Aravena-Ríos P.</t>
  </si>
  <si>
    <t>Landskron G. | Domínguez A.</t>
  </si>
  <si>
    <t>Rojas-Saffie J.P. | Álamos-Vial N. | Pinzón-Merchán M.</t>
  </si>
  <si>
    <t>Dreyse J. | Jorquera J. | Salas C.</t>
  </si>
  <si>
    <t>Bustos-Arriagada E. | Castillo-Valenzuela O. | Mariotti-Celis M.S.</t>
  </si>
  <si>
    <t>Fernández-Verdejo R. | Gutiérrez-Pino J. | Hayes-Ortiz T. | Zbinden-Foncea H. | Tuñón-Suárez M. | Vargas-Foitzick R.</t>
  </si>
  <si>
    <t>Hernandez A. | Busquets P.</t>
  </si>
  <si>
    <t>Landskron G. | Araneda C. | Romero C. | Domínguez A. | Vásquez G. | Balboa E. | De la Fuente López M.</t>
  </si>
  <si>
    <t>Ruiz-Riquelme P. | Cáceres-Hernández A. | Quintana-Guiñez F. | Castro-Cruz M.</t>
  </si>
  <si>
    <t>Dávila C.M. | Prieto I.T.</t>
  </si>
  <si>
    <t>Benites M.H. | Ferre A. | Dreyse J.</t>
  </si>
  <si>
    <t>Lermanda Peña C. | Hernández Cortina A.</t>
  </si>
  <si>
    <t>Giglio Jimenez A. | Ibañez V. | Ferre A.</t>
  </si>
  <si>
    <t>Bassa J.C. | Aroca Siré P. | Muñoz Fuentes C.</t>
  </si>
  <si>
    <t>Castro M. | Ruiz-Riquelme P.</t>
  </si>
  <si>
    <t>López-Arana S. | Bustos-Arriagada E. | Castillo O.</t>
  </si>
  <si>
    <t>Martineau P.D.H.C. | Cortina A.H.</t>
  </si>
  <si>
    <t>Contreras Valeria C. | Williams Oyarce C.</t>
  </si>
  <si>
    <t>Giglio A. | Reccius A. | Ferre A. | Dreyse J.</t>
  </si>
  <si>
    <t>Gómez G.G. | Soto M.</t>
  </si>
  <si>
    <t>González J.H. | Ramos T.F.</t>
  </si>
  <si>
    <t>Rivas Orrego J. | Moena Benítez M.F. | Crisóstomo Flores P.</t>
  </si>
  <si>
    <t>Errázuriz A.M. | Chadwick C.F.</t>
  </si>
  <si>
    <t>Ortiz-Orellana G. | Valderrama Y.</t>
  </si>
  <si>
    <t>Ortiz-Orellana G. | Ferreira-Wortsman C.</t>
  </si>
  <si>
    <t>Núñez-Lisboa M.N. | Echeverría K.</t>
  </si>
  <si>
    <t>Widow G.L. | Rego T.</t>
  </si>
  <si>
    <t>N° autores (total)</t>
  </si>
  <si>
    <t>% part. UFT</t>
  </si>
  <si>
    <t>Publ. únicas</t>
  </si>
  <si>
    <t>Fuente: Scopus con afiliación UFT (2024–2025). Ranking y matriz por investigador = participaciones autor-publicación (cada par autor-paper único). Tabla y gráfico 'por tipo' = publicaciones únicas (589, sin duplicar coautorías). Autores agrupados por apellido + inicial.</t>
  </si>
  <si>
    <t>Informe de Productividad Científica</t>
  </si>
  <si>
    <t>2024 – 2025</t>
  </si>
  <si>
    <t>Información recopilada a partir de SciVal y Scopus</t>
  </si>
  <si>
    <t>Publicaciones únicas</t>
  </si>
  <si>
    <t>Investigadores</t>
  </si>
  <si>
    <t>Participaciones (autoría/coautoría)</t>
  </si>
  <si>
    <t>UNIVERSIDAD FINIS TERRAE</t>
  </si>
  <si>
    <t>Santiago de Chile · 2026</t>
  </si>
  <si>
    <t>Investigadores con afiliación · Universidad Finis Terrae</t>
  </si>
  <si>
    <t>Sistema de Bibliotecas - Apoyo a la Investigación</t>
  </si>
  <si>
    <t>Ranking de investigadores · Universidad Finis Terrae · 2024–2025</t>
  </si>
  <si>
    <t>Publicaciones con afiliación institucional (participaciones autor–publicación). Fuente: SciVal y Scopus.</t>
  </si>
  <si>
    <t>Resumen y gráficos · Universidad Finis Terrae · 2024–2025</t>
  </si>
  <si>
    <t>Mancilla R.</t>
  </si>
  <si>
    <t>Informe Cienciométrico — Producción Científica UFT</t>
  </si>
  <si>
    <t>Base de datos: hoja «Publicaciones unificadas» · Período 2024–2025 · Análisis bibliométrico de producción, fuentes, autoría y colaboración</t>
  </si>
  <si>
    <t>Publicaciones totales</t>
  </si>
  <si>
    <t>Publicaciones 2025</t>
  </si>
  <si>
    <t>Publicaciones 2024</t>
  </si>
  <si>
    <t>Fuentes / revistas distintas</t>
  </si>
  <si>
    <t>% participación UFT (promedio)</t>
  </si>
  <si>
    <t>Autores por publicación (prom.)</t>
  </si>
  <si>
    <t>Autores UFT por publicación (prom.)</t>
  </si>
  <si>
    <t>Investigadores UFT distintos (aprox.)</t>
  </si>
  <si>
    <t>1.  Producción anual</t>
  </si>
  <si>
    <t>Publicaciones</t>
  </si>
  <si>
    <t>% del total</t>
  </si>
  <si>
    <t>2.  Tipología documental</t>
  </si>
  <si>
    <t>Tipo de documento</t>
  </si>
  <si>
    <t>3.  Fuentes más productivas (Top 15 revistas)</t>
  </si>
  <si>
    <t>4.  Investigadores UFT más productivos (Top 15)</t>
  </si>
  <si>
    <t>Investigador/a UFT</t>
  </si>
  <si>
    <t>5.  Colaboración interna (n° de autores UFT por publicación)</t>
  </si>
  <si>
    <t>1 autor</t>
  </si>
  <si>
    <t>2 autores</t>
  </si>
  <si>
    <t>3 autores</t>
  </si>
  <si>
    <t>4 autores</t>
  </si>
  <si>
    <t>5 autores</t>
  </si>
  <si>
    <t>6 o más</t>
  </si>
  <si>
    <t>6.  Intensidad de participación UFT (% de autores UFT sobre el total)</t>
  </si>
  <si>
    <t>Rango de participación</t>
  </si>
  <si>
    <t>100% (autoría íntegra UFT)</t>
  </si>
  <si>
    <t>50% – 99%</t>
  </si>
  <si>
    <t>25% – 49%</t>
  </si>
  <si>
    <t>10% – 24%</t>
  </si>
  <si>
    <t>&lt; 10%</t>
  </si>
  <si>
    <t>Nota metodológica y fuentes</t>
  </si>
  <si>
    <t>• Fuente de datos: hoja «Publicaciones unificadas» (tabla PublicacionesUnicas). Todas las cifras se calculan con fórmulas vinculadas a dicha tabla y se actualizan automáticamente.</t>
  </si>
  <si>
    <t>• Universo: 589 publicaciones únicas de 2024–2025. El conteo de investigadores UFT distintos (≈397) se deriva del análisis de la columna «Autores UFT (autoría / coautoría)» separando los nombres por «|».</t>
  </si>
  <si>
    <t>• «Fuentes distintas» incluye ~20 registros cuya revista no fue resuelta en el origen (aparecen como «System.Xml.XmlElement»); estos no afectan los rankings de revistas mostrados.</t>
  </si>
  <si>
    <t>• % participación UFT = n° de autores UFT / n° total de autores de cada publicación. Colaboración interna = n° de autores UFT firmantes por publicación.</t>
  </si>
  <si>
    <t>2024</t>
  </si>
  <si>
    <t>2025</t>
  </si>
  <si>
    <t>ANÁLISIS COMPLEMENTARIOS</t>
  </si>
  <si>
    <t>7.  Tipología documental por año</t>
  </si>
  <si>
    <t>8.  Tamaño de los equipos de investigación (n° total de autores)</t>
  </si>
  <si>
    <t>N° total de autores</t>
  </si>
  <si>
    <t>1 (individual)</t>
  </si>
  <si>
    <t>2 – 3</t>
  </si>
  <si>
    <t>4 – 6</t>
  </si>
  <si>
    <t>7 – 10</t>
  </si>
  <si>
    <t>11 – 20</t>
  </si>
  <si>
    <t>Más de 20</t>
  </si>
  <si>
    <t>9.  Participación UFT media por tipo documental</t>
  </si>
  <si>
    <t>% participación UFT (prom.)</t>
  </si>
  <si>
    <t>10.  Indicadores de colaboración y visibilidad</t>
  </si>
  <si>
    <t>Indicador</t>
  </si>
  <si>
    <t>Valor</t>
  </si>
  <si>
    <t>Publicaciones con DOI</t>
  </si>
  <si>
    <t>Autoría íntegra UFT (100%)</t>
  </si>
  <si>
    <t>Con colaboración externa (&lt;100%)</t>
  </si>
  <si>
    <t>Gran colaboración (&gt;10 autores)</t>
  </si>
  <si>
    <t>Concentración en Top 5 revistas</t>
  </si>
  <si>
    <t>Concentración en Top 10 revistas</t>
  </si>
  <si>
    <t>11.  Perfil de autoría UFT</t>
  </si>
  <si>
    <t>Perfil</t>
  </si>
  <si>
    <t>En colaboración externa (&lt;100%)</t>
  </si>
  <si>
    <t>🔍 Buscar autor</t>
  </si>
  <si>
    <t>Buscar en Scopus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</si>
</sst>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5"/>
      <color rgb="FF1F4E5F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Arimo"/>
    </font>
    <font>
      <b/>
      <sz val="30"/>
      <color rgb="FFFFFFFF"/>
      <name val="Arimo"/>
    </font>
    <font>
      <sz val="14"/>
      <color rgb="FFFFFFFF"/>
      <name val="Arimo"/>
    </font>
    <font>
      <b/>
      <sz val="15"/>
      <color rgb="FFFFFFFF"/>
      <name val="Arimo"/>
    </font>
    <font>
      <b/>
      <sz val="11"/>
      <color rgb="FF00B7EB"/>
      <name val="Arimo"/>
    </font>
    <font>
      <b/>
      <sz val="46"/>
      <color rgb="FF00B7EB"/>
      <name val="Arimo"/>
    </font>
    <font>
      <i/>
      <sz val="11"/>
      <color rgb="FFEBEBEB"/>
      <name val="Arimo"/>
    </font>
    <font>
      <b/>
      <sz val="26"/>
      <color rgb="FF00B7EB"/>
      <name val="Arimo"/>
    </font>
    <font>
      <sz val="10"/>
      <color rgb="FFEBEBEB"/>
      <name val="Arimo"/>
    </font>
    <font>
      <i/>
      <sz val="13"/>
      <color rgb="FF00B7EB"/>
      <name val="Arimo"/>
    </font>
    <font>
      <b/>
      <sz val="11"/>
      <color theme="0"/>
      <name val="Arimo"/>
    </font>
    <font>
      <b/>
      <sz val="20"/>
      <color rgb="FFFFFFFF"/>
      <name val="Calibri"/>
      <scheme val="minor"/>
    </font>
    <font>
      <i/>
      <sz val="10"/>
      <color rgb="FFFFFFFF"/>
      <name val="Calibri"/>
      <scheme val="minor"/>
    </font>
    <font>
      <b/>
      <sz val="9"/>
      <color rgb="FFFFFFFF"/>
      <name val="Calibri"/>
      <family val="2"/>
      <scheme val="minor"/>
    </font>
    <font>
      <b/>
      <sz val="20"/>
      <color rgb="FF1F4E79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9"/>
      <color rgb="FF404040"/>
      <name val="Calibri"/>
      <family val="2"/>
      <scheme val="minor"/>
    </font>
    <font>
      <b/>
      <sz val="13"/>
      <color rgb="FFFFFFFF"/>
      <name val="Calibri"/>
      <family val="2"/>
      <scheme val="minor"/>
    </font>
    <font>
      <u/>
      <sz val="11"/>
      <color rgb="FF0563C1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4E5F"/>
        <bgColor indexed="64"/>
      </patternFill>
    </fill>
    <fill>
      <patternFill patternType="solid">
        <fgColor rgb="FFE8EEF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0B7EB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AF1F8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153D6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00B7EB"/>
      </top>
      <bottom/>
      <diagonal/>
    </border>
    <border>
      <left style="thin">
        <color rgb="FF333333"/>
      </left>
      <right/>
      <top/>
      <bottom/>
      <diagonal/>
    </border>
    <border>
      <left/>
      <right style="thin">
        <color rgb="FF333333"/>
      </right>
      <top/>
      <bottom/>
      <diagonal/>
    </border>
    <border>
      <left/>
      <right/>
      <top/>
      <bottom style="thin">
        <color rgb="FF1F4E79"/>
      </bottom>
      <diagonal/>
    </border>
    <border>
      <left/>
      <right/>
      <top style="thin">
        <color auto="1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74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 vertical="center" wrapText="1"/>
    </xf>
    <xf numFmtId="11" fontId="0" fillId="0" borderId="10" xfId="0" applyNumberFormat="1" applyBorder="1" applyAlignment="1">
      <alignment horizontal="center" vertical="center" wrapText="1"/>
    </xf>
    <xf numFmtId="16" fontId="0" fillId="0" borderId="10" xfId="0" applyNumberFormat="1" applyBorder="1" applyAlignment="1">
      <alignment horizontal="center" vertical="center" wrapText="1"/>
    </xf>
    <xf numFmtId="17" fontId="0" fillId="0" borderId="10" xfId="0" applyNumberFormat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Border="1"/>
    <xf numFmtId="0" fontId="16" fillId="0" borderId="11" xfId="0" applyFont="1" applyBorder="1" applyAlignment="1">
      <alignment horizontal="center"/>
    </xf>
    <xf numFmtId="0" fontId="16" fillId="34" borderId="11" xfId="0" applyFont="1" applyFill="1" applyBorder="1"/>
    <xf numFmtId="0" fontId="16" fillId="34" borderId="11" xfId="0" applyFont="1" applyFill="1" applyBorder="1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1" fontId="0" fillId="0" borderId="0" xfId="0" applyNumberFormat="1" applyAlignment="1">
      <alignment horizontal="center" vertical="top"/>
    </xf>
    <xf numFmtId="0" fontId="18" fillId="0" borderId="0" xfId="42" applyAlignment="1">
      <alignment vertical="top" wrapText="1"/>
    </xf>
    <xf numFmtId="0" fontId="0" fillId="0" borderId="0" xfId="0" applyAlignment="1">
      <alignment horizontal="center" vertical="top" wrapText="1"/>
    </xf>
    <xf numFmtId="9" fontId="0" fillId="0" borderId="0" xfId="0" applyNumberFormat="1" applyAlignment="1">
      <alignment horizontal="center" vertical="top" wrapText="1"/>
    </xf>
    <xf numFmtId="0" fontId="22" fillId="35" borderId="0" xfId="0" applyFont="1" applyFill="1"/>
    <xf numFmtId="0" fontId="22" fillId="35" borderId="0" xfId="0" applyFont="1" applyFill="1" applyBorder="1"/>
    <xf numFmtId="0" fontId="22" fillId="36" borderId="0" xfId="0" applyFont="1" applyFill="1"/>
    <xf numFmtId="0" fontId="22" fillId="35" borderId="12" xfId="0" applyFont="1" applyFill="1" applyBorder="1"/>
    <xf numFmtId="0" fontId="22" fillId="35" borderId="13" xfId="0" applyFont="1" applyFill="1" applyBorder="1"/>
    <xf numFmtId="0" fontId="22" fillId="35" borderId="14" xfId="0" applyFont="1" applyFill="1" applyBorder="1"/>
    <xf numFmtId="0" fontId="0" fillId="0" borderId="0" xfId="0"/>
    <xf numFmtId="0" fontId="38" fillId="40" borderId="15" xfId="0" applyFont="1" applyFill="1" applyBorder="1"/>
    <xf numFmtId="164" fontId="0" fillId="0" borderId="0" xfId="0" applyNumberFormat="1"/>
    <xf numFmtId="3" fontId="0" fillId="0" borderId="0" xfId="0" applyNumberFormat="1"/>
    <xf numFmtId="3" fontId="16" fillId="0" borderId="16" xfId="0" applyNumberFormat="1" applyFont="1" applyBorder="1"/>
    <xf numFmtId="164" fontId="16" fillId="0" borderId="16" xfId="0" applyNumberFormat="1" applyFont="1" applyBorder="1"/>
    <xf numFmtId="0" fontId="0" fillId="0" borderId="0" xfId="0" applyAlignment="1">
      <alignment horizontal="left"/>
    </xf>
    <xf numFmtId="0" fontId="16" fillId="0" borderId="16" xfId="0" applyFont="1" applyBorder="1" applyAlignment="1">
      <alignment horizontal="left"/>
    </xf>
    <xf numFmtId="0" fontId="38" fillId="40" borderId="15" xfId="0" applyFont="1" applyFill="1" applyBorder="1" applyAlignment="1">
      <alignment horizontal="left"/>
    </xf>
    <xf numFmtId="49" fontId="0" fillId="0" borderId="0" xfId="0" applyNumberFormat="1" applyAlignment="1">
      <alignment horizontal="left"/>
    </xf>
    <xf numFmtId="49" fontId="38" fillId="40" borderId="15" xfId="0" applyNumberFormat="1" applyFont="1" applyFill="1" applyBorder="1"/>
    <xf numFmtId="0" fontId="41" fillId="0" borderId="0" xfId="42" applyFont="1" applyAlignment="1">
      <alignment horizontal="left"/>
    </xf>
    <xf numFmtId="0" fontId="38" fillId="40" borderId="0" xfId="0" applyFont="1" applyFill="1" applyAlignment="1">
      <alignment horizontal="left"/>
    </xf>
    <xf numFmtId="0" fontId="31" fillId="35" borderId="0" xfId="0" applyFont="1" applyFill="1" applyAlignment="1">
      <alignment horizontal="center" vertical="center"/>
    </xf>
    <xf numFmtId="0" fontId="30" fillId="35" borderId="0" xfId="0" applyFont="1" applyFill="1" applyAlignment="1">
      <alignment horizontal="center" vertical="center"/>
    </xf>
    <xf numFmtId="0" fontId="30" fillId="35" borderId="0" xfId="0" applyFont="1" applyFill="1" applyAlignment="1">
      <alignment horizontal="center" vertical="center" wrapText="1"/>
    </xf>
    <xf numFmtId="0" fontId="29" fillId="35" borderId="13" xfId="0" applyFont="1" applyFill="1" applyBorder="1" applyAlignment="1">
      <alignment horizontal="center" vertical="center"/>
    </xf>
    <xf numFmtId="0" fontId="29" fillId="35" borderId="0" xfId="0" applyFont="1" applyFill="1" applyBorder="1" applyAlignment="1">
      <alignment horizontal="center" vertical="center"/>
    </xf>
    <xf numFmtId="0" fontId="29" fillId="35" borderId="14" xfId="0" applyFont="1" applyFill="1" applyBorder="1" applyAlignment="1">
      <alignment horizontal="center" vertical="center"/>
    </xf>
    <xf numFmtId="0" fontId="30" fillId="35" borderId="13" xfId="0" applyFont="1" applyFill="1" applyBorder="1" applyAlignment="1">
      <alignment horizontal="center" vertical="center"/>
    </xf>
    <xf numFmtId="0" fontId="30" fillId="35" borderId="0" xfId="0" applyFont="1" applyFill="1" applyBorder="1" applyAlignment="1">
      <alignment horizontal="center" vertical="center"/>
    </xf>
    <xf numFmtId="0" fontId="30" fillId="35" borderId="14" xfId="0" applyFont="1" applyFill="1" applyBorder="1" applyAlignment="1">
      <alignment horizontal="center" vertical="center"/>
    </xf>
    <xf numFmtId="0" fontId="29" fillId="35" borderId="0" xfId="0" applyFont="1" applyFill="1" applyAlignment="1">
      <alignment horizontal="center" vertical="center"/>
    </xf>
    <xf numFmtId="0" fontId="25" fillId="35" borderId="0" xfId="0" applyFont="1" applyFill="1" applyAlignment="1">
      <alignment horizontal="center" vertical="center"/>
    </xf>
    <xf numFmtId="0" fontId="32" fillId="35" borderId="0" xfId="0" applyFont="1" applyFill="1" applyAlignment="1">
      <alignment horizontal="center" vertical="center"/>
    </xf>
    <xf numFmtId="0" fontId="26" fillId="35" borderId="0" xfId="0" applyFont="1" applyFill="1" applyAlignment="1">
      <alignment horizontal="center" vertical="center"/>
    </xf>
    <xf numFmtId="0" fontId="23" fillId="35" borderId="0" xfId="0" applyFont="1" applyFill="1" applyAlignment="1">
      <alignment horizontal="center" vertical="center" wrapText="1"/>
    </xf>
    <xf numFmtId="0" fontId="27" fillId="35" borderId="0" xfId="0" applyFont="1" applyFill="1" applyAlignment="1">
      <alignment horizontal="center" vertical="center"/>
    </xf>
    <xf numFmtId="0" fontId="24" fillId="35" borderId="0" xfId="0" applyFont="1" applyFill="1" applyAlignment="1">
      <alignment horizontal="center" vertical="center"/>
    </xf>
    <xf numFmtId="0" fontId="28" fillId="35" borderId="0" xfId="0" applyFont="1" applyFill="1" applyAlignment="1">
      <alignment horizontal="center" vertical="center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 wrapText="1"/>
    </xf>
    <xf numFmtId="0" fontId="19" fillId="0" borderId="0" xfId="0" applyFont="1"/>
    <xf numFmtId="0" fontId="0" fillId="0" borderId="0" xfId="0"/>
    <xf numFmtId="0" fontId="20" fillId="0" borderId="0" xfId="0" applyFont="1" applyAlignment="1">
      <alignment wrapText="1"/>
    </xf>
    <xf numFmtId="0" fontId="37" fillId="37" borderId="0" xfId="0" applyFont="1" applyFill="1" applyAlignment="1">
      <alignment horizontal="left" vertical="center"/>
    </xf>
    <xf numFmtId="0" fontId="37" fillId="37" borderId="0" xfId="0" applyFont="1" applyFill="1" applyAlignment="1">
      <alignment vertical="center"/>
    </xf>
    <xf numFmtId="0" fontId="39" fillId="0" borderId="0" xfId="0" applyFont="1" applyAlignment="1">
      <alignment vertical="center"/>
    </xf>
    <xf numFmtId="0" fontId="40" fillId="41" borderId="0" xfId="0" applyFont="1" applyFill="1" applyAlignment="1">
      <alignment horizontal="center" vertical="center"/>
    </xf>
    <xf numFmtId="0" fontId="21" fillId="37" borderId="0" xfId="0" applyFont="1" applyFill="1" applyAlignment="1">
      <alignment vertical="center"/>
    </xf>
    <xf numFmtId="0" fontId="35" fillId="37" borderId="0" xfId="0" applyFont="1" applyFill="1" applyAlignment="1">
      <alignment horizontal="center" vertical="center"/>
    </xf>
    <xf numFmtId="3" fontId="36" fillId="39" borderId="0" xfId="0" applyNumberFormat="1" applyFont="1" applyFill="1" applyAlignment="1">
      <alignment horizontal="center" vertical="center"/>
    </xf>
    <xf numFmtId="0" fontId="36" fillId="39" borderId="0" xfId="0" applyFont="1" applyFill="1" applyAlignment="1">
      <alignment horizontal="center" vertical="center"/>
    </xf>
    <xf numFmtId="164" fontId="36" fillId="39" borderId="0" xfId="0" applyNumberFormat="1" applyFont="1" applyFill="1" applyAlignment="1">
      <alignment horizontal="center" vertical="center"/>
    </xf>
    <xf numFmtId="165" fontId="36" fillId="39" borderId="0" xfId="0" applyNumberFormat="1" applyFont="1" applyFill="1" applyAlignment="1">
      <alignment horizontal="center" vertical="center"/>
    </xf>
    <xf numFmtId="0" fontId="33" fillId="37" borderId="0" xfId="0" applyFont="1" applyFill="1"/>
    <xf numFmtId="0" fontId="34" fillId="38" borderId="0" xfId="0" applyFont="1" applyFill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1">
    <dxf>
      <numFmt numFmtId="13" formatCode="0%"/>
      <alignment horizontal="center" vertical="top" wrapText="1"/>
    </dxf>
    <dxf>
      <alignment horizontal="center" vertical="top" wrapText="1"/>
    </dxf>
    <dxf>
      <alignment vertical="top" wrapText="1"/>
    </dxf>
    <dxf>
      <alignment vertical="top" wrapText="1"/>
    </dxf>
    <dxf>
      <alignment horizontal="center" vertical="top"/>
    </dxf>
    <dxf>
      <alignment vertical="top" wrapText="1"/>
    </dxf>
    <dxf>
      <alignment vertical="top"/>
    </dxf>
    <dxf>
      <numFmt numFmtId="1" formatCode="0"/>
      <alignment horizontal="center" vertical="top"/>
    </dxf>
    <dxf>
      <alignment vertical="top" wrapText="1"/>
    </dxf>
    <dxf>
      <alignment horizontal="center" vertical="top"/>
    </dxf>
    <dxf>
      <alignment vertical="top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15 investigadores UFT por nº de publicaciones (2024–2025)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2024</c:v>
          </c:tx>
          <c:spPr>
            <a:solidFill>
              <a:srgbClr val="4E79A7"/>
            </a:solidFill>
            <a:ln>
              <a:noFill/>
            </a:ln>
            <a:effectLst/>
          </c:spPr>
          <c:invertIfNegative val="0"/>
          <c:cat>
            <c:strRef>
              <c:f>'Resumen y gráficos'!$B$5:$B$19</c:f>
              <c:strCache>
                <c:ptCount val="15"/>
                <c:pt idx="0">
                  <c:v>Orellana-Donoso M.</c:v>
                </c:pt>
                <c:pt idx="1">
                  <c:v>Yanine F.F.</c:v>
                </c:pt>
                <c:pt idx="2">
                  <c:v>Ferre A.</c:v>
                </c:pt>
                <c:pt idx="3">
                  <c:v>Mujika I.</c:v>
                </c:pt>
                <c:pt idx="4">
                  <c:v>Giglio A.</c:v>
                </c:pt>
                <c:pt idx="5">
                  <c:v>Strauss F.J.</c:v>
                </c:pt>
                <c:pt idx="6">
                  <c:v>Díaz F.</c:v>
                </c:pt>
                <c:pt idx="7">
                  <c:v>Henríquez-Olguín C.</c:v>
                </c:pt>
                <c:pt idx="8">
                  <c:v>López-Arana S.</c:v>
                </c:pt>
                <c:pt idx="9">
                  <c:v>Fernández-Verdejo R.</c:v>
                </c:pt>
                <c:pt idx="10">
                  <c:v>Mariotti-Celis M.S.</c:v>
                </c:pt>
                <c:pt idx="11">
                  <c:v>Cancino-López J.</c:v>
                </c:pt>
                <c:pt idx="12">
                  <c:v>Dreyse J.</c:v>
                </c:pt>
                <c:pt idx="13">
                  <c:v>Bustos-Arriagada E.</c:v>
                </c:pt>
                <c:pt idx="14">
                  <c:v>Hidalgo M.</c:v>
                </c:pt>
              </c:strCache>
            </c:strRef>
          </c:cat>
          <c:val>
            <c:numRef>
              <c:f>'Resumen y gráficos'!$C$5:$C$19</c:f>
              <c:numCache>
                <c:formatCode>General</c:formatCode>
                <c:ptCount val="15"/>
                <c:pt idx="0">
                  <c:v>16</c:v>
                </c:pt>
                <c:pt idx="1">
                  <c:v>13</c:v>
                </c:pt>
                <c:pt idx="2">
                  <c:v>9</c:v>
                </c:pt>
                <c:pt idx="3">
                  <c:v>7</c:v>
                </c:pt>
                <c:pt idx="4">
                  <c:v>6</c:v>
                </c:pt>
                <c:pt idx="5">
                  <c:v>10</c:v>
                </c:pt>
                <c:pt idx="6">
                  <c:v>5</c:v>
                </c:pt>
                <c:pt idx="7">
                  <c:v>6</c:v>
                </c:pt>
                <c:pt idx="8">
                  <c:v>3</c:v>
                </c:pt>
                <c:pt idx="9">
                  <c:v>9</c:v>
                </c:pt>
                <c:pt idx="10">
                  <c:v>8</c:v>
                </c:pt>
                <c:pt idx="11">
                  <c:v>4</c:v>
                </c:pt>
                <c:pt idx="12">
                  <c:v>6</c:v>
                </c:pt>
                <c:pt idx="13">
                  <c:v>4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E5-47CE-AF08-4904DA1B2DFF}"/>
            </c:ext>
          </c:extLst>
        </c:ser>
        <c:ser>
          <c:idx val="1"/>
          <c:order val="1"/>
          <c:tx>
            <c:v>2025</c:v>
          </c:tx>
          <c:spPr>
            <a:solidFill>
              <a:srgbClr val="F28E2B"/>
            </a:solidFill>
            <a:ln>
              <a:noFill/>
            </a:ln>
            <a:effectLst/>
          </c:spPr>
          <c:invertIfNegative val="0"/>
          <c:cat>
            <c:strRef>
              <c:f>'Resumen y gráficos'!$B$5:$B$19</c:f>
              <c:strCache>
                <c:ptCount val="15"/>
                <c:pt idx="0">
                  <c:v>Orellana-Donoso M.</c:v>
                </c:pt>
                <c:pt idx="1">
                  <c:v>Yanine F.F.</c:v>
                </c:pt>
                <c:pt idx="2">
                  <c:v>Ferre A.</c:v>
                </c:pt>
                <c:pt idx="3">
                  <c:v>Mujika I.</c:v>
                </c:pt>
                <c:pt idx="4">
                  <c:v>Giglio A.</c:v>
                </c:pt>
                <c:pt idx="5">
                  <c:v>Strauss F.J.</c:v>
                </c:pt>
                <c:pt idx="6">
                  <c:v>Díaz F.</c:v>
                </c:pt>
                <c:pt idx="7">
                  <c:v>Henríquez-Olguín C.</c:v>
                </c:pt>
                <c:pt idx="8">
                  <c:v>López-Arana S.</c:v>
                </c:pt>
                <c:pt idx="9">
                  <c:v>Fernández-Verdejo R.</c:v>
                </c:pt>
                <c:pt idx="10">
                  <c:v>Mariotti-Celis M.S.</c:v>
                </c:pt>
                <c:pt idx="11">
                  <c:v>Cancino-López J.</c:v>
                </c:pt>
                <c:pt idx="12">
                  <c:v>Dreyse J.</c:v>
                </c:pt>
                <c:pt idx="13">
                  <c:v>Bustos-Arriagada E.</c:v>
                </c:pt>
                <c:pt idx="14">
                  <c:v>Hidalgo M.</c:v>
                </c:pt>
              </c:strCache>
            </c:strRef>
          </c:cat>
          <c:val>
            <c:numRef>
              <c:f>'Resumen y gráficos'!$D$5:$D$19</c:f>
              <c:numCache>
                <c:formatCode>General</c:formatCode>
                <c:ptCount val="15"/>
                <c:pt idx="0">
                  <c:v>16</c:v>
                </c:pt>
                <c:pt idx="1">
                  <c:v>9</c:v>
                </c:pt>
                <c:pt idx="2">
                  <c:v>12</c:v>
                </c:pt>
                <c:pt idx="3">
                  <c:v>14</c:v>
                </c:pt>
                <c:pt idx="4">
                  <c:v>13</c:v>
                </c:pt>
                <c:pt idx="5">
                  <c:v>6</c:v>
                </c:pt>
                <c:pt idx="6">
                  <c:v>10</c:v>
                </c:pt>
                <c:pt idx="7">
                  <c:v>7</c:v>
                </c:pt>
                <c:pt idx="8">
                  <c:v>10</c:v>
                </c:pt>
                <c:pt idx="9">
                  <c:v>3</c:v>
                </c:pt>
                <c:pt idx="10">
                  <c:v>4</c:v>
                </c:pt>
                <c:pt idx="11">
                  <c:v>7</c:v>
                </c:pt>
                <c:pt idx="12">
                  <c:v>4</c:v>
                </c:pt>
                <c:pt idx="13">
                  <c:v>5</c:v>
                </c:pt>
                <c:pt idx="1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E5-47CE-AF08-4904DA1B2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86206896"/>
        <c:axId val="486208144"/>
      </c:barChart>
      <c:catAx>
        <c:axId val="486206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86208144"/>
        <c:crosses val="autoZero"/>
        <c:auto val="1"/>
        <c:lblAlgn val="ctr"/>
        <c:lblOffset val="100"/>
        <c:noMultiLvlLbl val="0"/>
      </c:catAx>
      <c:valAx>
        <c:axId val="486208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86206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¿Qué publicó la UFT? · Publicaciones únicas por tipo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Publicaciones</c:v>
          </c:tx>
          <c:spPr>
            <a:solidFill>
              <a:srgbClr val="1F4E5F"/>
            </a:solidFill>
            <a:ln>
              <a:noFill/>
            </a:ln>
            <a:effectLst/>
          </c:spPr>
          <c:invertIfNegative val="0"/>
          <c:cat>
            <c:strRef>
              <c:f>'Resumen y gráficos'!$G$5:$G$14</c:f>
              <c:strCache>
                <c:ptCount val="10"/>
                <c:pt idx="0">
                  <c:v>Article</c:v>
                </c:pt>
                <c:pt idx="1">
                  <c:v>Review</c:v>
                </c:pt>
                <c:pt idx="2">
                  <c:v>Letter</c:v>
                </c:pt>
                <c:pt idx="3">
                  <c:v>Chapter</c:v>
                </c:pt>
                <c:pt idx="4">
                  <c:v>Conference Paper</c:v>
                </c:pt>
                <c:pt idx="5">
                  <c:v>Editorial</c:v>
                </c:pt>
                <c:pt idx="6">
                  <c:v>Erratum</c:v>
                </c:pt>
                <c:pt idx="7">
                  <c:v>Note</c:v>
                </c:pt>
                <c:pt idx="8">
                  <c:v>Short Survey</c:v>
                </c:pt>
                <c:pt idx="9">
                  <c:v>Book</c:v>
                </c:pt>
              </c:strCache>
            </c:strRef>
          </c:cat>
          <c:val>
            <c:numRef>
              <c:f>'Resumen y gráficos'!$H$5:$H$14</c:f>
              <c:numCache>
                <c:formatCode>General</c:formatCode>
                <c:ptCount val="10"/>
                <c:pt idx="0">
                  <c:v>412</c:v>
                </c:pt>
                <c:pt idx="1">
                  <c:v>103</c:v>
                </c:pt>
                <c:pt idx="2">
                  <c:v>21</c:v>
                </c:pt>
                <c:pt idx="3">
                  <c:v>17</c:v>
                </c:pt>
                <c:pt idx="4">
                  <c:v>14</c:v>
                </c:pt>
                <c:pt idx="5">
                  <c:v>7</c:v>
                </c:pt>
                <c:pt idx="6">
                  <c:v>4</c:v>
                </c:pt>
                <c:pt idx="7">
                  <c:v>6</c:v>
                </c:pt>
                <c:pt idx="8">
                  <c:v>3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B5-4BFD-8A64-6630BFC1D8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80163696"/>
        <c:axId val="1980164112"/>
      </c:barChart>
      <c:catAx>
        <c:axId val="1980163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80164112"/>
        <c:crosses val="autoZero"/>
        <c:auto val="1"/>
        <c:lblAlgn val="ctr"/>
        <c:lblOffset val="100"/>
        <c:noMultiLvlLbl val="0"/>
      </c:catAx>
      <c:valAx>
        <c:axId val="1980164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80163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¿Qué publicó cada investigador? · Top 12 por tipo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Article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'Resumen y gráficos'!$G$18:$G$29</c:f>
              <c:strCache>
                <c:ptCount val="12"/>
                <c:pt idx="0">
                  <c:v>Orellana-Donoso M.</c:v>
                </c:pt>
                <c:pt idx="1">
                  <c:v>Yanine F.F.</c:v>
                </c:pt>
                <c:pt idx="2">
                  <c:v>Ferre A.</c:v>
                </c:pt>
                <c:pt idx="3">
                  <c:v>Mujika I.</c:v>
                </c:pt>
                <c:pt idx="4">
                  <c:v>Giglio A.</c:v>
                </c:pt>
                <c:pt idx="5">
                  <c:v>Strauss F.J.</c:v>
                </c:pt>
                <c:pt idx="6">
                  <c:v>Díaz F.</c:v>
                </c:pt>
                <c:pt idx="7">
                  <c:v>Henríquez-Olguín C.</c:v>
                </c:pt>
                <c:pt idx="8">
                  <c:v>López-Arana S.</c:v>
                </c:pt>
                <c:pt idx="9">
                  <c:v>Fernández-Verdejo R.</c:v>
                </c:pt>
                <c:pt idx="10">
                  <c:v>Mariotti-Celis M.S.</c:v>
                </c:pt>
                <c:pt idx="11">
                  <c:v>Cancino-López J.</c:v>
                </c:pt>
              </c:strCache>
            </c:strRef>
          </c:cat>
          <c:val>
            <c:numRef>
              <c:f>'Resumen y gráficos'!$H$18:$H$29</c:f>
              <c:numCache>
                <c:formatCode>General</c:formatCode>
                <c:ptCount val="12"/>
                <c:pt idx="0">
                  <c:v>8</c:v>
                </c:pt>
                <c:pt idx="1">
                  <c:v>10</c:v>
                </c:pt>
                <c:pt idx="2">
                  <c:v>12</c:v>
                </c:pt>
                <c:pt idx="3">
                  <c:v>16</c:v>
                </c:pt>
                <c:pt idx="4">
                  <c:v>12</c:v>
                </c:pt>
                <c:pt idx="5">
                  <c:v>14</c:v>
                </c:pt>
                <c:pt idx="6">
                  <c:v>8</c:v>
                </c:pt>
                <c:pt idx="7">
                  <c:v>10</c:v>
                </c:pt>
                <c:pt idx="8">
                  <c:v>10</c:v>
                </c:pt>
                <c:pt idx="9">
                  <c:v>6</c:v>
                </c:pt>
                <c:pt idx="10">
                  <c:v>12</c:v>
                </c:pt>
                <c:pt idx="1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20-463C-94B2-1A59AB03E6E1}"/>
            </c:ext>
          </c:extLst>
        </c:ser>
        <c:ser>
          <c:idx val="1"/>
          <c:order val="1"/>
          <c:tx>
            <c:v>Review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'Resumen y gráficos'!$G$18:$G$29</c:f>
              <c:strCache>
                <c:ptCount val="12"/>
                <c:pt idx="0">
                  <c:v>Orellana-Donoso M.</c:v>
                </c:pt>
                <c:pt idx="1">
                  <c:v>Yanine F.F.</c:v>
                </c:pt>
                <c:pt idx="2">
                  <c:v>Ferre A.</c:v>
                </c:pt>
                <c:pt idx="3">
                  <c:v>Mujika I.</c:v>
                </c:pt>
                <c:pt idx="4">
                  <c:v>Giglio A.</c:v>
                </c:pt>
                <c:pt idx="5">
                  <c:v>Strauss F.J.</c:v>
                </c:pt>
                <c:pt idx="6">
                  <c:v>Díaz F.</c:v>
                </c:pt>
                <c:pt idx="7">
                  <c:v>Henríquez-Olguín C.</c:v>
                </c:pt>
                <c:pt idx="8">
                  <c:v>López-Arana S.</c:v>
                </c:pt>
                <c:pt idx="9">
                  <c:v>Fernández-Verdejo R.</c:v>
                </c:pt>
                <c:pt idx="10">
                  <c:v>Mariotti-Celis M.S.</c:v>
                </c:pt>
                <c:pt idx="11">
                  <c:v>Cancino-López J.</c:v>
                </c:pt>
              </c:strCache>
            </c:strRef>
          </c:cat>
          <c:val>
            <c:numRef>
              <c:f>'Resumen y gráficos'!$I$18:$I$29</c:f>
              <c:numCache>
                <c:formatCode>General</c:formatCode>
                <c:ptCount val="12"/>
                <c:pt idx="0">
                  <c:v>23</c:v>
                </c:pt>
                <c:pt idx="1">
                  <c:v>2</c:v>
                </c:pt>
                <c:pt idx="2">
                  <c:v>4</c:v>
                </c:pt>
                <c:pt idx="3">
                  <c:v>1</c:v>
                </c:pt>
                <c:pt idx="4">
                  <c:v>3</c:v>
                </c:pt>
                <c:pt idx="5">
                  <c:v>2</c:v>
                </c:pt>
                <c:pt idx="6">
                  <c:v>0</c:v>
                </c:pt>
                <c:pt idx="7">
                  <c:v>3</c:v>
                </c:pt>
                <c:pt idx="8">
                  <c:v>1</c:v>
                </c:pt>
                <c:pt idx="9">
                  <c:v>3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20-463C-94B2-1A59AB03E6E1}"/>
            </c:ext>
          </c:extLst>
        </c:ser>
        <c:ser>
          <c:idx val="2"/>
          <c:order val="2"/>
          <c:tx>
            <c:v>Letter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'Resumen y gráficos'!$G$18:$G$29</c:f>
              <c:strCache>
                <c:ptCount val="12"/>
                <c:pt idx="0">
                  <c:v>Orellana-Donoso M.</c:v>
                </c:pt>
                <c:pt idx="1">
                  <c:v>Yanine F.F.</c:v>
                </c:pt>
                <c:pt idx="2">
                  <c:v>Ferre A.</c:v>
                </c:pt>
                <c:pt idx="3">
                  <c:v>Mujika I.</c:v>
                </c:pt>
                <c:pt idx="4">
                  <c:v>Giglio A.</c:v>
                </c:pt>
                <c:pt idx="5">
                  <c:v>Strauss F.J.</c:v>
                </c:pt>
                <c:pt idx="6">
                  <c:v>Díaz F.</c:v>
                </c:pt>
                <c:pt idx="7">
                  <c:v>Henríquez-Olguín C.</c:v>
                </c:pt>
                <c:pt idx="8">
                  <c:v>López-Arana S.</c:v>
                </c:pt>
                <c:pt idx="9">
                  <c:v>Fernández-Verdejo R.</c:v>
                </c:pt>
                <c:pt idx="10">
                  <c:v>Mariotti-Celis M.S.</c:v>
                </c:pt>
                <c:pt idx="11">
                  <c:v>Cancino-López J.</c:v>
                </c:pt>
              </c:strCache>
            </c:strRef>
          </c:cat>
          <c:val>
            <c:numRef>
              <c:f>'Resumen y gráficos'!$J$18:$J$29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0</c:v>
                </c:pt>
                <c:pt idx="4">
                  <c:v>4</c:v>
                </c:pt>
                <c:pt idx="5">
                  <c:v>0</c:v>
                </c:pt>
                <c:pt idx="6">
                  <c:v>5</c:v>
                </c:pt>
                <c:pt idx="7">
                  <c:v>0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20-463C-94B2-1A59AB03E6E1}"/>
            </c:ext>
          </c:extLst>
        </c:ser>
        <c:ser>
          <c:idx val="3"/>
          <c:order val="3"/>
          <c:tx>
            <c:v>Chapter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'Resumen y gráficos'!$G$18:$G$29</c:f>
              <c:strCache>
                <c:ptCount val="12"/>
                <c:pt idx="0">
                  <c:v>Orellana-Donoso M.</c:v>
                </c:pt>
                <c:pt idx="1">
                  <c:v>Yanine F.F.</c:v>
                </c:pt>
                <c:pt idx="2">
                  <c:v>Ferre A.</c:v>
                </c:pt>
                <c:pt idx="3">
                  <c:v>Mujika I.</c:v>
                </c:pt>
                <c:pt idx="4">
                  <c:v>Giglio A.</c:v>
                </c:pt>
                <c:pt idx="5">
                  <c:v>Strauss F.J.</c:v>
                </c:pt>
                <c:pt idx="6">
                  <c:v>Díaz F.</c:v>
                </c:pt>
                <c:pt idx="7">
                  <c:v>Henríquez-Olguín C.</c:v>
                </c:pt>
                <c:pt idx="8">
                  <c:v>López-Arana S.</c:v>
                </c:pt>
                <c:pt idx="9">
                  <c:v>Fernández-Verdejo R.</c:v>
                </c:pt>
                <c:pt idx="10">
                  <c:v>Mariotti-Celis M.S.</c:v>
                </c:pt>
                <c:pt idx="11">
                  <c:v>Cancino-López J.</c:v>
                </c:pt>
              </c:strCache>
            </c:strRef>
          </c:cat>
          <c:val>
            <c:numRef>
              <c:f>'Resumen y gráficos'!$K$18:$K$29</c:f>
              <c:numCache>
                <c:formatCode>General</c:formatCode>
                <c:ptCount val="12"/>
                <c:pt idx="0">
                  <c:v>0</c:v>
                </c:pt>
                <c:pt idx="1">
                  <c:v>8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20-463C-94B2-1A59AB03E6E1}"/>
            </c:ext>
          </c:extLst>
        </c:ser>
        <c:ser>
          <c:idx val="4"/>
          <c:order val="4"/>
          <c:tx>
            <c:v>Conf. Paper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'Resumen y gráficos'!$G$18:$G$29</c:f>
              <c:strCache>
                <c:ptCount val="12"/>
                <c:pt idx="0">
                  <c:v>Orellana-Donoso M.</c:v>
                </c:pt>
                <c:pt idx="1">
                  <c:v>Yanine F.F.</c:v>
                </c:pt>
                <c:pt idx="2">
                  <c:v>Ferre A.</c:v>
                </c:pt>
                <c:pt idx="3">
                  <c:v>Mujika I.</c:v>
                </c:pt>
                <c:pt idx="4">
                  <c:v>Giglio A.</c:v>
                </c:pt>
                <c:pt idx="5">
                  <c:v>Strauss F.J.</c:v>
                </c:pt>
                <c:pt idx="6">
                  <c:v>Díaz F.</c:v>
                </c:pt>
                <c:pt idx="7">
                  <c:v>Henríquez-Olguín C.</c:v>
                </c:pt>
                <c:pt idx="8">
                  <c:v>López-Arana S.</c:v>
                </c:pt>
                <c:pt idx="9">
                  <c:v>Fernández-Verdejo R.</c:v>
                </c:pt>
                <c:pt idx="10">
                  <c:v>Mariotti-Celis M.S.</c:v>
                </c:pt>
                <c:pt idx="11">
                  <c:v>Cancino-López J.</c:v>
                </c:pt>
              </c:strCache>
            </c:strRef>
          </c:cat>
          <c:val>
            <c:numRef>
              <c:f>'Resumen y gráficos'!$L$18:$L$29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220-463C-94B2-1A59AB03E6E1}"/>
            </c:ext>
          </c:extLst>
        </c:ser>
        <c:ser>
          <c:idx val="5"/>
          <c:order val="5"/>
          <c:tx>
            <c:v>Otros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'Resumen y gráficos'!$G$18:$G$29</c:f>
              <c:strCache>
                <c:ptCount val="12"/>
                <c:pt idx="0">
                  <c:v>Orellana-Donoso M.</c:v>
                </c:pt>
                <c:pt idx="1">
                  <c:v>Yanine F.F.</c:v>
                </c:pt>
                <c:pt idx="2">
                  <c:v>Ferre A.</c:v>
                </c:pt>
                <c:pt idx="3">
                  <c:v>Mujika I.</c:v>
                </c:pt>
                <c:pt idx="4">
                  <c:v>Giglio A.</c:v>
                </c:pt>
                <c:pt idx="5">
                  <c:v>Strauss F.J.</c:v>
                </c:pt>
                <c:pt idx="6">
                  <c:v>Díaz F.</c:v>
                </c:pt>
                <c:pt idx="7">
                  <c:v>Henríquez-Olguín C.</c:v>
                </c:pt>
                <c:pt idx="8">
                  <c:v>López-Arana S.</c:v>
                </c:pt>
                <c:pt idx="9">
                  <c:v>Fernández-Verdejo R.</c:v>
                </c:pt>
                <c:pt idx="10">
                  <c:v>Mariotti-Celis M.S.</c:v>
                </c:pt>
                <c:pt idx="11">
                  <c:v>Cancino-López J.</c:v>
                </c:pt>
              </c:strCache>
            </c:strRef>
          </c:cat>
          <c:val>
            <c:numRef>
              <c:f>'Resumen y gráficos'!$M$18:$M$29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220-463C-94B2-1A59AB03E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80162448"/>
        <c:axId val="1980164944"/>
      </c:barChart>
      <c:catAx>
        <c:axId val="1980162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80164944"/>
        <c:crosses val="autoZero"/>
        <c:auto val="1"/>
        <c:lblAlgn val="ctr"/>
        <c:lblOffset val="100"/>
        <c:noMultiLvlLbl val="0"/>
      </c:catAx>
      <c:valAx>
        <c:axId val="1980164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80162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Publicaciones por tipo documental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E75B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'Informe Cienciométrico (2)'!$A$30:$A$39</c:f>
              <c:strCache>
                <c:ptCount val="10"/>
                <c:pt idx="0">
                  <c:v>Article</c:v>
                </c:pt>
                <c:pt idx="1">
                  <c:v>Review</c:v>
                </c:pt>
                <c:pt idx="2">
                  <c:v>Letter</c:v>
                </c:pt>
                <c:pt idx="3">
                  <c:v>Conference Paper</c:v>
                </c:pt>
                <c:pt idx="4">
                  <c:v>Note</c:v>
                </c:pt>
                <c:pt idx="5">
                  <c:v>Editorial</c:v>
                </c:pt>
                <c:pt idx="6">
                  <c:v>Chapter</c:v>
                </c:pt>
                <c:pt idx="7">
                  <c:v>Short Survey</c:v>
                </c:pt>
                <c:pt idx="8">
                  <c:v>Erratum</c:v>
                </c:pt>
                <c:pt idx="9">
                  <c:v>Book</c:v>
                </c:pt>
              </c:strCache>
            </c:strRef>
          </c:cat>
          <c:val>
            <c:numRef>
              <c:f>'Informe Cienciométrico (2)'!$B$30:$B$39</c:f>
              <c:numCache>
                <c:formatCode>#,##0</c:formatCode>
                <c:ptCount val="10"/>
                <c:pt idx="0">
                  <c:v>412</c:v>
                </c:pt>
                <c:pt idx="1">
                  <c:v>103</c:v>
                </c:pt>
                <c:pt idx="2">
                  <c:v>21</c:v>
                </c:pt>
                <c:pt idx="3">
                  <c:v>14</c:v>
                </c:pt>
                <c:pt idx="4">
                  <c:v>6</c:v>
                </c:pt>
                <c:pt idx="5">
                  <c:v>7</c:v>
                </c:pt>
                <c:pt idx="6">
                  <c:v>17</c:v>
                </c:pt>
                <c:pt idx="7">
                  <c:v>3</c:v>
                </c:pt>
                <c:pt idx="8">
                  <c:v>4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B4-43A4-A34E-46C54D9F3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79115391"/>
        <c:axId val="1628448815"/>
      </c:barChart>
      <c:catAx>
        <c:axId val="127911539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28448815"/>
        <c:crosses val="autoZero"/>
        <c:auto val="1"/>
        <c:lblAlgn val="ctr"/>
        <c:lblOffset val="100"/>
        <c:noMultiLvlLbl val="0"/>
      </c:catAx>
      <c:valAx>
        <c:axId val="162844881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79115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15 revistas por número de publicaciones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E75B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'Informe Cienciométrico (2)'!$A$50:$A$64</c:f>
              <c:strCache>
                <c:ptCount val="15"/>
                <c:pt idx="0">
                  <c:v>Revista Medica Clinica Las Condes</c:v>
                </c:pt>
                <c:pt idx="1">
                  <c:v>Diagnostics</c:v>
                </c:pt>
                <c:pt idx="2">
                  <c:v>Revista Chilena de Nutricion</c:v>
                </c:pt>
                <c:pt idx="3">
                  <c:v>International Journal of Sports Physiology and Performance</c:v>
                </c:pt>
                <c:pt idx="4">
                  <c:v>Antioxidants</c:v>
                </c:pt>
                <c:pt idx="5">
                  <c:v>Andes Pediatrica</c:v>
                </c:pt>
                <c:pt idx="6">
                  <c:v>International Journal of Molecular Sciences</c:v>
                </c:pt>
                <c:pt idx="7">
                  <c:v>Journal of Clinical Medicine</c:v>
                </c:pt>
                <c:pt idx="8">
                  <c:v>Piel</c:v>
                </c:pt>
                <c:pt idx="9">
                  <c:v>Obesity Surgery</c:v>
                </c:pt>
                <c:pt idx="10">
                  <c:v>Critical Care</c:v>
                </c:pt>
                <c:pt idx="11">
                  <c:v>Scientific Reports</c:v>
                </c:pt>
                <c:pt idx="12">
                  <c:v>Revista Medica de Chile</c:v>
                </c:pt>
                <c:pt idx="13">
                  <c:v>Retos</c:v>
                </c:pt>
                <c:pt idx="14">
                  <c:v>Frontiers in Psychology</c:v>
                </c:pt>
              </c:strCache>
            </c:strRef>
          </c:cat>
          <c:val>
            <c:numRef>
              <c:f>'Informe Cienciométrico (2)'!$B$50:$B$64</c:f>
              <c:numCache>
                <c:formatCode>#,##0</c:formatCode>
                <c:ptCount val="15"/>
                <c:pt idx="0">
                  <c:v>35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4</c:v>
                </c:pt>
                <c:pt idx="1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EF-4735-B43F-56823A820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28446319"/>
        <c:axId val="1628447151"/>
      </c:barChart>
      <c:catAx>
        <c:axId val="162844631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28447151"/>
        <c:crosses val="autoZero"/>
        <c:auto val="1"/>
        <c:lblAlgn val="ctr"/>
        <c:lblOffset val="100"/>
        <c:noMultiLvlLbl val="0"/>
      </c:catAx>
      <c:valAx>
        <c:axId val="162844715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28446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15 investigadores UFT por número de publicaciones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E75B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'Informe Cienciométrico (2)'!$A$74:$A$88</c:f>
              <c:strCache>
                <c:ptCount val="15"/>
                <c:pt idx="0">
                  <c:v>Orellana-Donoso M.</c:v>
                </c:pt>
                <c:pt idx="1">
                  <c:v>Yanine F.F.</c:v>
                </c:pt>
                <c:pt idx="2">
                  <c:v>Ferre A.</c:v>
                </c:pt>
                <c:pt idx="3">
                  <c:v>Mujika I.</c:v>
                </c:pt>
                <c:pt idx="4">
                  <c:v>Giglio A.</c:v>
                </c:pt>
                <c:pt idx="5">
                  <c:v>Strauss F.J.</c:v>
                </c:pt>
                <c:pt idx="6">
                  <c:v>Díaz F.</c:v>
                </c:pt>
                <c:pt idx="7">
                  <c:v>Henríquez-Olguín C.</c:v>
                </c:pt>
                <c:pt idx="8">
                  <c:v>López-Arana S.</c:v>
                </c:pt>
                <c:pt idx="9">
                  <c:v>Mariotti-Celis M.S.</c:v>
                </c:pt>
                <c:pt idx="10">
                  <c:v>Fernández-Verdejo R.</c:v>
                </c:pt>
                <c:pt idx="11">
                  <c:v>Cancino-López J.</c:v>
                </c:pt>
                <c:pt idx="12">
                  <c:v>Dreyse J.</c:v>
                </c:pt>
                <c:pt idx="13">
                  <c:v>Hidalgo M.</c:v>
                </c:pt>
                <c:pt idx="14">
                  <c:v>Bustos-Arriagada E.</c:v>
                </c:pt>
              </c:strCache>
            </c:strRef>
          </c:cat>
          <c:val>
            <c:numRef>
              <c:f>'Informe Cienciométrico (2)'!$B$74:$B$88</c:f>
              <c:numCache>
                <c:formatCode>#,##0</c:formatCode>
                <c:ptCount val="15"/>
                <c:pt idx="0">
                  <c:v>32</c:v>
                </c:pt>
                <c:pt idx="1">
                  <c:v>22</c:v>
                </c:pt>
                <c:pt idx="2">
                  <c:v>21</c:v>
                </c:pt>
                <c:pt idx="3">
                  <c:v>21</c:v>
                </c:pt>
                <c:pt idx="4">
                  <c:v>19</c:v>
                </c:pt>
                <c:pt idx="5">
                  <c:v>17</c:v>
                </c:pt>
                <c:pt idx="6">
                  <c:v>15</c:v>
                </c:pt>
                <c:pt idx="7">
                  <c:v>13</c:v>
                </c:pt>
                <c:pt idx="8">
                  <c:v>13</c:v>
                </c:pt>
                <c:pt idx="9">
                  <c:v>12</c:v>
                </c:pt>
                <c:pt idx="10">
                  <c:v>12</c:v>
                </c:pt>
                <c:pt idx="11">
                  <c:v>11</c:v>
                </c:pt>
                <c:pt idx="12">
                  <c:v>11</c:v>
                </c:pt>
                <c:pt idx="13">
                  <c:v>9</c:v>
                </c:pt>
                <c:pt idx="1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1A-44C2-B099-D6B5F08F7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28455887"/>
        <c:axId val="1628449231"/>
      </c:barChart>
      <c:catAx>
        <c:axId val="162845588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28449231"/>
        <c:crosses val="autoZero"/>
        <c:auto val="1"/>
        <c:lblAlgn val="ctr"/>
        <c:lblOffset val="100"/>
        <c:noMultiLvlLbl val="0"/>
      </c:catAx>
      <c:valAx>
        <c:axId val="162844923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28455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Distribución por n° de autores UFT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E75B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'Informe Cienciométrico (2)'!$A$98:$A$103</c:f>
              <c:strCache>
                <c:ptCount val="6"/>
                <c:pt idx="0">
                  <c:v>1 autor</c:v>
                </c:pt>
                <c:pt idx="1">
                  <c:v>2 autores</c:v>
                </c:pt>
                <c:pt idx="2">
                  <c:v>3 autores</c:v>
                </c:pt>
                <c:pt idx="3">
                  <c:v>4 autores</c:v>
                </c:pt>
                <c:pt idx="4">
                  <c:v>5 autores</c:v>
                </c:pt>
                <c:pt idx="5">
                  <c:v>6 o más</c:v>
                </c:pt>
              </c:strCache>
            </c:strRef>
          </c:cat>
          <c:val>
            <c:numRef>
              <c:f>'Informe Cienciométrico (2)'!$B$98:$B$103</c:f>
              <c:numCache>
                <c:formatCode>#,##0</c:formatCode>
                <c:ptCount val="6"/>
                <c:pt idx="0">
                  <c:v>451</c:v>
                </c:pt>
                <c:pt idx="1">
                  <c:v>68</c:v>
                </c:pt>
                <c:pt idx="2">
                  <c:v>31</c:v>
                </c:pt>
                <c:pt idx="3">
                  <c:v>21</c:v>
                </c:pt>
                <c:pt idx="4">
                  <c:v>4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11-450A-BE3E-7DBF84EB9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8445071"/>
        <c:axId val="1628449647"/>
      </c:barChart>
      <c:catAx>
        <c:axId val="1628445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28449647"/>
        <c:crosses val="autoZero"/>
        <c:auto val="1"/>
        <c:lblAlgn val="ctr"/>
        <c:lblOffset val="100"/>
        <c:noMultiLvlLbl val="0"/>
      </c:catAx>
      <c:valAx>
        <c:axId val="1628449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28445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Intensidad de participación UFT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E75B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'Informe Cienciométrico (2)'!$A$116:$A$120</c:f>
              <c:strCache>
                <c:ptCount val="5"/>
                <c:pt idx="0">
                  <c:v>100% (autoría íntegra UFT)</c:v>
                </c:pt>
                <c:pt idx="1">
                  <c:v>50% – 99%</c:v>
                </c:pt>
                <c:pt idx="2">
                  <c:v>25% – 49%</c:v>
                </c:pt>
                <c:pt idx="3">
                  <c:v>10% – 24%</c:v>
                </c:pt>
                <c:pt idx="4">
                  <c:v>&lt; 10%</c:v>
                </c:pt>
              </c:strCache>
            </c:strRef>
          </c:cat>
          <c:val>
            <c:numRef>
              <c:f>'Informe Cienciométrico (2)'!$B$116:$B$120</c:f>
              <c:numCache>
                <c:formatCode>#,##0</c:formatCode>
                <c:ptCount val="5"/>
                <c:pt idx="0">
                  <c:v>93</c:v>
                </c:pt>
                <c:pt idx="1">
                  <c:v>100</c:v>
                </c:pt>
                <c:pt idx="2">
                  <c:v>144</c:v>
                </c:pt>
                <c:pt idx="3">
                  <c:v>169</c:v>
                </c:pt>
                <c:pt idx="4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C8-441B-8CF8-C96EF0E83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8441743"/>
        <c:axId val="1628452975"/>
      </c:barChart>
      <c:catAx>
        <c:axId val="1628441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28452975"/>
        <c:crosses val="autoZero"/>
        <c:auto val="1"/>
        <c:lblAlgn val="ctr"/>
        <c:lblOffset val="100"/>
        <c:noMultiLvlLbl val="0"/>
      </c:catAx>
      <c:valAx>
        <c:axId val="1628452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28441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Producción por año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E75B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'Informe Cienciométrico (2)'!$A$13:$A$14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f>'Informe Cienciométrico (2)'!$B$13:$B$14</c:f>
              <c:numCache>
                <c:formatCode>#,##0</c:formatCode>
                <c:ptCount val="2"/>
                <c:pt idx="0">
                  <c:v>271</c:v>
                </c:pt>
                <c:pt idx="1">
                  <c:v>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5F-46CB-BD6A-6DF87F74F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3771327"/>
        <c:axId val="1623771743"/>
      </c:barChart>
      <c:catAx>
        <c:axId val="1623771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23771743"/>
        <c:crosses val="autoZero"/>
        <c:auto val="1"/>
        <c:lblAlgn val="ctr"/>
        <c:lblOffset val="100"/>
        <c:noMultiLvlLbl val="0"/>
      </c:catAx>
      <c:valAx>
        <c:axId val="1623771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23771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Tamaño de los equipos de investigación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E75B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'Informe Cienciométrico (2)'!$A$162:$A$167</c:f>
              <c:strCache>
                <c:ptCount val="6"/>
                <c:pt idx="0">
                  <c:v>1 (individual)</c:v>
                </c:pt>
                <c:pt idx="1">
                  <c:v>2 – 3</c:v>
                </c:pt>
                <c:pt idx="2">
                  <c:v>4 – 6</c:v>
                </c:pt>
                <c:pt idx="3">
                  <c:v>7 – 10</c:v>
                </c:pt>
                <c:pt idx="4">
                  <c:v>11 – 20</c:v>
                </c:pt>
                <c:pt idx="5">
                  <c:v>Más de 20</c:v>
                </c:pt>
              </c:strCache>
            </c:strRef>
          </c:cat>
          <c:val>
            <c:numRef>
              <c:f>'Informe Cienciométrico (2)'!$B$162:$B$167</c:f>
              <c:numCache>
                <c:formatCode>#,##0</c:formatCode>
                <c:ptCount val="6"/>
                <c:pt idx="0">
                  <c:v>49</c:v>
                </c:pt>
                <c:pt idx="1">
                  <c:v>162</c:v>
                </c:pt>
                <c:pt idx="2">
                  <c:v>180</c:v>
                </c:pt>
                <c:pt idx="3">
                  <c:v>105</c:v>
                </c:pt>
                <c:pt idx="4">
                  <c:v>74</c:v>
                </c:pt>
                <c:pt idx="5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7A-45C6-AC74-75F2B1CDA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2441599"/>
        <c:axId val="1362439103"/>
      </c:barChart>
      <c:catAx>
        <c:axId val="1362441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62439103"/>
        <c:crosses val="autoZero"/>
        <c:auto val="1"/>
        <c:lblAlgn val="ctr"/>
        <c:lblOffset val="100"/>
        <c:noMultiLvlLbl val="0"/>
      </c:catAx>
      <c:valAx>
        <c:axId val="136243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62441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Participación UFT media por tipo documental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E75B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'Informe Cienciométrico (2)'!$A$180:$A$185</c:f>
              <c:strCache>
                <c:ptCount val="6"/>
                <c:pt idx="0">
                  <c:v>Article</c:v>
                </c:pt>
                <c:pt idx="1">
                  <c:v>Review</c:v>
                </c:pt>
                <c:pt idx="2">
                  <c:v>Letter</c:v>
                </c:pt>
                <c:pt idx="3">
                  <c:v>Chapter</c:v>
                </c:pt>
                <c:pt idx="4">
                  <c:v>Conference Paper</c:v>
                </c:pt>
                <c:pt idx="5">
                  <c:v>Editorial</c:v>
                </c:pt>
              </c:strCache>
            </c:strRef>
          </c:cat>
          <c:val>
            <c:numRef>
              <c:f>'Informe Cienciométrico (2)'!$B$180:$B$185</c:f>
              <c:numCache>
                <c:formatCode>0.0%</c:formatCode>
                <c:ptCount val="6"/>
                <c:pt idx="0">
                  <c:v>0.38610970392001459</c:v>
                </c:pt>
                <c:pt idx="1">
                  <c:v>0.32647644175933432</c:v>
                </c:pt>
                <c:pt idx="2">
                  <c:v>0.5955404383975812</c:v>
                </c:pt>
                <c:pt idx="3">
                  <c:v>0.47408963585434166</c:v>
                </c:pt>
                <c:pt idx="4">
                  <c:v>0.39234693877551025</c:v>
                </c:pt>
                <c:pt idx="5">
                  <c:v>0.51262083780880774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1F-44FB-9D06-73C2B8926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72945343"/>
        <c:axId val="1372944927"/>
      </c:barChart>
      <c:catAx>
        <c:axId val="137294534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72944927"/>
        <c:crosses val="autoZero"/>
        <c:auto val="1"/>
        <c:lblAlgn val="ctr"/>
        <c:lblOffset val="100"/>
        <c:noMultiLvlLbl val="0"/>
      </c:catAx>
      <c:valAx>
        <c:axId val="137294492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72945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Indicadores de colaboración y visibilidad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E75B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'Informe Cienciométrico (2)'!$A$198:$A$203</c:f>
              <c:strCache>
                <c:ptCount val="6"/>
                <c:pt idx="0">
                  <c:v>Publicaciones con DOI</c:v>
                </c:pt>
                <c:pt idx="1">
                  <c:v>Autoría íntegra UFT (100%)</c:v>
                </c:pt>
                <c:pt idx="2">
                  <c:v>Con colaboración externa (&lt;100%)</c:v>
                </c:pt>
                <c:pt idx="3">
                  <c:v>Gran colaboración (&gt;10 autores)</c:v>
                </c:pt>
                <c:pt idx="4">
                  <c:v>Concentración en Top 5 revistas</c:v>
                </c:pt>
                <c:pt idx="5">
                  <c:v>Concentración en Top 10 revistas</c:v>
                </c:pt>
              </c:strCache>
            </c:strRef>
          </c:cat>
          <c:val>
            <c:numRef>
              <c:f>'Informe Cienciométrico (2)'!$B$198:$B$203</c:f>
              <c:numCache>
                <c:formatCode>0.0%</c:formatCode>
                <c:ptCount val="6"/>
                <c:pt idx="0">
                  <c:v>1</c:v>
                </c:pt>
                <c:pt idx="1">
                  <c:v>0.15789473684210525</c:v>
                </c:pt>
                <c:pt idx="2">
                  <c:v>0.83701188455008491</c:v>
                </c:pt>
                <c:pt idx="3">
                  <c:v>0.15619694397283532</c:v>
                </c:pt>
                <c:pt idx="4">
                  <c:v>0.12563667232597622</c:v>
                </c:pt>
                <c:pt idx="5">
                  <c:v>0.18166383701188454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9D-433F-9A81-87CBFA75D8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72947007"/>
        <c:axId val="1372945759"/>
      </c:barChart>
      <c:catAx>
        <c:axId val="137294700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72945759"/>
        <c:crosses val="autoZero"/>
        <c:auto val="1"/>
        <c:lblAlgn val="ctr"/>
        <c:lblOffset val="100"/>
        <c:noMultiLvlLbl val="0"/>
      </c:catAx>
      <c:valAx>
        <c:axId val="137294575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72947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Perfil de autoría UFT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F9A-4A80-8A2F-52DFDF07532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F9A-4A80-8A2F-52DFDF07532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'Informe Cienciométrico (2)'!$A$216:$A$217</c:f>
              <c:strCache>
                <c:ptCount val="2"/>
                <c:pt idx="0">
                  <c:v>Autoría íntegra UFT (100%)</c:v>
                </c:pt>
                <c:pt idx="1">
                  <c:v>En colaboración externa (&lt;100%)</c:v>
                </c:pt>
              </c:strCache>
            </c:strRef>
          </c:cat>
          <c:val>
            <c:numRef>
              <c:f>'Informe Cienciométrico (2)'!$B$216:$B$217</c:f>
              <c:numCache>
                <c:formatCode>#,##0</c:formatCode>
                <c:ptCount val="2"/>
                <c:pt idx="0">
                  <c:v>93</c:v>
                </c:pt>
                <c:pt idx="1">
                  <c:v>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F9A-4A80-8A2F-52DFDF0753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Tipología documental por año (2024 vs 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'Informe Cienciométrico (2)'!$B$141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9DC3E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'Informe Cienciométrico (2)'!$A$142:$A$147</c:f>
              <c:strCache>
                <c:ptCount val="6"/>
                <c:pt idx="0">
                  <c:v>Article</c:v>
                </c:pt>
                <c:pt idx="1">
                  <c:v>Review</c:v>
                </c:pt>
                <c:pt idx="2">
                  <c:v>Letter</c:v>
                </c:pt>
                <c:pt idx="3">
                  <c:v>Chapter</c:v>
                </c:pt>
                <c:pt idx="4">
                  <c:v>Conference Paper</c:v>
                </c:pt>
                <c:pt idx="5">
                  <c:v>Editorial</c:v>
                </c:pt>
              </c:strCache>
            </c:strRef>
          </c:cat>
          <c:val>
            <c:numRef>
              <c:f>'Informe Cienciométrico (2)'!$B$142:$B$147</c:f>
              <c:numCache>
                <c:formatCode>#,##0</c:formatCode>
                <c:ptCount val="6"/>
                <c:pt idx="0">
                  <c:v>197</c:v>
                </c:pt>
                <c:pt idx="1">
                  <c:v>39</c:v>
                </c:pt>
                <c:pt idx="2">
                  <c:v>9</c:v>
                </c:pt>
                <c:pt idx="3">
                  <c:v>14</c:v>
                </c:pt>
                <c:pt idx="4">
                  <c:v>4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51-417B-9DB3-737CE55EC250}"/>
            </c:ext>
          </c:extLst>
        </c:ser>
        <c:ser>
          <c:idx val="1"/>
          <c:order val="1"/>
          <c:tx>
            <c:strRef>
              <c:f>'Informe Cienciométrico (2)'!$C$141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1F4E7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'Informe Cienciométrico (2)'!$A$142:$A$147</c:f>
              <c:strCache>
                <c:ptCount val="6"/>
                <c:pt idx="0">
                  <c:v>Article</c:v>
                </c:pt>
                <c:pt idx="1">
                  <c:v>Review</c:v>
                </c:pt>
                <c:pt idx="2">
                  <c:v>Letter</c:v>
                </c:pt>
                <c:pt idx="3">
                  <c:v>Chapter</c:v>
                </c:pt>
                <c:pt idx="4">
                  <c:v>Conference Paper</c:v>
                </c:pt>
                <c:pt idx="5">
                  <c:v>Editorial</c:v>
                </c:pt>
              </c:strCache>
            </c:strRef>
          </c:cat>
          <c:val>
            <c:numRef>
              <c:f>'Informe Cienciométrico (2)'!$C$142:$C$147</c:f>
              <c:numCache>
                <c:formatCode>#,##0</c:formatCode>
                <c:ptCount val="6"/>
                <c:pt idx="0">
                  <c:v>215</c:v>
                </c:pt>
                <c:pt idx="1">
                  <c:v>64</c:v>
                </c:pt>
                <c:pt idx="2">
                  <c:v>12</c:v>
                </c:pt>
                <c:pt idx="3">
                  <c:v>3</c:v>
                </c:pt>
                <c:pt idx="4">
                  <c:v>10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51-417B-9DB3-737CE55EC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0617663"/>
        <c:axId val="1630618079"/>
      </c:barChart>
      <c:catAx>
        <c:axId val="1630617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30618079"/>
        <c:crosses val="autoZero"/>
        <c:auto val="1"/>
        <c:lblAlgn val="ctr"/>
        <c:lblOffset val="100"/>
        <c:noMultiLvlLbl val="0"/>
      </c:catAx>
      <c:valAx>
        <c:axId val="163061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30617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Publicaciones por tipo documental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E75B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'Informe Cienciométrico'!$A$30:$A$39</c:f>
              <c:strCache>
                <c:ptCount val="10"/>
                <c:pt idx="0">
                  <c:v>Article</c:v>
                </c:pt>
                <c:pt idx="1">
                  <c:v>Review</c:v>
                </c:pt>
                <c:pt idx="2">
                  <c:v>Letter</c:v>
                </c:pt>
                <c:pt idx="3">
                  <c:v>Conference Paper</c:v>
                </c:pt>
                <c:pt idx="4">
                  <c:v>Note</c:v>
                </c:pt>
                <c:pt idx="5">
                  <c:v>Editorial</c:v>
                </c:pt>
                <c:pt idx="6">
                  <c:v>Chapter</c:v>
                </c:pt>
                <c:pt idx="7">
                  <c:v>Short Survey</c:v>
                </c:pt>
                <c:pt idx="8">
                  <c:v>Erratum</c:v>
                </c:pt>
                <c:pt idx="9">
                  <c:v>Book</c:v>
                </c:pt>
              </c:strCache>
            </c:strRef>
          </c:cat>
          <c:val>
            <c:numRef>
              <c:f>'Informe Cienciométrico'!$B$30:$B$39</c:f>
              <c:numCache>
                <c:formatCode>#,##0</c:formatCode>
                <c:ptCount val="10"/>
                <c:pt idx="0">
                  <c:v>412</c:v>
                </c:pt>
                <c:pt idx="1">
                  <c:v>103</c:v>
                </c:pt>
                <c:pt idx="2">
                  <c:v>21</c:v>
                </c:pt>
                <c:pt idx="3">
                  <c:v>14</c:v>
                </c:pt>
                <c:pt idx="4">
                  <c:v>6</c:v>
                </c:pt>
                <c:pt idx="5">
                  <c:v>7</c:v>
                </c:pt>
                <c:pt idx="6">
                  <c:v>17</c:v>
                </c:pt>
                <c:pt idx="7">
                  <c:v>3</c:v>
                </c:pt>
                <c:pt idx="8">
                  <c:v>4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2D-4175-8FDC-88F6AEF4F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79115391"/>
        <c:axId val="1628448815"/>
      </c:barChart>
      <c:catAx>
        <c:axId val="127911539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28448815"/>
        <c:crosses val="autoZero"/>
        <c:auto val="1"/>
        <c:lblAlgn val="ctr"/>
        <c:lblOffset val="100"/>
        <c:noMultiLvlLbl val="0"/>
      </c:catAx>
      <c:valAx>
        <c:axId val="162844881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79115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15 revistas por número de publicaciones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E75B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'Informe Cienciométrico'!$A$50:$A$64</c:f>
              <c:strCache>
                <c:ptCount val="15"/>
                <c:pt idx="0">
                  <c:v>Revista Medica Clinica Las Condes</c:v>
                </c:pt>
                <c:pt idx="1">
                  <c:v>Diagnostics</c:v>
                </c:pt>
                <c:pt idx="2">
                  <c:v>Revista Chilena de Nutricion</c:v>
                </c:pt>
                <c:pt idx="3">
                  <c:v>International Journal of Sports Physiology and Performance</c:v>
                </c:pt>
                <c:pt idx="4">
                  <c:v>Antioxidants</c:v>
                </c:pt>
                <c:pt idx="5">
                  <c:v>Andes Pediatrica</c:v>
                </c:pt>
                <c:pt idx="6">
                  <c:v>International Journal of Molecular Sciences</c:v>
                </c:pt>
                <c:pt idx="7">
                  <c:v>Journal of Clinical Medicine</c:v>
                </c:pt>
                <c:pt idx="8">
                  <c:v>Piel</c:v>
                </c:pt>
                <c:pt idx="9">
                  <c:v>Obesity Surgery</c:v>
                </c:pt>
                <c:pt idx="10">
                  <c:v>Critical Care</c:v>
                </c:pt>
                <c:pt idx="11">
                  <c:v>Scientific Reports</c:v>
                </c:pt>
                <c:pt idx="12">
                  <c:v>Revista Medica de Chile</c:v>
                </c:pt>
                <c:pt idx="13">
                  <c:v>Retos</c:v>
                </c:pt>
                <c:pt idx="14">
                  <c:v>Frontiers in Psychology</c:v>
                </c:pt>
              </c:strCache>
            </c:strRef>
          </c:cat>
          <c:val>
            <c:numRef>
              <c:f>'Informe Cienciométrico'!$B$50:$B$64</c:f>
              <c:numCache>
                <c:formatCode>#,##0</c:formatCode>
                <c:ptCount val="15"/>
                <c:pt idx="0">
                  <c:v>35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4</c:v>
                </c:pt>
                <c:pt idx="1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B5-4867-9410-5F588CFA4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28446319"/>
        <c:axId val="1628447151"/>
      </c:barChart>
      <c:catAx>
        <c:axId val="162844631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28447151"/>
        <c:crosses val="autoZero"/>
        <c:auto val="1"/>
        <c:lblAlgn val="ctr"/>
        <c:lblOffset val="100"/>
        <c:noMultiLvlLbl val="0"/>
      </c:catAx>
      <c:valAx>
        <c:axId val="162844715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28446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15 investigadores UFT por número de publicaciones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E75B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'Informe Cienciométrico'!$A$74:$A$88</c:f>
              <c:strCache>
                <c:ptCount val="15"/>
                <c:pt idx="0">
                  <c:v>Orellana-Donoso M.</c:v>
                </c:pt>
                <c:pt idx="1">
                  <c:v>Yanine F.F.</c:v>
                </c:pt>
                <c:pt idx="2">
                  <c:v>Ferre A.</c:v>
                </c:pt>
                <c:pt idx="3">
                  <c:v>Mujika I.</c:v>
                </c:pt>
                <c:pt idx="4">
                  <c:v>Giglio A.</c:v>
                </c:pt>
                <c:pt idx="5">
                  <c:v>Strauss F.J.</c:v>
                </c:pt>
                <c:pt idx="6">
                  <c:v>Díaz F.</c:v>
                </c:pt>
                <c:pt idx="7">
                  <c:v>Henríquez-Olguín C.</c:v>
                </c:pt>
                <c:pt idx="8">
                  <c:v>López-Arana S.</c:v>
                </c:pt>
                <c:pt idx="9">
                  <c:v>Mariotti-Celis M.S.</c:v>
                </c:pt>
                <c:pt idx="10">
                  <c:v>Fernández-Verdejo R.</c:v>
                </c:pt>
                <c:pt idx="11">
                  <c:v>Cancino-López J.</c:v>
                </c:pt>
                <c:pt idx="12">
                  <c:v>Dreyse J.</c:v>
                </c:pt>
                <c:pt idx="13">
                  <c:v>Hidalgo M.</c:v>
                </c:pt>
                <c:pt idx="14">
                  <c:v>Bustos-Arriagada E.</c:v>
                </c:pt>
              </c:strCache>
            </c:strRef>
          </c:cat>
          <c:val>
            <c:numRef>
              <c:f>'Informe Cienciométrico'!$B$74:$B$88</c:f>
              <c:numCache>
                <c:formatCode>#,##0</c:formatCode>
                <c:ptCount val="15"/>
                <c:pt idx="0">
                  <c:v>32</c:v>
                </c:pt>
                <c:pt idx="1">
                  <c:v>22</c:v>
                </c:pt>
                <c:pt idx="2">
                  <c:v>21</c:v>
                </c:pt>
                <c:pt idx="3">
                  <c:v>21</c:v>
                </c:pt>
                <c:pt idx="4">
                  <c:v>19</c:v>
                </c:pt>
                <c:pt idx="5">
                  <c:v>17</c:v>
                </c:pt>
                <c:pt idx="6">
                  <c:v>15</c:v>
                </c:pt>
                <c:pt idx="7">
                  <c:v>13</c:v>
                </c:pt>
                <c:pt idx="8">
                  <c:v>13</c:v>
                </c:pt>
                <c:pt idx="9">
                  <c:v>12</c:v>
                </c:pt>
                <c:pt idx="10">
                  <c:v>12</c:v>
                </c:pt>
                <c:pt idx="11">
                  <c:v>11</c:v>
                </c:pt>
                <c:pt idx="12">
                  <c:v>11</c:v>
                </c:pt>
                <c:pt idx="13">
                  <c:v>9</c:v>
                </c:pt>
                <c:pt idx="1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20-4D62-98FF-F86B27EFA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28455887"/>
        <c:axId val="1628449231"/>
      </c:barChart>
      <c:catAx>
        <c:axId val="162845588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28449231"/>
        <c:crosses val="autoZero"/>
        <c:auto val="1"/>
        <c:lblAlgn val="ctr"/>
        <c:lblOffset val="100"/>
        <c:noMultiLvlLbl val="0"/>
      </c:catAx>
      <c:valAx>
        <c:axId val="162844923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28455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Distribución por n° de autores UFT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E75B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'Informe Cienciométrico'!$A$98:$A$103</c:f>
              <c:strCache>
                <c:ptCount val="6"/>
                <c:pt idx="0">
                  <c:v>1 autor</c:v>
                </c:pt>
                <c:pt idx="1">
                  <c:v>2 autores</c:v>
                </c:pt>
                <c:pt idx="2">
                  <c:v>3 autores</c:v>
                </c:pt>
                <c:pt idx="3">
                  <c:v>4 autores</c:v>
                </c:pt>
                <c:pt idx="4">
                  <c:v>5 autores</c:v>
                </c:pt>
                <c:pt idx="5">
                  <c:v>6 o más</c:v>
                </c:pt>
              </c:strCache>
            </c:strRef>
          </c:cat>
          <c:val>
            <c:numRef>
              <c:f>'Informe Cienciométrico'!$B$98:$B$103</c:f>
              <c:numCache>
                <c:formatCode>#,##0</c:formatCode>
                <c:ptCount val="6"/>
                <c:pt idx="0">
                  <c:v>451</c:v>
                </c:pt>
                <c:pt idx="1">
                  <c:v>68</c:v>
                </c:pt>
                <c:pt idx="2">
                  <c:v>31</c:v>
                </c:pt>
                <c:pt idx="3">
                  <c:v>21</c:v>
                </c:pt>
                <c:pt idx="4">
                  <c:v>4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D1-4BD8-B81D-CFC04DF28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8445071"/>
        <c:axId val="1628449647"/>
      </c:barChart>
      <c:catAx>
        <c:axId val="1628445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28449647"/>
        <c:crosses val="autoZero"/>
        <c:auto val="1"/>
        <c:lblAlgn val="ctr"/>
        <c:lblOffset val="100"/>
        <c:noMultiLvlLbl val="0"/>
      </c:catAx>
      <c:valAx>
        <c:axId val="1628449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28445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Intensidad de participación UFT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E75B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'Informe Cienciométrico'!$A$116:$A$120</c:f>
              <c:strCache>
                <c:ptCount val="5"/>
                <c:pt idx="0">
                  <c:v>100% (autoría íntegra UFT)</c:v>
                </c:pt>
                <c:pt idx="1">
                  <c:v>50% – 99%</c:v>
                </c:pt>
                <c:pt idx="2">
                  <c:v>25% – 49%</c:v>
                </c:pt>
                <c:pt idx="3">
                  <c:v>10% – 24%</c:v>
                </c:pt>
                <c:pt idx="4">
                  <c:v>&lt; 10%</c:v>
                </c:pt>
              </c:strCache>
            </c:strRef>
          </c:cat>
          <c:val>
            <c:numRef>
              <c:f>'Informe Cienciométrico'!$B$116:$B$120</c:f>
              <c:numCache>
                <c:formatCode>#,##0</c:formatCode>
                <c:ptCount val="5"/>
                <c:pt idx="0">
                  <c:v>93</c:v>
                </c:pt>
                <c:pt idx="1">
                  <c:v>100</c:v>
                </c:pt>
                <c:pt idx="2">
                  <c:v>144</c:v>
                </c:pt>
                <c:pt idx="3">
                  <c:v>169</c:v>
                </c:pt>
                <c:pt idx="4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99-42CB-B012-929CA45CE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8441743"/>
        <c:axId val="1628452975"/>
      </c:barChart>
      <c:catAx>
        <c:axId val="1628441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28452975"/>
        <c:crosses val="autoZero"/>
        <c:auto val="1"/>
        <c:lblAlgn val="ctr"/>
        <c:lblOffset val="100"/>
        <c:noMultiLvlLbl val="0"/>
      </c:catAx>
      <c:valAx>
        <c:axId val="1628452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28441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Producción por año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E75B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'Informe Cienciométrico'!$A$13:$A$14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f>'Informe Cienciométrico'!$B$13:$B$14</c:f>
              <c:numCache>
                <c:formatCode>#,##0</c:formatCode>
                <c:ptCount val="2"/>
                <c:pt idx="0">
                  <c:v>271</c:v>
                </c:pt>
                <c:pt idx="1">
                  <c:v>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BD-4782-951A-1F34723D0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3771327"/>
        <c:axId val="1623771743"/>
      </c:barChart>
      <c:catAx>
        <c:axId val="1623771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23771743"/>
        <c:crosses val="autoZero"/>
        <c:auto val="1"/>
        <c:lblAlgn val="ctr"/>
        <c:lblOffset val="100"/>
        <c:noMultiLvlLbl val="0"/>
      </c:catAx>
      <c:valAx>
        <c:axId val="1623771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23771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Tamaño de los equipos de investigación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E75B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'Informe Cienciométrico'!$A$162:$A$167</c:f>
              <c:strCache>
                <c:ptCount val="6"/>
                <c:pt idx="0">
                  <c:v>1 (individual)</c:v>
                </c:pt>
                <c:pt idx="1">
                  <c:v>2 – 3</c:v>
                </c:pt>
                <c:pt idx="2">
                  <c:v>4 – 6</c:v>
                </c:pt>
                <c:pt idx="3">
                  <c:v>7 – 10</c:v>
                </c:pt>
                <c:pt idx="4">
                  <c:v>11 – 20</c:v>
                </c:pt>
                <c:pt idx="5">
                  <c:v>Más de 20</c:v>
                </c:pt>
              </c:strCache>
            </c:strRef>
          </c:cat>
          <c:val>
            <c:numRef>
              <c:f>'Informe Cienciométrico'!$B$162:$B$167</c:f>
              <c:numCache>
                <c:formatCode>#,##0</c:formatCode>
                <c:ptCount val="6"/>
                <c:pt idx="0">
                  <c:v>49</c:v>
                </c:pt>
                <c:pt idx="1">
                  <c:v>162</c:v>
                </c:pt>
                <c:pt idx="2">
                  <c:v>180</c:v>
                </c:pt>
                <c:pt idx="3">
                  <c:v>105</c:v>
                </c:pt>
                <c:pt idx="4">
                  <c:v>74</c:v>
                </c:pt>
                <c:pt idx="5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21-405B-BF58-D3176ECFA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2441599"/>
        <c:axId val="1362439103"/>
      </c:barChart>
      <c:catAx>
        <c:axId val="1362441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62439103"/>
        <c:crosses val="autoZero"/>
        <c:auto val="1"/>
        <c:lblAlgn val="ctr"/>
        <c:lblOffset val="100"/>
        <c:noMultiLvlLbl val="0"/>
      </c:catAx>
      <c:valAx>
        <c:axId val="136243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62441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Participación UFT media por tipo documental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E75B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'Informe Cienciométrico'!$A$180:$A$185</c:f>
              <c:strCache>
                <c:ptCount val="6"/>
                <c:pt idx="0">
                  <c:v>Article</c:v>
                </c:pt>
                <c:pt idx="1">
                  <c:v>Review</c:v>
                </c:pt>
                <c:pt idx="2">
                  <c:v>Letter</c:v>
                </c:pt>
                <c:pt idx="3">
                  <c:v>Chapter</c:v>
                </c:pt>
                <c:pt idx="4">
                  <c:v>Conference Paper</c:v>
                </c:pt>
                <c:pt idx="5">
                  <c:v>Editorial</c:v>
                </c:pt>
              </c:strCache>
            </c:strRef>
          </c:cat>
          <c:val>
            <c:numRef>
              <c:f>'Informe Cienciométrico'!$B$180:$B$185</c:f>
              <c:numCache>
                <c:formatCode>0.0%</c:formatCode>
                <c:ptCount val="6"/>
                <c:pt idx="0">
                  <c:v>0.38610970392001459</c:v>
                </c:pt>
                <c:pt idx="1">
                  <c:v>0.32647644175933432</c:v>
                </c:pt>
                <c:pt idx="2">
                  <c:v>0.5955404383975812</c:v>
                </c:pt>
                <c:pt idx="3">
                  <c:v>0.47408963585434166</c:v>
                </c:pt>
                <c:pt idx="4">
                  <c:v>0.39234693877551025</c:v>
                </c:pt>
                <c:pt idx="5">
                  <c:v>0.51262083780880774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D7-4FCE-A0D6-9BE746139A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72945343"/>
        <c:axId val="1372944927"/>
      </c:barChart>
      <c:catAx>
        <c:axId val="137294534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72944927"/>
        <c:crosses val="autoZero"/>
        <c:auto val="1"/>
        <c:lblAlgn val="ctr"/>
        <c:lblOffset val="100"/>
        <c:noMultiLvlLbl val="0"/>
      </c:catAx>
      <c:valAx>
        <c:axId val="137294492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72945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Indicadores de colaboración y visibilidad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E75B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'Informe Cienciométrico'!$A$198:$A$203</c:f>
              <c:strCache>
                <c:ptCount val="6"/>
                <c:pt idx="0">
                  <c:v>Publicaciones con DOI</c:v>
                </c:pt>
                <c:pt idx="1">
                  <c:v>Autoría íntegra UFT (100%)</c:v>
                </c:pt>
                <c:pt idx="2">
                  <c:v>Con colaboración externa (&lt;100%)</c:v>
                </c:pt>
                <c:pt idx="3">
                  <c:v>Gran colaboración (&gt;10 autores)</c:v>
                </c:pt>
                <c:pt idx="4">
                  <c:v>Concentración en Top 5 revistas</c:v>
                </c:pt>
                <c:pt idx="5">
                  <c:v>Concentración en Top 10 revistas</c:v>
                </c:pt>
              </c:strCache>
            </c:strRef>
          </c:cat>
          <c:val>
            <c:numRef>
              <c:f>'Informe Cienciométrico'!$B$198:$B$203</c:f>
              <c:numCache>
                <c:formatCode>0.0%</c:formatCode>
                <c:ptCount val="6"/>
                <c:pt idx="0">
                  <c:v>1</c:v>
                </c:pt>
                <c:pt idx="1">
                  <c:v>0.15789473684210525</c:v>
                </c:pt>
                <c:pt idx="2">
                  <c:v>0.83701188455008491</c:v>
                </c:pt>
                <c:pt idx="3">
                  <c:v>0.15619694397283532</c:v>
                </c:pt>
                <c:pt idx="4">
                  <c:v>0.12563667232597622</c:v>
                </c:pt>
                <c:pt idx="5">
                  <c:v>0.18166383701188454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50-4FA6-A7FB-3AD2C1D3E3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72947007"/>
        <c:axId val="1372945759"/>
      </c:barChart>
      <c:catAx>
        <c:axId val="137294700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72945759"/>
        <c:crosses val="autoZero"/>
        <c:auto val="1"/>
        <c:lblAlgn val="ctr"/>
        <c:lblOffset val="100"/>
        <c:noMultiLvlLbl val="0"/>
      </c:catAx>
      <c:valAx>
        <c:axId val="137294575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72947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Perfil de autoría UFT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FC7-4CA9-9FDA-7480E4DCB2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FC7-4CA9-9FDA-7480E4DCB2F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'Informe Cienciométrico'!$A$216:$A$217</c:f>
              <c:strCache>
                <c:ptCount val="2"/>
                <c:pt idx="0">
                  <c:v>Autoría íntegra UFT (100%)</c:v>
                </c:pt>
                <c:pt idx="1">
                  <c:v>En colaboración externa (&lt;100%)</c:v>
                </c:pt>
              </c:strCache>
            </c:strRef>
          </c:cat>
          <c:val>
            <c:numRef>
              <c:f>'Informe Cienciométrico'!$B$216:$B$217</c:f>
              <c:numCache>
                <c:formatCode>#,##0</c:formatCode>
                <c:ptCount val="2"/>
                <c:pt idx="0">
                  <c:v>93</c:v>
                </c:pt>
                <c:pt idx="1">
                  <c:v>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19-4EBD-8573-CAFA0D079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Tipología documental por año (2024 vs 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'Informe Cienciométrico'!$B$141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9DC3E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'Informe Cienciométrico'!$A$142:$A$147</c:f>
              <c:strCache>
                <c:ptCount val="6"/>
                <c:pt idx="0">
                  <c:v>Article</c:v>
                </c:pt>
                <c:pt idx="1">
                  <c:v>Review</c:v>
                </c:pt>
                <c:pt idx="2">
                  <c:v>Letter</c:v>
                </c:pt>
                <c:pt idx="3">
                  <c:v>Chapter</c:v>
                </c:pt>
                <c:pt idx="4">
                  <c:v>Conference Paper</c:v>
                </c:pt>
                <c:pt idx="5">
                  <c:v>Editorial</c:v>
                </c:pt>
              </c:strCache>
            </c:strRef>
          </c:cat>
          <c:val>
            <c:numRef>
              <c:f>'Informe Cienciométrico'!$B$142:$B$147</c:f>
              <c:numCache>
                <c:formatCode>#,##0</c:formatCode>
                <c:ptCount val="6"/>
                <c:pt idx="0">
                  <c:v>197</c:v>
                </c:pt>
                <c:pt idx="1">
                  <c:v>39</c:v>
                </c:pt>
                <c:pt idx="2">
                  <c:v>9</c:v>
                </c:pt>
                <c:pt idx="3">
                  <c:v>14</c:v>
                </c:pt>
                <c:pt idx="4">
                  <c:v>4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2C-481C-92B7-26665B3FD75C}"/>
            </c:ext>
          </c:extLst>
        </c:ser>
        <c:ser>
          <c:idx val="1"/>
          <c:order val="1"/>
          <c:tx>
            <c:strRef>
              <c:f>'Informe Cienciométrico'!$C$141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1F4E7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'Informe Cienciométrico'!$A$142:$A$147</c:f>
              <c:strCache>
                <c:ptCount val="6"/>
                <c:pt idx="0">
                  <c:v>Article</c:v>
                </c:pt>
                <c:pt idx="1">
                  <c:v>Review</c:v>
                </c:pt>
                <c:pt idx="2">
                  <c:v>Letter</c:v>
                </c:pt>
                <c:pt idx="3">
                  <c:v>Chapter</c:v>
                </c:pt>
                <c:pt idx="4">
                  <c:v>Conference Paper</c:v>
                </c:pt>
                <c:pt idx="5">
                  <c:v>Editorial</c:v>
                </c:pt>
              </c:strCache>
            </c:strRef>
          </c:cat>
          <c:val>
            <c:numRef>
              <c:f>'Informe Cienciométrico'!$C$142:$C$147</c:f>
              <c:numCache>
                <c:formatCode>#,##0</c:formatCode>
                <c:ptCount val="6"/>
                <c:pt idx="0">
                  <c:v>215</c:v>
                </c:pt>
                <c:pt idx="1">
                  <c:v>64</c:v>
                </c:pt>
                <c:pt idx="2">
                  <c:v>12</c:v>
                </c:pt>
                <c:pt idx="3">
                  <c:v>3</c:v>
                </c:pt>
                <c:pt idx="4">
                  <c:v>10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2C-481C-92B7-26665B3FD7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0617663"/>
        <c:axId val="1630618079"/>
      </c:barChart>
      <c:catAx>
        <c:axId val="1630617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30618079"/>
        <c:crosses val="autoZero"/>
        <c:auto val="1"/>
        <c:lblAlgn val="ctr"/>
        <c:lblOffset val="100"/>
        <c:noMultiLvlLbl val="0"/>
      </c:catAx>
      <c:valAx>
        <c:axId val="163061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30617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11" Type="http://schemas.openxmlformats.org/officeDocument/2006/relationships/chart" Target="../charts/chart14.xml"/><Relationship Id="rId5" Type="http://schemas.openxmlformats.org/officeDocument/2006/relationships/chart" Target="../charts/chart8.xml"/><Relationship Id="rId10" Type="http://schemas.openxmlformats.org/officeDocument/2006/relationships/chart" Target="../charts/chart13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2.xml"/><Relationship Id="rId3" Type="http://schemas.openxmlformats.org/officeDocument/2006/relationships/chart" Target="../charts/chart17.xml"/><Relationship Id="rId7" Type="http://schemas.openxmlformats.org/officeDocument/2006/relationships/chart" Target="../charts/chart21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11" Type="http://schemas.openxmlformats.org/officeDocument/2006/relationships/chart" Target="../charts/chart25.xml"/><Relationship Id="rId5" Type="http://schemas.openxmlformats.org/officeDocument/2006/relationships/chart" Target="../charts/chart19.xml"/><Relationship Id="rId10" Type="http://schemas.openxmlformats.org/officeDocument/2006/relationships/chart" Target="../charts/chart24.xml"/><Relationship Id="rId4" Type="http://schemas.openxmlformats.org/officeDocument/2006/relationships/chart" Target="../charts/chart18.xml"/><Relationship Id="rId9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9524</xdr:colOff>
      <xdr:row>3</xdr:row>
      <xdr:rowOff>9525</xdr:rowOff>
    </xdr:from>
    <xdr:to>
      <xdr:col>25</xdr:col>
      <xdr:colOff>28574</xdr:colOff>
      <xdr:row>20</xdr:row>
      <xdr:rowOff>40005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EEBDC97-8638-45FA-9776-B54C4887C1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9524</xdr:colOff>
      <xdr:row>21</xdr:row>
      <xdr:rowOff>38100</xdr:rowOff>
    </xdr:from>
    <xdr:to>
      <xdr:col>25</xdr:col>
      <xdr:colOff>28574</xdr:colOff>
      <xdr:row>33</xdr:row>
      <xdr:rowOff>57150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7B171DB-3BB3-4302-A7BE-4833C3E86A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9524</xdr:colOff>
      <xdr:row>34</xdr:row>
      <xdr:rowOff>59055</xdr:rowOff>
    </xdr:from>
    <xdr:to>
      <xdr:col>25</xdr:col>
      <xdr:colOff>28574</xdr:colOff>
      <xdr:row>47</xdr:row>
      <xdr:rowOff>81915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0D4D3D8-AE5D-44D8-868D-8615A7CA0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27</xdr:row>
      <xdr:rowOff>0</xdr:rowOff>
    </xdr:from>
    <xdr:to>
      <xdr:col>13</xdr:col>
      <xdr:colOff>0</xdr:colOff>
      <xdr:row>46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2F7A233-E501-4410-B112-E992A9B3A0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47</xdr:row>
      <xdr:rowOff>0</xdr:rowOff>
    </xdr:from>
    <xdr:to>
      <xdr:col>13</xdr:col>
      <xdr:colOff>0</xdr:colOff>
      <xdr:row>70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ABDD77F-718E-4E2D-9FF5-4950780AAB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71</xdr:row>
      <xdr:rowOff>0</xdr:rowOff>
    </xdr:from>
    <xdr:to>
      <xdr:col>13</xdr:col>
      <xdr:colOff>0</xdr:colOff>
      <xdr:row>94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1F7DED0-4E00-4922-8D4B-494F177638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95</xdr:row>
      <xdr:rowOff>0</xdr:rowOff>
    </xdr:from>
    <xdr:to>
      <xdr:col>13</xdr:col>
      <xdr:colOff>0</xdr:colOff>
      <xdr:row>112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7AA3413-3727-44DA-8A10-DA2F2F6273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0</xdr:colOff>
      <xdr:row>113</xdr:row>
      <xdr:rowOff>0</xdr:rowOff>
    </xdr:from>
    <xdr:to>
      <xdr:col>13</xdr:col>
      <xdr:colOff>0</xdr:colOff>
      <xdr:row>130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8C814F7-F180-4BA2-A5CF-D57AA2C4F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0</xdr:colOff>
      <xdr:row>10</xdr:row>
      <xdr:rowOff>0</xdr:rowOff>
    </xdr:from>
    <xdr:to>
      <xdr:col>13</xdr:col>
      <xdr:colOff>0</xdr:colOff>
      <xdr:row>26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EA4E898E-260D-476B-BDF7-74C122B78D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0</xdr:colOff>
      <xdr:row>159</xdr:row>
      <xdr:rowOff>1</xdr:rowOff>
    </xdr:from>
    <xdr:to>
      <xdr:col>13</xdr:col>
      <xdr:colOff>0</xdr:colOff>
      <xdr:row>176</xdr:row>
      <xdr:rowOff>1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7142C6B-4C96-4FFA-BCBC-0A86D8B226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0</xdr:colOff>
      <xdr:row>176</xdr:row>
      <xdr:rowOff>182879</xdr:rowOff>
    </xdr:from>
    <xdr:to>
      <xdr:col>13</xdr:col>
      <xdr:colOff>0</xdr:colOff>
      <xdr:row>193</xdr:row>
      <xdr:rowOff>182879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EEB26536-D77F-412B-BDA8-2601216577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0</xdr:colOff>
      <xdr:row>194</xdr:row>
      <xdr:rowOff>182879</xdr:rowOff>
    </xdr:from>
    <xdr:to>
      <xdr:col>13</xdr:col>
      <xdr:colOff>0</xdr:colOff>
      <xdr:row>211</xdr:row>
      <xdr:rowOff>182879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92E6B2C3-4C07-4EA1-AED8-8B2B8F175A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0</xdr:colOff>
      <xdr:row>213</xdr:row>
      <xdr:rowOff>0</xdr:rowOff>
    </xdr:from>
    <xdr:to>
      <xdr:col>13</xdr:col>
      <xdr:colOff>0</xdr:colOff>
      <xdr:row>230</xdr:row>
      <xdr:rowOff>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8F6BFDD9-86CE-4561-8BCE-FF06632BE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0</xdr:colOff>
      <xdr:row>139</xdr:row>
      <xdr:rowOff>0</xdr:rowOff>
    </xdr:from>
    <xdr:to>
      <xdr:col>13</xdr:col>
      <xdr:colOff>0</xdr:colOff>
      <xdr:row>158</xdr:row>
      <xdr:rowOff>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4ADD9C87-A593-4B45-AFF0-AFD828940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27</xdr:row>
      <xdr:rowOff>0</xdr:rowOff>
    </xdr:from>
    <xdr:to>
      <xdr:col>13</xdr:col>
      <xdr:colOff>0</xdr:colOff>
      <xdr:row>46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6CF94F7-60D2-4A98-90BE-B996FAD8E3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47</xdr:row>
      <xdr:rowOff>0</xdr:rowOff>
    </xdr:from>
    <xdr:to>
      <xdr:col>13</xdr:col>
      <xdr:colOff>0</xdr:colOff>
      <xdr:row>70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4901E3E-86EC-4B8C-8E23-67329FB089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71</xdr:row>
      <xdr:rowOff>0</xdr:rowOff>
    </xdr:from>
    <xdr:to>
      <xdr:col>13</xdr:col>
      <xdr:colOff>0</xdr:colOff>
      <xdr:row>94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1C8A46A-DAFD-4F19-95D6-E5F60756ED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95</xdr:row>
      <xdr:rowOff>0</xdr:rowOff>
    </xdr:from>
    <xdr:to>
      <xdr:col>13</xdr:col>
      <xdr:colOff>0</xdr:colOff>
      <xdr:row>112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0917158-D7F9-4B2C-917A-D144C2B37A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0</xdr:colOff>
      <xdr:row>113</xdr:row>
      <xdr:rowOff>0</xdr:rowOff>
    </xdr:from>
    <xdr:to>
      <xdr:col>13</xdr:col>
      <xdr:colOff>0</xdr:colOff>
      <xdr:row>130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FCDBDC7-E277-43D3-97D6-4DF3445869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0</xdr:colOff>
      <xdr:row>10</xdr:row>
      <xdr:rowOff>0</xdr:rowOff>
    </xdr:from>
    <xdr:to>
      <xdr:col>13</xdr:col>
      <xdr:colOff>0</xdr:colOff>
      <xdr:row>26</xdr:row>
      <xdr:rowOff>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C4E1B3A-2299-4917-A9F0-9D6CC39909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0</xdr:colOff>
      <xdr:row>159</xdr:row>
      <xdr:rowOff>1</xdr:rowOff>
    </xdr:from>
    <xdr:to>
      <xdr:col>13</xdr:col>
      <xdr:colOff>0</xdr:colOff>
      <xdr:row>176</xdr:row>
      <xdr:rowOff>1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A91637DC-7706-460A-9EA4-967DE672D0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0</xdr:colOff>
      <xdr:row>176</xdr:row>
      <xdr:rowOff>182879</xdr:rowOff>
    </xdr:from>
    <xdr:to>
      <xdr:col>13</xdr:col>
      <xdr:colOff>0</xdr:colOff>
      <xdr:row>193</xdr:row>
      <xdr:rowOff>182879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46D31CFF-095F-4F59-A0CC-B5EEA2CB92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0</xdr:colOff>
      <xdr:row>194</xdr:row>
      <xdr:rowOff>182879</xdr:rowOff>
    </xdr:from>
    <xdr:to>
      <xdr:col>13</xdr:col>
      <xdr:colOff>0</xdr:colOff>
      <xdr:row>211</xdr:row>
      <xdr:rowOff>182879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C22C5F6A-395C-4209-BB5D-214601161A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0</xdr:colOff>
      <xdr:row>213</xdr:row>
      <xdr:rowOff>0</xdr:rowOff>
    </xdr:from>
    <xdr:to>
      <xdr:col>13</xdr:col>
      <xdr:colOff>0</xdr:colOff>
      <xdr:row>230</xdr:row>
      <xdr:rowOff>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3FDF75AB-364A-46A3-80C0-BC8B2942ED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0</xdr:colOff>
      <xdr:row>139</xdr:row>
      <xdr:rowOff>0</xdr:rowOff>
    </xdr:from>
    <xdr:to>
      <xdr:col>13</xdr:col>
      <xdr:colOff>0</xdr:colOff>
      <xdr:row>158</xdr:row>
      <xdr:rowOff>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52C1634B-619E-4F8F-A9C6-F124D808A0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846ED2-61E3-460C-A4E3-C9E9398E3F02}" name="PublicacionesUnicas" displayName="PublicacionesUnicas" ref="A1:J590" totalsRowShown="0" dataDxfId="10">
  <autoFilter ref="A1:J590" xr:uid="{28846ED2-61E3-460C-A4E3-C9E9398E3F02}"/>
  <tableColumns count="10">
    <tableColumn id="1" xr3:uid="{C06D4D6F-96B4-473D-A4C3-39BFE16494BE}" name="#" dataDxfId="9"/>
    <tableColumn id="2" xr3:uid="{AD2252CF-4259-4869-BE8E-A8606B90329A}" name="Título" dataDxfId="8"/>
    <tableColumn id="3" xr3:uid="{A59E43DE-768A-4043-A679-4C75D2B96B70}" name="Año" dataDxfId="7"/>
    <tableColumn id="4" xr3:uid="{D554711F-03B8-4B25-B359-97FA1DA27A73}" name="Tipo" dataDxfId="6"/>
    <tableColumn id="5" xr3:uid="{ED076054-E640-4CAE-83C4-21A04B798AA0}" name="Revista" dataDxfId="5"/>
    <tableColumn id="6" xr3:uid="{30F99814-4C3D-4DAC-91E5-0FEB4CAC9560}" name="N° autores UFT" dataDxfId="4">
      <calculatedColumnFormula>IF($G2="",0,LEN($G2)-LEN(SUBSTITUTE($G2,"|",""))+1)</calculatedColumnFormula>
    </tableColumn>
    <tableColumn id="7" xr3:uid="{4A34E85E-8B88-4A24-AA40-F4B08E4226BC}" name="Autores UFT (autoría / coautoría)" dataDxfId="3"/>
    <tableColumn id="8" xr3:uid="{5BF8AC41-A71B-4121-928C-3ECA45EED6AE}" name="DOI" dataDxfId="2"/>
    <tableColumn id="9" xr3:uid="{C8E0B4ED-5F77-4B8F-BAB9-6652909DD19A}" name="N° autores (total)" dataDxfId="1"/>
    <tableColumn id="10" xr3:uid="{44C0A6CB-AF35-4F61-9286-A95034124B1A}" name="% part. UFT" dataDxfId="0">
      <calculatedColumnFormula>IFERROR(F2/I2,"")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ED76014-E653-4A97-AE41-1C4D335495A7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d90b4e1e-9bc0-452c-a4c9-c6881d2e541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1111/ejed.70063" TargetMode="External"/><Relationship Id="rId21" Type="http://schemas.openxmlformats.org/officeDocument/2006/relationships/hyperlink" Target="https://doi.org/10.1007/s11695-025-07685-z" TargetMode="External"/><Relationship Id="rId324" Type="http://schemas.openxmlformats.org/officeDocument/2006/relationships/hyperlink" Target="https://doi.org/10.16995/AH.9054" TargetMode="External"/><Relationship Id="rId531" Type="http://schemas.openxmlformats.org/officeDocument/2006/relationships/hyperlink" Target="https://doi.org/10.3389/feduc.2024.1455387" TargetMode="External"/><Relationship Id="rId170" Type="http://schemas.openxmlformats.org/officeDocument/2006/relationships/hyperlink" Target="https://doi.org/10.1152/ajpheart.00219.2025" TargetMode="External"/><Relationship Id="rId268" Type="http://schemas.openxmlformats.org/officeDocument/2006/relationships/hyperlink" Target="https://doi.org/10.1080/02668734.2025.2576057" TargetMode="External"/><Relationship Id="rId475" Type="http://schemas.openxmlformats.org/officeDocument/2006/relationships/hyperlink" Target="https://doi.org/10.1109/CLEI64178.2024.10700354" TargetMode="External"/><Relationship Id="rId32" Type="http://schemas.openxmlformats.org/officeDocument/2006/relationships/hyperlink" Target="https://doi.org/10.64159/RCHNUT-52-4-8" TargetMode="External"/><Relationship Id="rId128" Type="http://schemas.openxmlformats.org/officeDocument/2006/relationships/hyperlink" Target="https://doi.org/10.17126/joralres.2025.020" TargetMode="External"/><Relationship Id="rId335" Type="http://schemas.openxmlformats.org/officeDocument/2006/relationships/hyperlink" Target="https://doi.org/10.3390/diagnostics14131458" TargetMode="External"/><Relationship Id="rId542" Type="http://schemas.openxmlformats.org/officeDocument/2006/relationships/hyperlink" Target="https://doi.org/10.3390/antiox13091046" TargetMode="External"/><Relationship Id="rId181" Type="http://schemas.openxmlformats.org/officeDocument/2006/relationships/hyperlink" Target="https://doi.org/10.7238/artnodes.v0i36.431891" TargetMode="External"/><Relationship Id="rId402" Type="http://schemas.openxmlformats.org/officeDocument/2006/relationships/hyperlink" Target="https://doi.org/10.1002/cne.25657" TargetMode="External"/><Relationship Id="rId279" Type="http://schemas.openxmlformats.org/officeDocument/2006/relationships/hyperlink" Target="https://doi.org/10.3389/fspor.2025.1557774" TargetMode="External"/><Relationship Id="rId486" Type="http://schemas.openxmlformats.org/officeDocument/2006/relationships/hyperlink" Target="https://doi.org/10.1177/10283153231221652" TargetMode="External"/><Relationship Id="rId43" Type="http://schemas.openxmlformats.org/officeDocument/2006/relationships/hyperlink" Target="https://doi.org/10.4067/s0717-6643202500020197" TargetMode="External"/><Relationship Id="rId139" Type="http://schemas.openxmlformats.org/officeDocument/2006/relationships/hyperlink" Target="https://doi.org/10.1016/j.foodchem.2025.144091" TargetMode="External"/><Relationship Id="rId346" Type="http://schemas.openxmlformats.org/officeDocument/2006/relationships/hyperlink" Target="https://doi.org/10.1002/cre2.939" TargetMode="External"/><Relationship Id="rId553" Type="http://schemas.openxmlformats.org/officeDocument/2006/relationships/hyperlink" Target="https://doi.org/10.1080/14759551.2023.2294999" TargetMode="External"/><Relationship Id="rId192" Type="http://schemas.openxmlformats.org/officeDocument/2006/relationships/hyperlink" Target="https://doi.org/10.3390/jpm15090427" TargetMode="External"/><Relationship Id="rId206" Type="http://schemas.openxmlformats.org/officeDocument/2006/relationships/hyperlink" Target="https://doi.org/10.3390/nu17213481" TargetMode="External"/><Relationship Id="rId413" Type="http://schemas.openxmlformats.org/officeDocument/2006/relationships/hyperlink" Target="https://doi.org/10.1007/s00426-023-01887-9" TargetMode="External"/><Relationship Id="rId497" Type="http://schemas.openxmlformats.org/officeDocument/2006/relationships/hyperlink" Target="https://doi.org/10.3390/jcm13133836" TargetMode="External"/><Relationship Id="rId357" Type="http://schemas.openxmlformats.org/officeDocument/2006/relationships/hyperlink" Target="https://doi.org/10.1016/j.ssaho.2024.100883" TargetMode="External"/><Relationship Id="rId54" Type="http://schemas.openxmlformats.org/officeDocument/2006/relationships/hyperlink" Target="https://doi.org/10.1016/j.rmclc.2025.01.001" TargetMode="External"/><Relationship Id="rId217" Type="http://schemas.openxmlformats.org/officeDocument/2006/relationships/hyperlink" Target="https://doi.org/10.1108/IJSHE-02-2024-0129" TargetMode="External"/><Relationship Id="rId564" Type="http://schemas.openxmlformats.org/officeDocument/2006/relationships/hyperlink" Target="https://doi.org/10.1002/jum.16373" TargetMode="External"/><Relationship Id="rId424" Type="http://schemas.openxmlformats.org/officeDocument/2006/relationships/hyperlink" Target="https://doi.org/10.1140/epjds/s13688-024-00455-4" TargetMode="External"/><Relationship Id="rId270" Type="http://schemas.openxmlformats.org/officeDocument/2006/relationships/hyperlink" Target="https://doi.org/10.1113/JP289019" TargetMode="External"/><Relationship Id="rId65" Type="http://schemas.openxmlformats.org/officeDocument/2006/relationships/hyperlink" Target="https://doi.org/10.32641/andespediatr.v96i3.5679" TargetMode="External"/><Relationship Id="rId130" Type="http://schemas.openxmlformats.org/officeDocument/2006/relationships/hyperlink" Target="https://doi.org/10.3390/biomedicines13051179" TargetMode="External"/><Relationship Id="rId368" Type="http://schemas.openxmlformats.org/officeDocument/2006/relationships/hyperlink" Target="https://doi.org/10.1002/jso.27829" TargetMode="External"/><Relationship Id="rId575" Type="http://schemas.openxmlformats.org/officeDocument/2006/relationships/hyperlink" Target="https://doi.org/10.4067/s0034-98872024000200225" TargetMode="External"/><Relationship Id="rId228" Type="http://schemas.openxmlformats.org/officeDocument/2006/relationships/hyperlink" Target="https://doi.org/10.5209/rpub.98780" TargetMode="External"/><Relationship Id="rId435" Type="http://schemas.openxmlformats.org/officeDocument/2006/relationships/hyperlink" Target="https://doi.org/10.1007/978-981-97-1814-6_69" TargetMode="External"/><Relationship Id="rId281" Type="http://schemas.openxmlformats.org/officeDocument/2006/relationships/hyperlink" Target="https://doi.org/10.7764/PEL.62.2.2025.7" TargetMode="External"/><Relationship Id="rId502" Type="http://schemas.openxmlformats.org/officeDocument/2006/relationships/hyperlink" Target="https://doi.org/10.1136/bcr-2024-263287" TargetMode="External"/><Relationship Id="rId34" Type="http://schemas.openxmlformats.org/officeDocument/2006/relationships/hyperlink" Target="https://doi.org/10.1016/j.jvoice.2025.04.010" TargetMode="External"/><Relationship Id="rId76" Type="http://schemas.openxmlformats.org/officeDocument/2006/relationships/hyperlink" Target="https://doi.org/10.3390/antiox14111369" TargetMode="External"/><Relationship Id="rId141" Type="http://schemas.openxmlformats.org/officeDocument/2006/relationships/hyperlink" Target="https://doi.org/10.1016/j.lwt.2025.118398" TargetMode="External"/><Relationship Id="rId379" Type="http://schemas.openxmlformats.org/officeDocument/2006/relationships/hyperlink" Target="https://doi.org/10.1038/s41380-023-02055-6" TargetMode="External"/><Relationship Id="rId544" Type="http://schemas.openxmlformats.org/officeDocument/2006/relationships/hyperlink" Target="https://doi.org/10.1123/ijspp.2023-0451" TargetMode="External"/><Relationship Id="rId7" Type="http://schemas.openxmlformats.org/officeDocument/2006/relationships/hyperlink" Target="https://doi.org/10.3390/diagnostics15151858" TargetMode="External"/><Relationship Id="rId183" Type="http://schemas.openxmlformats.org/officeDocument/2006/relationships/hyperlink" Target="https://doi.org/10.1016/j.piel.2024.03.020" TargetMode="External"/><Relationship Id="rId239" Type="http://schemas.openxmlformats.org/officeDocument/2006/relationships/hyperlink" Target="https://doi.org/10.1016/j.ssaho.2025.102231" TargetMode="External"/><Relationship Id="rId390" Type="http://schemas.openxmlformats.org/officeDocument/2006/relationships/hyperlink" Target="https://doi.org/10.1016/j.egyr.2024.06.030" TargetMode="External"/><Relationship Id="rId404" Type="http://schemas.openxmlformats.org/officeDocument/2006/relationships/hyperlink" Target="https://doi.org/10.1111/clr.14325" TargetMode="External"/><Relationship Id="rId446" Type="http://schemas.openxmlformats.org/officeDocument/2006/relationships/hyperlink" Target="https://doi.org/10.7764/onomazein.65.04" TargetMode="External"/><Relationship Id="rId250" Type="http://schemas.openxmlformats.org/officeDocument/2006/relationships/hyperlink" Target="https://doi.org/10.1016/j.apsusc.2025.163872" TargetMode="External"/><Relationship Id="rId292" Type="http://schemas.openxmlformats.org/officeDocument/2006/relationships/hyperlink" Target="https://doi.org/10.62161/revvisual.v17.5760" TargetMode="External"/><Relationship Id="rId306" Type="http://schemas.openxmlformats.org/officeDocument/2006/relationships/hyperlink" Target="https://doi.org/10.3390/data10070093" TargetMode="External"/><Relationship Id="rId488" Type="http://schemas.openxmlformats.org/officeDocument/2006/relationships/hyperlink" Target="https://doi.org/10.4067/s0717-75182024000200111" TargetMode="External"/><Relationship Id="rId45" Type="http://schemas.openxmlformats.org/officeDocument/2006/relationships/hyperlink" Target="https://doi.org/10.1210/clinem/dgaf247" TargetMode="External"/><Relationship Id="rId87" Type="http://schemas.openxmlformats.org/officeDocument/2006/relationships/hyperlink" Target="https://doi.org/10.1007/978-981-96-2747-9_12" TargetMode="External"/><Relationship Id="rId110" Type="http://schemas.openxmlformats.org/officeDocument/2006/relationships/hyperlink" Target="https://doi.org/10.1080/09513590.2025.2456578" TargetMode="External"/><Relationship Id="rId348" Type="http://schemas.openxmlformats.org/officeDocument/2006/relationships/hyperlink" Target="https://doi.org/10.31637/epsir-2024-719" TargetMode="External"/><Relationship Id="rId513" Type="http://schemas.openxmlformats.org/officeDocument/2006/relationships/hyperlink" Target="https://doi.org/10.1017/S0007114523001927" TargetMode="External"/><Relationship Id="rId555" Type="http://schemas.openxmlformats.org/officeDocument/2006/relationships/hyperlink" Target="https://doi.org/10.1016/j.abd.2023.12.007" TargetMode="External"/><Relationship Id="rId152" Type="http://schemas.openxmlformats.org/officeDocument/2006/relationships/hyperlink" Target="https://doi.org/10.1186/s13690-025-01664-7" TargetMode="External"/><Relationship Id="rId194" Type="http://schemas.openxmlformats.org/officeDocument/2006/relationships/hyperlink" Target="https://doi.org/10.1123/ijspp.2025-0185" TargetMode="External"/><Relationship Id="rId208" Type="http://schemas.openxmlformats.org/officeDocument/2006/relationships/hyperlink" Target="https://doi.org/10.4317/jced.63004" TargetMode="External"/><Relationship Id="rId415" Type="http://schemas.openxmlformats.org/officeDocument/2006/relationships/hyperlink" Target="https://doi.org/10.3389/fpsyg.2024.1419202" TargetMode="External"/><Relationship Id="rId457" Type="http://schemas.openxmlformats.org/officeDocument/2006/relationships/hyperlink" Target="https://doi.org/10.1201/9781003481836-10" TargetMode="External"/><Relationship Id="rId261" Type="http://schemas.openxmlformats.org/officeDocument/2006/relationships/hyperlink" Target="https://doi.org/10.64159/RCHNUT-52-6-7" TargetMode="External"/><Relationship Id="rId499" Type="http://schemas.openxmlformats.org/officeDocument/2006/relationships/hyperlink" Target="https://doi.org/10.1097/PCC.0000000000003500" TargetMode="External"/><Relationship Id="rId14" Type="http://schemas.openxmlformats.org/officeDocument/2006/relationships/hyperlink" Target="https://doi.org/10.26754/ojs_zarch/zarch.20252411151" TargetMode="External"/><Relationship Id="rId56" Type="http://schemas.openxmlformats.org/officeDocument/2006/relationships/hyperlink" Target="https://doi.org/10.1111/febs.70289" TargetMode="External"/><Relationship Id="rId317" Type="http://schemas.openxmlformats.org/officeDocument/2006/relationships/hyperlink" Target="https://doi.org/10.1016/j.lwt.2023.115674" TargetMode="External"/><Relationship Id="rId359" Type="http://schemas.openxmlformats.org/officeDocument/2006/relationships/hyperlink" Target="https://doi.org/10.1007/978-3-031-70043-9_6" TargetMode="External"/><Relationship Id="rId524" Type="http://schemas.openxmlformats.org/officeDocument/2006/relationships/hyperlink" Target="https://doi.org/10.1161/JAHA.123.035152" TargetMode="External"/><Relationship Id="rId566" Type="http://schemas.openxmlformats.org/officeDocument/2006/relationships/hyperlink" Target="https://doi.org/10.1242/jeb.249307" TargetMode="External"/><Relationship Id="rId98" Type="http://schemas.openxmlformats.org/officeDocument/2006/relationships/hyperlink" Target="https://doi.org/10.3390/psychiatryint6020046" TargetMode="External"/><Relationship Id="rId121" Type="http://schemas.openxmlformats.org/officeDocument/2006/relationships/hyperlink" Target="https://doi.org/10.3390/sports13030086" TargetMode="External"/><Relationship Id="rId163" Type="http://schemas.openxmlformats.org/officeDocument/2006/relationships/hyperlink" Target="https://doi.org/10.1016/j.rmclc.2025.12.004" TargetMode="External"/><Relationship Id="rId219" Type="http://schemas.openxmlformats.org/officeDocument/2006/relationships/hyperlink" Target="https://doi.org/10.32641/andespediatr.v96i6.6008" TargetMode="External"/><Relationship Id="rId370" Type="http://schemas.openxmlformats.org/officeDocument/2006/relationships/hyperlink" Target="https://doi.org/10.1016/j.jdent.2024.105306" TargetMode="External"/><Relationship Id="rId426" Type="http://schemas.openxmlformats.org/officeDocument/2006/relationships/hyperlink" Target="https://doi.org/10.3390/foods13020265" TargetMode="External"/><Relationship Id="rId230" Type="http://schemas.openxmlformats.org/officeDocument/2006/relationships/hyperlink" Target="https://doi.org/10.1038/s41597-025-05345-6" TargetMode="External"/><Relationship Id="rId468" Type="http://schemas.openxmlformats.org/officeDocument/2006/relationships/hyperlink" Target="https://doi.org/10.23854/autoc.v8i1.357" TargetMode="External"/><Relationship Id="rId25" Type="http://schemas.openxmlformats.org/officeDocument/2006/relationships/hyperlink" Target="https://doi.org/10.3390/diagnostics15131618" TargetMode="External"/><Relationship Id="rId67" Type="http://schemas.openxmlformats.org/officeDocument/2006/relationships/hyperlink" Target="https://doi.org/10.1186/s40359-025-03145-6" TargetMode="External"/><Relationship Id="rId272" Type="http://schemas.openxmlformats.org/officeDocument/2006/relationships/hyperlink" Target="https://doi.org/10.21056/aec.v25i100.2010" TargetMode="External"/><Relationship Id="rId328" Type="http://schemas.openxmlformats.org/officeDocument/2006/relationships/hyperlink" Target="https://doi.org/10.1016/j.jtct.2024.02.011" TargetMode="External"/><Relationship Id="rId535" Type="http://schemas.openxmlformats.org/officeDocument/2006/relationships/hyperlink" Target="https://doi.org/10.3390/diagnostics14232765" TargetMode="External"/><Relationship Id="rId577" Type="http://schemas.openxmlformats.org/officeDocument/2006/relationships/hyperlink" Target="https://doi.org/10.3390/nano14141178" TargetMode="External"/><Relationship Id="rId132" Type="http://schemas.openxmlformats.org/officeDocument/2006/relationships/hyperlink" Target="https://doi.org/10.1002/brb3.70592" TargetMode="External"/><Relationship Id="rId174" Type="http://schemas.openxmlformats.org/officeDocument/2006/relationships/hyperlink" Target="https://doi.org/10.1016/j.rmclc.2025.06.003" TargetMode="External"/><Relationship Id="rId381" Type="http://schemas.openxmlformats.org/officeDocument/2006/relationships/hyperlink" Target="https://doi.org/10.1007/s11695-024-07451-7" TargetMode="External"/><Relationship Id="rId241" Type="http://schemas.openxmlformats.org/officeDocument/2006/relationships/hyperlink" Target="https://doi.org/10.48162/rev.35.048" TargetMode="External"/><Relationship Id="rId437" Type="http://schemas.openxmlformats.org/officeDocument/2006/relationships/hyperlink" Target="https://doi.org/10.1111/ajco.13939" TargetMode="External"/><Relationship Id="rId479" Type="http://schemas.openxmlformats.org/officeDocument/2006/relationships/hyperlink" Target="https://doi.org/10.1515/psicl-2023-0035" TargetMode="External"/><Relationship Id="rId36" Type="http://schemas.openxmlformats.org/officeDocument/2006/relationships/hyperlink" Target="https://doi.org/10.3390/nu17213444" TargetMode="External"/><Relationship Id="rId283" Type="http://schemas.openxmlformats.org/officeDocument/2006/relationships/hyperlink" Target="https://doi.org/10.25267/Rev_Eureka_ensen_divulg_cienc.2025.v22.i3.3302" TargetMode="External"/><Relationship Id="rId339" Type="http://schemas.openxmlformats.org/officeDocument/2006/relationships/hyperlink" Target="https://doi.org/10.3390/nu16132141" TargetMode="External"/><Relationship Id="rId490" Type="http://schemas.openxmlformats.org/officeDocument/2006/relationships/hyperlink" Target="https://doi.org/10.1016/j.jor.2024.04.018" TargetMode="External"/><Relationship Id="rId504" Type="http://schemas.openxmlformats.org/officeDocument/2006/relationships/hyperlink" Target="https://doi.org/10.1136/bmjresp-2023-002101" TargetMode="External"/><Relationship Id="rId546" Type="http://schemas.openxmlformats.org/officeDocument/2006/relationships/hyperlink" Target="https://doi.org/10.4067/s0717-922720240001000682" TargetMode="External"/><Relationship Id="rId78" Type="http://schemas.openxmlformats.org/officeDocument/2006/relationships/hyperlink" Target="https://doi.org/10.1123/ijspp.2025-0051" TargetMode="External"/><Relationship Id="rId101" Type="http://schemas.openxmlformats.org/officeDocument/2006/relationships/hyperlink" Target="https://doi.org/10.1007/s44155-025-00241-1" TargetMode="External"/><Relationship Id="rId143" Type="http://schemas.openxmlformats.org/officeDocument/2006/relationships/hyperlink" Target="https://doi.org/10.1007/s00202-024-02674-4" TargetMode="External"/><Relationship Id="rId185" Type="http://schemas.openxmlformats.org/officeDocument/2006/relationships/hyperlink" Target="https://doi.org/10.3390/nu17020327" TargetMode="External"/><Relationship Id="rId350" Type="http://schemas.openxmlformats.org/officeDocument/2006/relationships/hyperlink" Target="https://doi.org/10.1038/s41531-024-00644-y" TargetMode="External"/><Relationship Id="rId406" Type="http://schemas.openxmlformats.org/officeDocument/2006/relationships/hyperlink" Target="https://doi.org/10.3390/plants13060755" TargetMode="External"/><Relationship Id="rId9" Type="http://schemas.openxmlformats.org/officeDocument/2006/relationships/hyperlink" Target="https://doi.org/10.1016/j.uncres.2025.100197" TargetMode="External"/><Relationship Id="rId210" Type="http://schemas.openxmlformats.org/officeDocument/2006/relationships/hyperlink" Target="https://doi.org/10.12688/MEP.21005.1" TargetMode="External"/><Relationship Id="rId392" Type="http://schemas.openxmlformats.org/officeDocument/2006/relationships/hyperlink" Target="https://doi.org/10.1007/s12667-024-00703-6" TargetMode="External"/><Relationship Id="rId448" Type="http://schemas.openxmlformats.org/officeDocument/2006/relationships/hyperlink" Target="https://doi.org/10.1016/j.cden.2023.09.007" TargetMode="External"/><Relationship Id="rId252" Type="http://schemas.openxmlformats.org/officeDocument/2006/relationships/hyperlink" Target="https://doi.org/10.3390/ph18060795" TargetMode="External"/><Relationship Id="rId294" Type="http://schemas.openxmlformats.org/officeDocument/2006/relationships/hyperlink" Target="https://doi.org/10.4067/s0716-10182025000600190" TargetMode="External"/><Relationship Id="rId308" Type="http://schemas.openxmlformats.org/officeDocument/2006/relationships/hyperlink" Target="https://doi.org/10.64159/rchnut-52-3-1" TargetMode="External"/><Relationship Id="rId515" Type="http://schemas.openxmlformats.org/officeDocument/2006/relationships/hyperlink" Target="https://doi.org/10.3390/antiox13111388" TargetMode="External"/><Relationship Id="rId47" Type="http://schemas.openxmlformats.org/officeDocument/2006/relationships/hyperlink" Target="https://doi.org/10.7770/CUHSO-V35N1-ART801" TargetMode="External"/><Relationship Id="rId89" Type="http://schemas.openxmlformats.org/officeDocument/2006/relationships/hyperlink" Target="https://doi.org/10.1007/s11695-025-07947-w" TargetMode="External"/><Relationship Id="rId112" Type="http://schemas.openxmlformats.org/officeDocument/2006/relationships/hyperlink" Target="https://doi.org/10.1016/j.abd.2024.05.009" TargetMode="External"/><Relationship Id="rId154" Type="http://schemas.openxmlformats.org/officeDocument/2006/relationships/hyperlink" Target="https://doi.org/10.1097/DCR.0000000000003412" TargetMode="External"/><Relationship Id="rId361" Type="http://schemas.openxmlformats.org/officeDocument/2006/relationships/hyperlink" Target="https://doi.org/10.1016/j.jisako.2024.100340" TargetMode="External"/><Relationship Id="rId557" Type="http://schemas.openxmlformats.org/officeDocument/2006/relationships/hyperlink" Target="https://doi.org/10.4067/S0717-75182024000400261" TargetMode="External"/><Relationship Id="rId196" Type="http://schemas.openxmlformats.org/officeDocument/2006/relationships/hyperlink" Target="https://doi.org/10.1097/CCM.0000000000006806" TargetMode="External"/><Relationship Id="rId417" Type="http://schemas.openxmlformats.org/officeDocument/2006/relationships/hyperlink" Target="https://doi.org/10.1111/clr.14309" TargetMode="External"/><Relationship Id="rId459" Type="http://schemas.openxmlformats.org/officeDocument/2006/relationships/hyperlink" Target="https://doi.org/10.3389/fpsyg.2024.1244701" TargetMode="External"/><Relationship Id="rId16" Type="http://schemas.openxmlformats.org/officeDocument/2006/relationships/hyperlink" Target="https://doi.org/10.1017/S1478951525000252" TargetMode="External"/><Relationship Id="rId221" Type="http://schemas.openxmlformats.org/officeDocument/2006/relationships/hyperlink" Target="https://doi.org/10.5354/0719-1243.2025.79291" TargetMode="External"/><Relationship Id="rId263" Type="http://schemas.openxmlformats.org/officeDocument/2006/relationships/hyperlink" Target="https://doi.org/10.3390/cosmetics12050216" TargetMode="External"/><Relationship Id="rId319" Type="http://schemas.openxmlformats.org/officeDocument/2006/relationships/hyperlink" Target="https://doi.org/10.1111/apha.14203" TargetMode="External"/><Relationship Id="rId470" Type="http://schemas.openxmlformats.org/officeDocument/2006/relationships/hyperlink" Target="https://doi.org/10.1227/neu.0000000000002915" TargetMode="External"/><Relationship Id="rId526" Type="http://schemas.openxmlformats.org/officeDocument/2006/relationships/hyperlink" Target="https://doi.org/10.1016/j.najef.2024.102161" TargetMode="External"/><Relationship Id="rId58" Type="http://schemas.openxmlformats.org/officeDocument/2006/relationships/hyperlink" Target="https://doi.org/10.7764/ANALESLITCHI.44.18" TargetMode="External"/><Relationship Id="rId123" Type="http://schemas.openxmlformats.org/officeDocument/2006/relationships/hyperlink" Target="https://doi.org/10.1016/j.rmclc.2025.06.005" TargetMode="External"/><Relationship Id="rId330" Type="http://schemas.openxmlformats.org/officeDocument/2006/relationships/hyperlink" Target="https://doi.org/10.37549/AR2945" TargetMode="External"/><Relationship Id="rId568" Type="http://schemas.openxmlformats.org/officeDocument/2006/relationships/hyperlink" Target="https://doi.org/10.3390/ph17091165" TargetMode="External"/><Relationship Id="rId165" Type="http://schemas.openxmlformats.org/officeDocument/2006/relationships/hyperlink" Target="https://doi.org/10.1016/j.rmclc.2025.06.006" TargetMode="External"/><Relationship Id="rId372" Type="http://schemas.openxmlformats.org/officeDocument/2006/relationships/hyperlink" Target="https://doi.org/10.3389/fpsyg.2024.1321242" TargetMode="External"/><Relationship Id="rId428" Type="http://schemas.openxmlformats.org/officeDocument/2006/relationships/hyperlink" Target="https://doi.org/10.3389/fphar.2024.1406784" TargetMode="External"/><Relationship Id="rId232" Type="http://schemas.openxmlformats.org/officeDocument/2006/relationships/hyperlink" Target="https://doi.org/10.1080/13697137.2025.2491637" TargetMode="External"/><Relationship Id="rId274" Type="http://schemas.openxmlformats.org/officeDocument/2006/relationships/hyperlink" Target="https://doi.org/10.1016/j.recot.2025.11.032" TargetMode="External"/><Relationship Id="rId481" Type="http://schemas.openxmlformats.org/officeDocument/2006/relationships/hyperlink" Target="https://doi.org/10.1177/87552930241262788" TargetMode="External"/><Relationship Id="rId27" Type="http://schemas.openxmlformats.org/officeDocument/2006/relationships/hyperlink" Target="https://doi.org/10.1016/j.joclim.2025.100437" TargetMode="External"/><Relationship Id="rId69" Type="http://schemas.openxmlformats.org/officeDocument/2006/relationships/hyperlink" Target="https://doi.org/10.3390/ijms26125887" TargetMode="External"/><Relationship Id="rId134" Type="http://schemas.openxmlformats.org/officeDocument/2006/relationships/hyperlink" Target="https://doi.org/10.1177/02676591241272058" TargetMode="External"/><Relationship Id="rId537" Type="http://schemas.openxmlformats.org/officeDocument/2006/relationships/hyperlink" Target="https://doi.org/10.1922/EJPRD_2685Muehlemann08" TargetMode="External"/><Relationship Id="rId80" Type="http://schemas.openxmlformats.org/officeDocument/2006/relationships/hyperlink" Target="https://doi.org/10.24875/BMHIM.24000109" TargetMode="External"/><Relationship Id="rId176" Type="http://schemas.openxmlformats.org/officeDocument/2006/relationships/hyperlink" Target="https://doi.org/10.1016/j.cmet.2025.04.002" TargetMode="External"/><Relationship Id="rId341" Type="http://schemas.openxmlformats.org/officeDocument/2006/relationships/hyperlink" Target="https://doi.org/10.1530/EOR-23-0174" TargetMode="External"/><Relationship Id="rId383" Type="http://schemas.openxmlformats.org/officeDocument/2006/relationships/hyperlink" Target="https://doi.org/10.3390/ijms252111492" TargetMode="External"/><Relationship Id="rId439" Type="http://schemas.openxmlformats.org/officeDocument/2006/relationships/hyperlink" Target="https://doi.org/10.3389/feduc.2024.1456085" TargetMode="External"/><Relationship Id="rId201" Type="http://schemas.openxmlformats.org/officeDocument/2006/relationships/hyperlink" Target="https://doi.org/10.4067/s0717-75182025000100063" TargetMode="External"/><Relationship Id="rId243" Type="http://schemas.openxmlformats.org/officeDocument/2006/relationships/hyperlink" Target="https://doi.org/10.1016/j.rmclc.2025.01.002" TargetMode="External"/><Relationship Id="rId285" Type="http://schemas.openxmlformats.org/officeDocument/2006/relationships/hyperlink" Target="https://doi.org/10.3390/foods14132240" TargetMode="External"/><Relationship Id="rId450" Type="http://schemas.openxmlformats.org/officeDocument/2006/relationships/hyperlink" Target="https://doi.org/10.1016/j.rmclc.2024.03.005" TargetMode="External"/><Relationship Id="rId506" Type="http://schemas.openxmlformats.org/officeDocument/2006/relationships/hyperlink" Target="https://doi.org/10.1111/iej.14029" TargetMode="External"/><Relationship Id="rId38" Type="http://schemas.openxmlformats.org/officeDocument/2006/relationships/hyperlink" Target="https://doi.org/10.17979/sportis.2025.11.3.11920" TargetMode="External"/><Relationship Id="rId103" Type="http://schemas.openxmlformats.org/officeDocument/2006/relationships/hyperlink" Target="https://doi.org/10.47197/retos.v65.110490" TargetMode="External"/><Relationship Id="rId310" Type="http://schemas.openxmlformats.org/officeDocument/2006/relationships/hyperlink" Target="https://doi.org/10.1007/s10853-025-11168-y" TargetMode="External"/><Relationship Id="rId492" Type="http://schemas.openxmlformats.org/officeDocument/2006/relationships/hyperlink" Target="https://doi.org/10.1097/MD.0000000000039444" TargetMode="External"/><Relationship Id="rId548" Type="http://schemas.openxmlformats.org/officeDocument/2006/relationships/hyperlink" Target="https://doi.org/10.31637/epsir-2024-1066" TargetMode="External"/><Relationship Id="rId91" Type="http://schemas.openxmlformats.org/officeDocument/2006/relationships/hyperlink" Target="https://doi.org/10.3390/jfmk10010093" TargetMode="External"/><Relationship Id="rId145" Type="http://schemas.openxmlformats.org/officeDocument/2006/relationships/hyperlink" Target="https://doi.org/10.1016/j.rmclc.2025.04.002" TargetMode="External"/><Relationship Id="rId187" Type="http://schemas.openxmlformats.org/officeDocument/2006/relationships/hyperlink" Target="https://doi.org/10.32641/andespediatr.v96i5.5784" TargetMode="External"/><Relationship Id="rId352" Type="http://schemas.openxmlformats.org/officeDocument/2006/relationships/hyperlink" Target="https://doi.org/10.1007/s00421-024-05536-w" TargetMode="External"/><Relationship Id="rId394" Type="http://schemas.openxmlformats.org/officeDocument/2006/relationships/hyperlink" Target="https://doi.org/10.2196/56319" TargetMode="External"/><Relationship Id="rId408" Type="http://schemas.openxmlformats.org/officeDocument/2006/relationships/hyperlink" Target="https://doi.org/10.3390/nu16183054" TargetMode="External"/><Relationship Id="rId212" Type="http://schemas.openxmlformats.org/officeDocument/2006/relationships/hyperlink" Target="https://doi.org/10.3390/socsci14090539" TargetMode="External"/><Relationship Id="rId254" Type="http://schemas.openxmlformats.org/officeDocument/2006/relationships/hyperlink" Target="https://doi.org/10.5354/0719-1243.2025.79110" TargetMode="External"/><Relationship Id="rId49" Type="http://schemas.openxmlformats.org/officeDocument/2006/relationships/hyperlink" Target="https://doi.org/10.1016/j.jcot.2025.103181" TargetMode="External"/><Relationship Id="rId114" Type="http://schemas.openxmlformats.org/officeDocument/2006/relationships/hyperlink" Target="https://doi.org/10.24822/rjduandes.0902.4" TargetMode="External"/><Relationship Id="rId296" Type="http://schemas.openxmlformats.org/officeDocument/2006/relationships/hyperlink" Target="https://doi.org/10.1186/s13054-025-05343-5" TargetMode="External"/><Relationship Id="rId461" Type="http://schemas.openxmlformats.org/officeDocument/2006/relationships/hyperlink" Target="https://doi.org/10.1016/j.uncres.2024.100101" TargetMode="External"/><Relationship Id="rId517" Type="http://schemas.openxmlformats.org/officeDocument/2006/relationships/hyperlink" Target="https://doi.org/10.3389/feduc.2024.1378640" TargetMode="External"/><Relationship Id="rId559" Type="http://schemas.openxmlformats.org/officeDocument/2006/relationships/hyperlink" Target="https://doi.org/10.4067/s0717-69962024000200036" TargetMode="External"/><Relationship Id="rId60" Type="http://schemas.openxmlformats.org/officeDocument/2006/relationships/hyperlink" Target="https://doi.org/10.1093/arclin/acaf073" TargetMode="External"/><Relationship Id="rId156" Type="http://schemas.openxmlformats.org/officeDocument/2006/relationships/hyperlink" Target="https://doi.org/10.1016/S2468-1253(24)00380-7" TargetMode="External"/><Relationship Id="rId198" Type="http://schemas.openxmlformats.org/officeDocument/2006/relationships/hyperlink" Target="https://doi.org/10.47197/retos.v62.109189" TargetMode="External"/><Relationship Id="rId321" Type="http://schemas.openxmlformats.org/officeDocument/2006/relationships/hyperlink" Target="https://doi.org/10.1515/ehs-2023-0124" TargetMode="External"/><Relationship Id="rId363" Type="http://schemas.openxmlformats.org/officeDocument/2006/relationships/hyperlink" Target="https://doi.org/10.5294/aqui.2024.24.2.1" TargetMode="External"/><Relationship Id="rId419" Type="http://schemas.openxmlformats.org/officeDocument/2006/relationships/hyperlink" Target="https://doi.org/10.3389/fped.2024.1386310" TargetMode="External"/><Relationship Id="rId570" Type="http://schemas.openxmlformats.org/officeDocument/2006/relationships/hyperlink" Target="https://doi.org/10.5114/biolsport.2024.133661" TargetMode="External"/><Relationship Id="rId223" Type="http://schemas.openxmlformats.org/officeDocument/2006/relationships/hyperlink" Target="https://doi.org/10.1016/j.redox.2025.103607" TargetMode="External"/><Relationship Id="rId430" Type="http://schemas.openxmlformats.org/officeDocument/2006/relationships/hyperlink" Target="https://doi.org/10.1080/00131911.2024.2332426" TargetMode="External"/><Relationship Id="rId18" Type="http://schemas.openxmlformats.org/officeDocument/2006/relationships/hyperlink" Target="https://doi.org/10.1016/j.cpb.2025.100565" TargetMode="External"/><Relationship Id="rId265" Type="http://schemas.openxmlformats.org/officeDocument/2006/relationships/hyperlink" Target="https://doi.org/10.4151/SO2810-76592025064-1459" TargetMode="External"/><Relationship Id="rId472" Type="http://schemas.openxmlformats.org/officeDocument/2006/relationships/hyperlink" Target="https://doi.org/10.55467/reder.v8i2.157" TargetMode="External"/><Relationship Id="rId528" Type="http://schemas.openxmlformats.org/officeDocument/2006/relationships/hyperlink" Target="https://doi.org/10.1080/2331186X.2024.2411826" TargetMode="External"/><Relationship Id="rId125" Type="http://schemas.openxmlformats.org/officeDocument/2006/relationships/hyperlink" Target="https://doi.org/10.1093/icvts/ivaf004" TargetMode="External"/><Relationship Id="rId167" Type="http://schemas.openxmlformats.org/officeDocument/2006/relationships/hyperlink" Target="https://doi.org/10.1111/liv.70017" TargetMode="External"/><Relationship Id="rId332" Type="http://schemas.openxmlformats.org/officeDocument/2006/relationships/hyperlink" Target="https://doi.org/10.23736/S0394-9508.23.05593-6" TargetMode="External"/><Relationship Id="rId374" Type="http://schemas.openxmlformats.org/officeDocument/2006/relationships/hyperlink" Target="https://doi.org/10.1016/j.rmclc.2024.03.006" TargetMode="External"/><Relationship Id="rId71" Type="http://schemas.openxmlformats.org/officeDocument/2006/relationships/hyperlink" Target="https://doi.org/10.3389/fphys.2025.1514769" TargetMode="External"/><Relationship Id="rId234" Type="http://schemas.openxmlformats.org/officeDocument/2006/relationships/hyperlink" Target="https://doi.org/10.1007/s00134-025-07787-3" TargetMode="External"/><Relationship Id="rId2" Type="http://schemas.openxmlformats.org/officeDocument/2006/relationships/hyperlink" Target="https://doi.org/10.1109/SCCC67219.2025.11420775" TargetMode="External"/><Relationship Id="rId29" Type="http://schemas.openxmlformats.org/officeDocument/2006/relationships/hyperlink" Target="https://doi.org/10.32641/andespediatr.v96i1.5306" TargetMode="External"/><Relationship Id="rId276" Type="http://schemas.openxmlformats.org/officeDocument/2006/relationships/hyperlink" Target="https://doi.org/10.32735/s0718-22012025000603297" TargetMode="External"/><Relationship Id="rId441" Type="http://schemas.openxmlformats.org/officeDocument/2006/relationships/hyperlink" Target="https://doi.org/10.1055/s-0044-1788665" TargetMode="External"/><Relationship Id="rId483" Type="http://schemas.openxmlformats.org/officeDocument/2006/relationships/hyperlink" Target="https://doi.org/10.3390/diagnostics14121277" TargetMode="External"/><Relationship Id="rId539" Type="http://schemas.openxmlformats.org/officeDocument/2006/relationships/hyperlink" Target="https://doi.org/10.1007/978-3-031-47404-0" TargetMode="External"/><Relationship Id="rId40" Type="http://schemas.openxmlformats.org/officeDocument/2006/relationships/hyperlink" Target="https://doi.org/10.1016/j.rmclc.2025.06.004" TargetMode="External"/><Relationship Id="rId136" Type="http://schemas.openxmlformats.org/officeDocument/2006/relationships/hyperlink" Target="https://doi.org/10.1186/s12964-025-02131-0" TargetMode="External"/><Relationship Id="rId178" Type="http://schemas.openxmlformats.org/officeDocument/2006/relationships/hyperlink" Target="https://doi.org/10.1080/09620214.2025.2461718" TargetMode="External"/><Relationship Id="rId301" Type="http://schemas.openxmlformats.org/officeDocument/2006/relationships/hyperlink" Target="https://doi.org/10.1123/ijspp.2024-0409" TargetMode="External"/><Relationship Id="rId343" Type="http://schemas.openxmlformats.org/officeDocument/2006/relationships/hyperlink" Target="https://doi.org/10.4067/S0717-75182024000400273" TargetMode="External"/><Relationship Id="rId550" Type="http://schemas.openxmlformats.org/officeDocument/2006/relationships/hyperlink" Target="https://doi.org/10.1016/j.burnso.2024.03.005" TargetMode="External"/><Relationship Id="rId82" Type="http://schemas.openxmlformats.org/officeDocument/2006/relationships/hyperlink" Target="https://doi.org/10.1016/j.diff.2025.100882" TargetMode="External"/><Relationship Id="rId203" Type="http://schemas.openxmlformats.org/officeDocument/2006/relationships/hyperlink" Target="https://doi.org/10.1093/sexmed/qfaf089" TargetMode="External"/><Relationship Id="rId385" Type="http://schemas.openxmlformats.org/officeDocument/2006/relationships/hyperlink" Target="https://doi.org/10.1016/j.piel.2024.01.017" TargetMode="External"/><Relationship Id="rId245" Type="http://schemas.openxmlformats.org/officeDocument/2006/relationships/hyperlink" Target="https://doi.org/10.7764/redad.41.9" TargetMode="External"/><Relationship Id="rId287" Type="http://schemas.openxmlformats.org/officeDocument/2006/relationships/hyperlink" Target="https://doi.org/10.4067/S0071-17132025000200349" TargetMode="External"/><Relationship Id="rId410" Type="http://schemas.openxmlformats.org/officeDocument/2006/relationships/hyperlink" Target="https://doi.org/10.3934/publichealth.2024029" TargetMode="External"/><Relationship Id="rId452" Type="http://schemas.openxmlformats.org/officeDocument/2006/relationships/hyperlink" Target="https://doi.org/10.1111/cid.13314" TargetMode="External"/><Relationship Id="rId494" Type="http://schemas.openxmlformats.org/officeDocument/2006/relationships/hyperlink" Target="https://doi.org/10.1332/20467435Y2024D000000022" TargetMode="External"/><Relationship Id="rId508" Type="http://schemas.openxmlformats.org/officeDocument/2006/relationships/hyperlink" Target="https://doi.org/10.1109/ACCESS.2024.3479090" TargetMode="External"/><Relationship Id="rId105" Type="http://schemas.openxmlformats.org/officeDocument/2006/relationships/hyperlink" Target="https://doi.org/10.1080/2331186X.2025.2548097" TargetMode="External"/><Relationship Id="rId147" Type="http://schemas.openxmlformats.org/officeDocument/2006/relationships/hyperlink" Target="https://doi.org/10.32641/andespediatr.v96i4.5361" TargetMode="External"/><Relationship Id="rId312" Type="http://schemas.openxmlformats.org/officeDocument/2006/relationships/hyperlink" Target="https://doi.org/10.1096/fj.202402064R" TargetMode="External"/><Relationship Id="rId354" Type="http://schemas.openxmlformats.org/officeDocument/2006/relationships/hyperlink" Target="https://doi.org/10.1007/s12144-024-06884-8" TargetMode="External"/><Relationship Id="rId51" Type="http://schemas.openxmlformats.org/officeDocument/2006/relationships/hyperlink" Target="https://doi.org/10.1371/journal.pone.0323501" TargetMode="External"/><Relationship Id="rId93" Type="http://schemas.openxmlformats.org/officeDocument/2006/relationships/hyperlink" Target="https://doi.org/10.1145/3702163.3702414" TargetMode="External"/><Relationship Id="rId189" Type="http://schemas.openxmlformats.org/officeDocument/2006/relationships/hyperlink" Target="https://doi.org/10.1093/ajh/hpaf020" TargetMode="External"/><Relationship Id="rId396" Type="http://schemas.openxmlformats.org/officeDocument/2006/relationships/hyperlink" Target="https://doi.org/10.4067/S0718-07052024000100323" TargetMode="External"/><Relationship Id="rId561" Type="http://schemas.openxmlformats.org/officeDocument/2006/relationships/hyperlink" Target="https://doi.org/10.1563/aaid-joi-D-24-00032" TargetMode="External"/><Relationship Id="rId214" Type="http://schemas.openxmlformats.org/officeDocument/2006/relationships/hyperlink" Target="https://doi.org/10.26209/ijea26n1" TargetMode="External"/><Relationship Id="rId256" Type="http://schemas.openxmlformats.org/officeDocument/2006/relationships/hyperlink" Target="https://doi.org/10.1007/978-3-031-81029-9_5" TargetMode="External"/><Relationship Id="rId298" Type="http://schemas.openxmlformats.org/officeDocument/2006/relationships/hyperlink" Target="https://doi.org/10.31637/epsir-2025-1767" TargetMode="External"/><Relationship Id="rId421" Type="http://schemas.openxmlformats.org/officeDocument/2006/relationships/hyperlink" Target="https://doi.org/10.1123/ijspp.2024-0043" TargetMode="External"/><Relationship Id="rId463" Type="http://schemas.openxmlformats.org/officeDocument/2006/relationships/hyperlink" Target="https://doi.org/10.1016/j.jsams.2024.03.005" TargetMode="External"/><Relationship Id="rId519" Type="http://schemas.openxmlformats.org/officeDocument/2006/relationships/hyperlink" Target="https://doi.org/10.4067/s0717-75182024000600428" TargetMode="External"/><Relationship Id="rId116" Type="http://schemas.openxmlformats.org/officeDocument/2006/relationships/hyperlink" Target="https://doi.org/10.3389/fped.2025.1570519" TargetMode="External"/><Relationship Id="rId158" Type="http://schemas.openxmlformats.org/officeDocument/2006/relationships/hyperlink" Target="https://doi.org/10.1080/03075079.2025.2543441" TargetMode="External"/><Relationship Id="rId323" Type="http://schemas.openxmlformats.org/officeDocument/2006/relationships/hyperlink" Target="https://doi.org/10.1159/000539881" TargetMode="External"/><Relationship Id="rId530" Type="http://schemas.openxmlformats.org/officeDocument/2006/relationships/hyperlink" Target="https://doi.org/10.3389/fpubh.2024.1363015" TargetMode="External"/><Relationship Id="rId20" Type="http://schemas.openxmlformats.org/officeDocument/2006/relationships/hyperlink" Target="https://doi.org/10.5209/rlog.95051" TargetMode="External"/><Relationship Id="rId62" Type="http://schemas.openxmlformats.org/officeDocument/2006/relationships/hyperlink" Target="https://doi.org/10.1016/j.rmclc.2025.04.004" TargetMode="External"/><Relationship Id="rId365" Type="http://schemas.openxmlformats.org/officeDocument/2006/relationships/hyperlink" Target="https://doi.org/10.1007/s43076-022-00148-9" TargetMode="External"/><Relationship Id="rId572" Type="http://schemas.openxmlformats.org/officeDocument/2006/relationships/hyperlink" Target="https://doi.org/10.4103/tjem.tjem_339_22" TargetMode="External"/><Relationship Id="rId225" Type="http://schemas.openxmlformats.org/officeDocument/2006/relationships/hyperlink" Target="https://doi.org/10.1016/j.maturitas.2025.108193" TargetMode="External"/><Relationship Id="rId267" Type="http://schemas.openxmlformats.org/officeDocument/2006/relationships/hyperlink" Target="https://doi.org/10.1007/s10212-024-00903-9" TargetMode="External"/><Relationship Id="rId432" Type="http://schemas.openxmlformats.org/officeDocument/2006/relationships/hyperlink" Target="https://doi.org/10.1016/j.mam.2024.101277" TargetMode="External"/><Relationship Id="rId474" Type="http://schemas.openxmlformats.org/officeDocument/2006/relationships/hyperlink" Target="https://doi.org/10.7764/PEL.61.3.2024.4" TargetMode="External"/><Relationship Id="rId127" Type="http://schemas.openxmlformats.org/officeDocument/2006/relationships/hyperlink" Target="https://doi.org/10.32641/andespediatr.v96i2.5607" TargetMode="External"/><Relationship Id="rId31" Type="http://schemas.openxmlformats.org/officeDocument/2006/relationships/hyperlink" Target="https://doi.org/10.1080/13697137.2025.2548805" TargetMode="External"/><Relationship Id="rId73" Type="http://schemas.openxmlformats.org/officeDocument/2006/relationships/hyperlink" Target="https://doi.org/10.1186/s12962-025-00642-8" TargetMode="External"/><Relationship Id="rId169" Type="http://schemas.openxmlformats.org/officeDocument/2006/relationships/hyperlink" Target="https://doi.org/10.3390/ijms262311346" TargetMode="External"/><Relationship Id="rId334" Type="http://schemas.openxmlformats.org/officeDocument/2006/relationships/hyperlink" Target="https://doi.org/10.36311/jhgd.v34.15499" TargetMode="External"/><Relationship Id="rId376" Type="http://schemas.openxmlformats.org/officeDocument/2006/relationships/hyperlink" Target="https://doi.org/10.3390/antiox13121523" TargetMode="External"/><Relationship Id="rId541" Type="http://schemas.openxmlformats.org/officeDocument/2006/relationships/hyperlink" Target="https://doi.org/10.3390/jcm13123408" TargetMode="External"/><Relationship Id="rId4" Type="http://schemas.openxmlformats.org/officeDocument/2006/relationships/hyperlink" Target="https://doi.org/10.1007/978-3-031-75147-9_16" TargetMode="External"/><Relationship Id="rId180" Type="http://schemas.openxmlformats.org/officeDocument/2006/relationships/hyperlink" Target="https://doi.org/10.1007/978-3-031-76607-7_10" TargetMode="External"/><Relationship Id="rId236" Type="http://schemas.openxmlformats.org/officeDocument/2006/relationships/hyperlink" Target="https://doi.org/10.2147/NSS.S509636" TargetMode="External"/><Relationship Id="rId278" Type="http://schemas.openxmlformats.org/officeDocument/2006/relationships/hyperlink" Target="https://doi.org/10.1007/978-3-031-44270-4_11" TargetMode="External"/><Relationship Id="rId401" Type="http://schemas.openxmlformats.org/officeDocument/2006/relationships/hyperlink" Target="https://doi.org/10.1108/S1479-363620240000024004" TargetMode="External"/><Relationship Id="rId443" Type="http://schemas.openxmlformats.org/officeDocument/2006/relationships/hyperlink" Target="https://doi.org/10.3389/fphys.2024.1474479" TargetMode="External"/><Relationship Id="rId303" Type="http://schemas.openxmlformats.org/officeDocument/2006/relationships/hyperlink" Target="https://doi.org/10.1097/CCM.0000000000006634" TargetMode="External"/><Relationship Id="rId485" Type="http://schemas.openxmlformats.org/officeDocument/2006/relationships/hyperlink" Target="https://doi.org/10.1038/s41531-024-00630-4" TargetMode="External"/><Relationship Id="rId42" Type="http://schemas.openxmlformats.org/officeDocument/2006/relationships/hyperlink" Target="https://doi.org/10.1016/j.rmclc.2025.03.004" TargetMode="External"/><Relationship Id="rId84" Type="http://schemas.openxmlformats.org/officeDocument/2006/relationships/hyperlink" Target="https://doi.org/10.1016/j.rmclc.2025.03.003" TargetMode="External"/><Relationship Id="rId138" Type="http://schemas.openxmlformats.org/officeDocument/2006/relationships/hyperlink" Target="https://doi.org/10.1002/qua.70005" TargetMode="External"/><Relationship Id="rId345" Type="http://schemas.openxmlformats.org/officeDocument/2006/relationships/hyperlink" Target="https://doi.org/10.1097/MD.0000000000037093" TargetMode="External"/><Relationship Id="rId387" Type="http://schemas.openxmlformats.org/officeDocument/2006/relationships/hyperlink" Target="https://doi.org/10.1530/EOR-24-0016" TargetMode="External"/><Relationship Id="rId510" Type="http://schemas.openxmlformats.org/officeDocument/2006/relationships/hyperlink" Target="https://doi.org/10.1016/j.spinee.2023.09.031" TargetMode="External"/><Relationship Id="rId552" Type="http://schemas.openxmlformats.org/officeDocument/2006/relationships/hyperlink" Target="https://doi.org/10.1038/s41467-024-54183-4" TargetMode="External"/><Relationship Id="rId191" Type="http://schemas.openxmlformats.org/officeDocument/2006/relationships/hyperlink" Target="https://doi.org/10.1177/22143602251320267" TargetMode="External"/><Relationship Id="rId205" Type="http://schemas.openxmlformats.org/officeDocument/2006/relationships/hyperlink" Target="https://doi.org/10.3390/covid5120208" TargetMode="External"/><Relationship Id="rId247" Type="http://schemas.openxmlformats.org/officeDocument/2006/relationships/hyperlink" Target="https://doi.org/10.35687/s2452-454920250032541" TargetMode="External"/><Relationship Id="rId412" Type="http://schemas.openxmlformats.org/officeDocument/2006/relationships/hyperlink" Target="https://doi.org/10.1016/j.rmclc.2023.10.003" TargetMode="External"/><Relationship Id="rId107" Type="http://schemas.openxmlformats.org/officeDocument/2006/relationships/hyperlink" Target="https://doi.org/10.1021/acs.jcim.4c02027" TargetMode="External"/><Relationship Id="rId289" Type="http://schemas.openxmlformats.org/officeDocument/2006/relationships/hyperlink" Target="https://doi.org/10.3390/diagnostics15172272" TargetMode="External"/><Relationship Id="rId454" Type="http://schemas.openxmlformats.org/officeDocument/2006/relationships/hyperlink" Target="https://doi.org/10.1177/09612033241249574" TargetMode="External"/><Relationship Id="rId496" Type="http://schemas.openxmlformats.org/officeDocument/2006/relationships/hyperlink" Target="https://doi.org/10.1038/s41467-024-48624-3" TargetMode="External"/><Relationship Id="rId11" Type="http://schemas.openxmlformats.org/officeDocument/2006/relationships/hyperlink" Target="https://doi.org/10.1080/09500693.2024.2381841" TargetMode="External"/><Relationship Id="rId53" Type="http://schemas.openxmlformats.org/officeDocument/2006/relationships/hyperlink" Target="https://doi.org/10.1038/s41574-025-01149-1" TargetMode="External"/><Relationship Id="rId149" Type="http://schemas.openxmlformats.org/officeDocument/2006/relationships/hyperlink" Target="https://doi.org/10.1002/oby.24313" TargetMode="External"/><Relationship Id="rId314" Type="http://schemas.openxmlformats.org/officeDocument/2006/relationships/hyperlink" Target="https://doi.org/10.7764/HIST.58.2.71991" TargetMode="External"/><Relationship Id="rId356" Type="http://schemas.openxmlformats.org/officeDocument/2006/relationships/hyperlink" Target="https://doi.org/10.1016/j.rmclc.2024.05.002" TargetMode="External"/><Relationship Id="rId398" Type="http://schemas.openxmlformats.org/officeDocument/2006/relationships/hyperlink" Target="https://doi.org/10.3390/antiox13060623" TargetMode="External"/><Relationship Id="rId521" Type="http://schemas.openxmlformats.org/officeDocument/2006/relationships/hyperlink" Target="https://doi.org/10.1016/j.edumed.2024.100943" TargetMode="External"/><Relationship Id="rId563" Type="http://schemas.openxmlformats.org/officeDocument/2006/relationships/hyperlink" Target="https://doi.org/10.1002/jum.16526" TargetMode="External"/><Relationship Id="rId95" Type="http://schemas.openxmlformats.org/officeDocument/2006/relationships/hyperlink" Target="https://doi.org/10.3390/ijms262210843" TargetMode="External"/><Relationship Id="rId160" Type="http://schemas.openxmlformats.org/officeDocument/2006/relationships/hyperlink" Target="https://doi.org/10.1016/j.fas.2025.04.006" TargetMode="External"/><Relationship Id="rId216" Type="http://schemas.openxmlformats.org/officeDocument/2006/relationships/hyperlink" Target="https://doi.org/10.1109/CHILECON66915.2025.11476660" TargetMode="External"/><Relationship Id="rId423" Type="http://schemas.openxmlformats.org/officeDocument/2006/relationships/hyperlink" Target="https://doi.org/10.3390/app14209556" TargetMode="External"/><Relationship Id="rId258" Type="http://schemas.openxmlformats.org/officeDocument/2006/relationships/hyperlink" Target="https://doi.org/10.3390/jcm14113630" TargetMode="External"/><Relationship Id="rId465" Type="http://schemas.openxmlformats.org/officeDocument/2006/relationships/hyperlink" Target="https://doi.org/10.24822/rjduandes.0801.4" TargetMode="External"/><Relationship Id="rId22" Type="http://schemas.openxmlformats.org/officeDocument/2006/relationships/hyperlink" Target="https://doi.org/10.5209/emp.99627" TargetMode="External"/><Relationship Id="rId64" Type="http://schemas.openxmlformats.org/officeDocument/2006/relationships/hyperlink" Target="https://doi.org/10.3390/diagnostics15010116" TargetMode="External"/><Relationship Id="rId118" Type="http://schemas.openxmlformats.org/officeDocument/2006/relationships/hyperlink" Target="https://doi.org/10.1016/j.abd.2024.05.010" TargetMode="External"/><Relationship Id="rId325" Type="http://schemas.openxmlformats.org/officeDocument/2006/relationships/hyperlink" Target="https://doi.org/10.1186/s13054-024-04916-0" TargetMode="External"/><Relationship Id="rId367" Type="http://schemas.openxmlformats.org/officeDocument/2006/relationships/hyperlink" Target="https://doi.org/10.3390/biomedicines12092035" TargetMode="External"/><Relationship Id="rId532" Type="http://schemas.openxmlformats.org/officeDocument/2006/relationships/hyperlink" Target="https://doi.org/10.1177/14614448211054830" TargetMode="External"/><Relationship Id="rId574" Type="http://schemas.openxmlformats.org/officeDocument/2006/relationships/hyperlink" Target="https://doi.org/10.1080/09518398.2023.2233930" TargetMode="External"/><Relationship Id="rId171" Type="http://schemas.openxmlformats.org/officeDocument/2006/relationships/hyperlink" Target="https://doi.org/10.14482/sun.41.01.339.842" TargetMode="External"/><Relationship Id="rId227" Type="http://schemas.openxmlformats.org/officeDocument/2006/relationships/hyperlink" Target="https://doi.org/10.36132/cfzrhs53" TargetMode="External"/><Relationship Id="rId269" Type="http://schemas.openxmlformats.org/officeDocument/2006/relationships/hyperlink" Target="https://doi.org/10.1038/s41514-025-00239-8" TargetMode="External"/><Relationship Id="rId434" Type="http://schemas.openxmlformats.org/officeDocument/2006/relationships/hyperlink" Target="https://doi.org/10.1123/ijspp.2023-0516" TargetMode="External"/><Relationship Id="rId476" Type="http://schemas.openxmlformats.org/officeDocument/2006/relationships/hyperlink" Target="https://doi.org/10.1016/j.physb.2024.416570" TargetMode="External"/><Relationship Id="rId33" Type="http://schemas.openxmlformats.org/officeDocument/2006/relationships/hyperlink" Target="https://doi.org/10.1016/j.rmclc.2025.06.007" TargetMode="External"/><Relationship Id="rId129" Type="http://schemas.openxmlformats.org/officeDocument/2006/relationships/hyperlink" Target="https://doi.org/10.1016/j.prosdent.2024.04.013" TargetMode="External"/><Relationship Id="rId280" Type="http://schemas.openxmlformats.org/officeDocument/2006/relationships/hyperlink" Target="https://doi.org/10.1007/s10522-025-10191-5" TargetMode="External"/><Relationship Id="rId336" Type="http://schemas.openxmlformats.org/officeDocument/2006/relationships/hyperlink" Target="https://doi.org/10.3390/jcm13133689" TargetMode="External"/><Relationship Id="rId501" Type="http://schemas.openxmlformats.org/officeDocument/2006/relationships/hyperlink" Target="https://doi.org/10.30827/rl.v0i32.29144" TargetMode="External"/><Relationship Id="rId543" Type="http://schemas.openxmlformats.org/officeDocument/2006/relationships/hyperlink" Target="https://doi.org/10.38178/07183089/1211230605" TargetMode="External"/><Relationship Id="rId75" Type="http://schemas.openxmlformats.org/officeDocument/2006/relationships/hyperlink" Target="https://doi.org/10.1002/ppul.27386" TargetMode="External"/><Relationship Id="rId140" Type="http://schemas.openxmlformats.org/officeDocument/2006/relationships/hyperlink" Target="https://doi.org/10.64159/RCHNUT-52-5-10" TargetMode="External"/><Relationship Id="rId182" Type="http://schemas.openxmlformats.org/officeDocument/2006/relationships/hyperlink" Target="https://doi.org/10.1097/HC9.0000000000000622" TargetMode="External"/><Relationship Id="rId378" Type="http://schemas.openxmlformats.org/officeDocument/2006/relationships/hyperlink" Target="https://doi.org/10.5354/0719-2584.2024.70418" TargetMode="External"/><Relationship Id="rId403" Type="http://schemas.openxmlformats.org/officeDocument/2006/relationships/hyperlink" Target="https://doi.org/10.1007/s11695-024-07185-6" TargetMode="External"/><Relationship Id="rId6" Type="http://schemas.openxmlformats.org/officeDocument/2006/relationships/hyperlink" Target="https://doi.org/10.3390/biomedicines13051039" TargetMode="External"/><Relationship Id="rId238" Type="http://schemas.openxmlformats.org/officeDocument/2006/relationships/hyperlink" Target="https://doi.org/10.1007/s00266-025-04748-5" TargetMode="External"/><Relationship Id="rId445" Type="http://schemas.openxmlformats.org/officeDocument/2006/relationships/hyperlink" Target="https://doi.org/10.3390/jcm13113085" TargetMode="External"/><Relationship Id="rId487" Type="http://schemas.openxmlformats.org/officeDocument/2006/relationships/hyperlink" Target="https://doi.org/10.1164/rccm.202309-1629LE" TargetMode="External"/><Relationship Id="rId291" Type="http://schemas.openxmlformats.org/officeDocument/2006/relationships/hyperlink" Target="https://doi.org/10.3390/curroncol32050246" TargetMode="External"/><Relationship Id="rId305" Type="http://schemas.openxmlformats.org/officeDocument/2006/relationships/hyperlink" Target="https://doi.org/10.1038/s41598-025-01465-6" TargetMode="External"/><Relationship Id="rId347" Type="http://schemas.openxmlformats.org/officeDocument/2006/relationships/hyperlink" Target="https://doi.org/10.1097/GME.0000000000002367" TargetMode="External"/><Relationship Id="rId512" Type="http://schemas.openxmlformats.org/officeDocument/2006/relationships/hyperlink" Target="https://doi.org/10.4067/s0717-75182024000200103" TargetMode="External"/><Relationship Id="rId44" Type="http://schemas.openxmlformats.org/officeDocument/2006/relationships/hyperlink" Target="https://doi.org/10.1016/j.rmclc.2025.03.001" TargetMode="External"/><Relationship Id="rId86" Type="http://schemas.openxmlformats.org/officeDocument/2006/relationships/hyperlink" Target="https://doi.org/10.1016/j.rmclc.2025.06.009" TargetMode="External"/><Relationship Id="rId151" Type="http://schemas.openxmlformats.org/officeDocument/2006/relationships/hyperlink" Target="https://doi.org/10.1038/s41586-024-08247-6" TargetMode="External"/><Relationship Id="rId389" Type="http://schemas.openxmlformats.org/officeDocument/2006/relationships/hyperlink" Target="https://doi.org/10.7764/Tl.75.33-65" TargetMode="External"/><Relationship Id="rId554" Type="http://schemas.openxmlformats.org/officeDocument/2006/relationships/hyperlink" Target="https://doi.org/10.22199/issn.0719-8175-6479" TargetMode="External"/><Relationship Id="rId193" Type="http://schemas.openxmlformats.org/officeDocument/2006/relationships/hyperlink" Target="https://doi.org/10.3389/fped.2025.1594336" TargetMode="External"/><Relationship Id="rId207" Type="http://schemas.openxmlformats.org/officeDocument/2006/relationships/hyperlink" Target="https://doi.org/10.3390/diagnostics15232984" TargetMode="External"/><Relationship Id="rId249" Type="http://schemas.openxmlformats.org/officeDocument/2006/relationships/hyperlink" Target="https://doi.org/10.7764/ANALESLITCHI.44.12" TargetMode="External"/><Relationship Id="rId414" Type="http://schemas.openxmlformats.org/officeDocument/2006/relationships/hyperlink" Target="https://doi.org/10.1016/j.rmclc.2024.08.006" TargetMode="External"/><Relationship Id="rId456" Type="http://schemas.openxmlformats.org/officeDocument/2006/relationships/hyperlink" Target="https://doi.org/10.1016/j.biopha.2024.116841" TargetMode="External"/><Relationship Id="rId498" Type="http://schemas.openxmlformats.org/officeDocument/2006/relationships/hyperlink" Target="https://doi.org/10.1016/j.rmclc.2024.09.002" TargetMode="External"/><Relationship Id="rId13" Type="http://schemas.openxmlformats.org/officeDocument/2006/relationships/hyperlink" Target="https://doi.org/10.1016/j.ifset.2025.104017" TargetMode="External"/><Relationship Id="rId109" Type="http://schemas.openxmlformats.org/officeDocument/2006/relationships/hyperlink" Target="https://doi.org/10.2147/JMDH.S531343" TargetMode="External"/><Relationship Id="rId260" Type="http://schemas.openxmlformats.org/officeDocument/2006/relationships/hyperlink" Target="https://doi.org/10.1088/1538-3873/ae02c5" TargetMode="External"/><Relationship Id="rId316" Type="http://schemas.openxmlformats.org/officeDocument/2006/relationships/hyperlink" Target="https://doi.org/10.1016/j.recesp.2024.02.017" TargetMode="External"/><Relationship Id="rId523" Type="http://schemas.openxmlformats.org/officeDocument/2006/relationships/hyperlink" Target="https://doi.org/10.1136/bcr-2023-257210" TargetMode="External"/><Relationship Id="rId55" Type="http://schemas.openxmlformats.org/officeDocument/2006/relationships/hyperlink" Target="https://doi.org/10.1080/2331186X.2024.2439655" TargetMode="External"/><Relationship Id="rId97" Type="http://schemas.openxmlformats.org/officeDocument/2006/relationships/hyperlink" Target="https://doi.org/10.3390/nu17010107" TargetMode="External"/><Relationship Id="rId120" Type="http://schemas.openxmlformats.org/officeDocument/2006/relationships/hyperlink" Target="https://doi.org/10.1016/j.piel.2024.05.004" TargetMode="External"/><Relationship Id="rId358" Type="http://schemas.openxmlformats.org/officeDocument/2006/relationships/hyperlink" Target="https://doi.org/10.7775/rac.es.v92.i4.20810" TargetMode="External"/><Relationship Id="rId565" Type="http://schemas.openxmlformats.org/officeDocument/2006/relationships/hyperlink" Target="https://doi.org/10.1016/j.cie.2024.110084" TargetMode="External"/><Relationship Id="rId162" Type="http://schemas.openxmlformats.org/officeDocument/2006/relationships/hyperlink" Target="https://doi.org/10.3390/nu17061058" TargetMode="External"/><Relationship Id="rId218" Type="http://schemas.openxmlformats.org/officeDocument/2006/relationships/hyperlink" Target="https://doi.org/10.1016/j.freeradbiomed.2025.09.047" TargetMode="External"/><Relationship Id="rId425" Type="http://schemas.openxmlformats.org/officeDocument/2006/relationships/hyperlink" Target="https://doi.org/10.1016/j.freeradbiomed.2024.07.035" TargetMode="External"/><Relationship Id="rId467" Type="http://schemas.openxmlformats.org/officeDocument/2006/relationships/hyperlink" Target="https://doi.org/10.4067/S0717-554X2024000200119" TargetMode="External"/><Relationship Id="rId271" Type="http://schemas.openxmlformats.org/officeDocument/2006/relationships/hyperlink" Target="https://doi.org/10.32641/andespediatr.v96i6.5684" TargetMode="External"/><Relationship Id="rId24" Type="http://schemas.openxmlformats.org/officeDocument/2006/relationships/hyperlink" Target="https://doi.org/10.1016/j.rmclc.2025.02.001" TargetMode="External"/><Relationship Id="rId66" Type="http://schemas.openxmlformats.org/officeDocument/2006/relationships/hyperlink" Target="https://doi.org/10.1016/j.recesp.2024.12.010" TargetMode="External"/><Relationship Id="rId131" Type="http://schemas.openxmlformats.org/officeDocument/2006/relationships/hyperlink" Target="https://doi.org/10.1159/000548016" TargetMode="External"/><Relationship Id="rId327" Type="http://schemas.openxmlformats.org/officeDocument/2006/relationships/hyperlink" Target="https://doi.org/10.1111/cid.13297" TargetMode="External"/><Relationship Id="rId369" Type="http://schemas.openxmlformats.org/officeDocument/2006/relationships/hyperlink" Target="https://doi.org/10.1007/s00276-024-03494-8" TargetMode="External"/><Relationship Id="rId534" Type="http://schemas.openxmlformats.org/officeDocument/2006/relationships/hyperlink" Target="https://doi.org/10.3390/molecules29194726" TargetMode="External"/><Relationship Id="rId576" Type="http://schemas.openxmlformats.org/officeDocument/2006/relationships/hyperlink" Target="https://doi.org/10.4067/S1726-569X2024000200245" TargetMode="External"/><Relationship Id="rId173" Type="http://schemas.openxmlformats.org/officeDocument/2006/relationships/hyperlink" Target="https://doi.org/10.1113/JP288854" TargetMode="External"/><Relationship Id="rId229" Type="http://schemas.openxmlformats.org/officeDocument/2006/relationships/hyperlink" Target="https://doi.org/10.55146/ajie.v54i1.1035" TargetMode="External"/><Relationship Id="rId380" Type="http://schemas.openxmlformats.org/officeDocument/2006/relationships/hyperlink" Target="https://doi.org/10.3389/fimmu.2024.1384162" TargetMode="External"/><Relationship Id="rId436" Type="http://schemas.openxmlformats.org/officeDocument/2006/relationships/hyperlink" Target="https://doi.org/10.1386/cjcs_00110_1" TargetMode="External"/><Relationship Id="rId240" Type="http://schemas.openxmlformats.org/officeDocument/2006/relationships/hyperlink" Target="https://doi.org/10.1111/prd.12628" TargetMode="External"/><Relationship Id="rId478" Type="http://schemas.openxmlformats.org/officeDocument/2006/relationships/hyperlink" Target="https://doi.org/10.1038/s41598-024-79092-w" TargetMode="External"/><Relationship Id="rId35" Type="http://schemas.openxmlformats.org/officeDocument/2006/relationships/hyperlink" Target="https://doi.org/10.3390/healthcare13101133" TargetMode="External"/><Relationship Id="rId77" Type="http://schemas.openxmlformats.org/officeDocument/2006/relationships/hyperlink" Target="https://doi.org/10.1016/j.biopha.2025.118339" TargetMode="External"/><Relationship Id="rId100" Type="http://schemas.openxmlformats.org/officeDocument/2006/relationships/hyperlink" Target="https://doi.org/10.3389/fspor.2025.1541765" TargetMode="External"/><Relationship Id="rId282" Type="http://schemas.openxmlformats.org/officeDocument/2006/relationships/hyperlink" Target="https://doi.org/10.1016/j.rgmx.2024.08.004" TargetMode="External"/><Relationship Id="rId338" Type="http://schemas.openxmlformats.org/officeDocument/2006/relationships/hyperlink" Target="https://doi.org/10.3390/microorganisms12030624" TargetMode="External"/><Relationship Id="rId503" Type="http://schemas.openxmlformats.org/officeDocument/2006/relationships/hyperlink" Target="https://doi.org/10.1016/j.rmclc.2024.05.003" TargetMode="External"/><Relationship Id="rId545" Type="http://schemas.openxmlformats.org/officeDocument/2006/relationships/hyperlink" Target="https://doi.org/10.4337/9781803925295.00010" TargetMode="External"/><Relationship Id="rId8" Type="http://schemas.openxmlformats.org/officeDocument/2006/relationships/hyperlink" Target="https://doi.org/10.1016/j.wneu.2025.124317" TargetMode="External"/><Relationship Id="rId142" Type="http://schemas.openxmlformats.org/officeDocument/2006/relationships/hyperlink" Target="https://doi.org/10.1109/CHILECON66915.2025.11476057" TargetMode="External"/><Relationship Id="rId184" Type="http://schemas.openxmlformats.org/officeDocument/2006/relationships/hyperlink" Target="https://doi.org/10.1353/bkb.2025.a952086" TargetMode="External"/><Relationship Id="rId391" Type="http://schemas.openxmlformats.org/officeDocument/2006/relationships/hyperlink" Target="https://doi.org/10.4067/S0718-50062024000300011" TargetMode="External"/><Relationship Id="rId405" Type="http://schemas.openxmlformats.org/officeDocument/2006/relationships/hyperlink" Target="https://doi.org/10.3390/foods13010004" TargetMode="External"/><Relationship Id="rId447" Type="http://schemas.openxmlformats.org/officeDocument/2006/relationships/hyperlink" Target="https://doi.org/10.4206/aus.2024.n36-13" TargetMode="External"/><Relationship Id="rId251" Type="http://schemas.openxmlformats.org/officeDocument/2006/relationships/hyperlink" Target="https://doi.org/10.1109/TEMSCONLATAM65810.2025.11238525" TargetMode="External"/><Relationship Id="rId489" Type="http://schemas.openxmlformats.org/officeDocument/2006/relationships/hyperlink" Target="https://doi.org/10.4067/s0034-98872024000400424" TargetMode="External"/><Relationship Id="rId46" Type="http://schemas.openxmlformats.org/officeDocument/2006/relationships/hyperlink" Target="https://doi.org/10.4067/S0718-00122025000300146" TargetMode="External"/><Relationship Id="rId293" Type="http://schemas.openxmlformats.org/officeDocument/2006/relationships/hyperlink" Target="https://doi.org/10.1016/j.nmd.2025.105311" TargetMode="External"/><Relationship Id="rId307" Type="http://schemas.openxmlformats.org/officeDocument/2006/relationships/hyperlink" Target="https://doi.org/10.1016/j.yfrne.2025.101188" TargetMode="External"/><Relationship Id="rId349" Type="http://schemas.openxmlformats.org/officeDocument/2006/relationships/hyperlink" Target="https://doi.org/10.1111/jcpe.13949" TargetMode="External"/><Relationship Id="rId514" Type="http://schemas.openxmlformats.org/officeDocument/2006/relationships/hyperlink" Target="https://doi.org/10.1016/j.fas.2023.09.002" TargetMode="External"/><Relationship Id="rId556" Type="http://schemas.openxmlformats.org/officeDocument/2006/relationships/hyperlink" Target="https://doi.org/10.1515/oncologie-2023-0368" TargetMode="External"/><Relationship Id="rId88" Type="http://schemas.openxmlformats.org/officeDocument/2006/relationships/hyperlink" Target="https://doi.org/10.17227/rce.num95-18798" TargetMode="External"/><Relationship Id="rId111" Type="http://schemas.openxmlformats.org/officeDocument/2006/relationships/hyperlink" Target="https://doi.org/10.1007/s10805-025-09633-z" TargetMode="External"/><Relationship Id="rId153" Type="http://schemas.openxmlformats.org/officeDocument/2006/relationships/hyperlink" Target="https://doi.org/10.1038/s41537-025-00653-7" TargetMode="External"/><Relationship Id="rId195" Type="http://schemas.openxmlformats.org/officeDocument/2006/relationships/hyperlink" Target="https://doi.org/10.3390/cancers17060913" TargetMode="External"/><Relationship Id="rId209" Type="http://schemas.openxmlformats.org/officeDocument/2006/relationships/hyperlink" Target="https://doi.org/10.3390/diagnostics15212800" TargetMode="External"/><Relationship Id="rId360" Type="http://schemas.openxmlformats.org/officeDocument/2006/relationships/hyperlink" Target="https://doi.org/10.1080/13632434.2024.2317787" TargetMode="External"/><Relationship Id="rId416" Type="http://schemas.openxmlformats.org/officeDocument/2006/relationships/hyperlink" Target="https://doi.org/10.1146/annurev-nutr-062122-031443" TargetMode="External"/><Relationship Id="rId220" Type="http://schemas.openxmlformats.org/officeDocument/2006/relationships/hyperlink" Target="https://doi.org/10.5173/ceju.2024.0177" TargetMode="External"/><Relationship Id="rId458" Type="http://schemas.openxmlformats.org/officeDocument/2006/relationships/hyperlink" Target="https://doi.org/10.29344/0717621X.49.3303" TargetMode="External"/><Relationship Id="rId15" Type="http://schemas.openxmlformats.org/officeDocument/2006/relationships/hyperlink" Target="https://doi.org/10.53382/issn.2452-445X.886" TargetMode="External"/><Relationship Id="rId57" Type="http://schemas.openxmlformats.org/officeDocument/2006/relationships/hyperlink" Target="https://doi.org/10.3390/antiox14010084" TargetMode="External"/><Relationship Id="rId262" Type="http://schemas.openxmlformats.org/officeDocument/2006/relationships/hyperlink" Target="https://doi.org/10.3390/antiox14040388" TargetMode="External"/><Relationship Id="rId318" Type="http://schemas.openxmlformats.org/officeDocument/2006/relationships/hyperlink" Target="https://doi.org/10.1109/SCCC63879.2024.10767628" TargetMode="External"/><Relationship Id="rId525" Type="http://schemas.openxmlformats.org/officeDocument/2006/relationships/hyperlink" Target="https://doi.org/10.47197/RETOS.V51.97367" TargetMode="External"/><Relationship Id="rId567" Type="http://schemas.openxmlformats.org/officeDocument/2006/relationships/hyperlink" Target="https://doi.org/10.1002/1873-3468.14937" TargetMode="External"/><Relationship Id="rId99" Type="http://schemas.openxmlformats.org/officeDocument/2006/relationships/hyperlink" Target="https://doi.org/10.3390/psychiatryint6040120" TargetMode="External"/><Relationship Id="rId122" Type="http://schemas.openxmlformats.org/officeDocument/2006/relationships/hyperlink" Target="https://doi.org/10.1123/ijspp.2025-0270" TargetMode="External"/><Relationship Id="rId164" Type="http://schemas.openxmlformats.org/officeDocument/2006/relationships/hyperlink" Target="https://doi.org/10.1080/02640414.2025.2478354" TargetMode="External"/><Relationship Id="rId371" Type="http://schemas.openxmlformats.org/officeDocument/2006/relationships/hyperlink" Target="https://doi.org/10.1039/d3ra08935e" TargetMode="External"/><Relationship Id="rId427" Type="http://schemas.openxmlformats.org/officeDocument/2006/relationships/hyperlink" Target="https://doi.org/10.1016/j.jece.2024.112911" TargetMode="External"/><Relationship Id="rId469" Type="http://schemas.openxmlformats.org/officeDocument/2006/relationships/hyperlink" Target="https://doi.org/10.5354/0719-4633.2024.72647" TargetMode="External"/><Relationship Id="rId26" Type="http://schemas.openxmlformats.org/officeDocument/2006/relationships/hyperlink" Target="https://doi.org/10.1016/j.jdent.2025.105889" TargetMode="External"/><Relationship Id="rId231" Type="http://schemas.openxmlformats.org/officeDocument/2006/relationships/hyperlink" Target="https://doi.org/10.1016/j.piel.2024.04.006" TargetMode="External"/><Relationship Id="rId273" Type="http://schemas.openxmlformats.org/officeDocument/2006/relationships/hyperlink" Target="https://doi.org/10.7764/cdi.61.87916" TargetMode="External"/><Relationship Id="rId329" Type="http://schemas.openxmlformats.org/officeDocument/2006/relationships/hyperlink" Target="https://doi.org/10.1515/ehs-2023-0015" TargetMode="External"/><Relationship Id="rId480" Type="http://schemas.openxmlformats.org/officeDocument/2006/relationships/hyperlink" Target="https://doi.org/10.1210/endocr/bqae102" TargetMode="External"/><Relationship Id="rId536" Type="http://schemas.openxmlformats.org/officeDocument/2006/relationships/hyperlink" Target="https://doi.org/10.1097/MD.0000000000036856" TargetMode="External"/><Relationship Id="rId68" Type="http://schemas.openxmlformats.org/officeDocument/2006/relationships/hyperlink" Target="https://doi.org/10.1016/j.schres.2025.01.017" TargetMode="External"/><Relationship Id="rId133" Type="http://schemas.openxmlformats.org/officeDocument/2006/relationships/hyperlink" Target="https://doi.org/10.1002/imhj.22154" TargetMode="External"/><Relationship Id="rId175" Type="http://schemas.openxmlformats.org/officeDocument/2006/relationships/hyperlink" Target="https://doi.org/10.1016/j.eats.2024.103195" TargetMode="External"/><Relationship Id="rId340" Type="http://schemas.openxmlformats.org/officeDocument/2006/relationships/hyperlink" Target="https://doi.org/10.4206/aus.2024.n36-10" TargetMode="External"/><Relationship Id="rId578" Type="http://schemas.openxmlformats.org/officeDocument/2006/relationships/table" Target="../tables/table1.xml"/><Relationship Id="rId200" Type="http://schemas.openxmlformats.org/officeDocument/2006/relationships/hyperlink" Target="https://doi.org/10.1097/SCS.0000000000011456" TargetMode="External"/><Relationship Id="rId382" Type="http://schemas.openxmlformats.org/officeDocument/2006/relationships/hyperlink" Target="https://doi.org/10.4067/s0034-98872024000300382" TargetMode="External"/><Relationship Id="rId438" Type="http://schemas.openxmlformats.org/officeDocument/2006/relationships/hyperlink" Target="https://doi.org/10.1016/j.cplett.2024.141288" TargetMode="External"/><Relationship Id="rId242" Type="http://schemas.openxmlformats.org/officeDocument/2006/relationships/hyperlink" Target="https://doi.org/10.3390/app15147873" TargetMode="External"/><Relationship Id="rId284" Type="http://schemas.openxmlformats.org/officeDocument/2006/relationships/hyperlink" Target="https://doi.org/10.3997/2214-4609.202533022" TargetMode="External"/><Relationship Id="rId491" Type="http://schemas.openxmlformats.org/officeDocument/2006/relationships/hyperlink" Target="https://doi.org/10.1016/j.lfs.2024.122851" TargetMode="External"/><Relationship Id="rId505" Type="http://schemas.openxmlformats.org/officeDocument/2006/relationships/hyperlink" Target="https://doi.org/10.18389/dearq39.2024.03" TargetMode="External"/><Relationship Id="rId37" Type="http://schemas.openxmlformats.org/officeDocument/2006/relationships/hyperlink" Target="https://doi.org/10.3390/nu17010182" TargetMode="External"/><Relationship Id="rId79" Type="http://schemas.openxmlformats.org/officeDocument/2006/relationships/hyperlink" Target="https://doi.org/10.3390/jcm14165759" TargetMode="External"/><Relationship Id="rId102" Type="http://schemas.openxmlformats.org/officeDocument/2006/relationships/hyperlink" Target="https://doi.org/10.47197/retos.v66.111857" TargetMode="External"/><Relationship Id="rId144" Type="http://schemas.openxmlformats.org/officeDocument/2006/relationships/hyperlink" Target="https://doi.org/10.1016/j.cmpb.2025.109067" TargetMode="External"/><Relationship Id="rId547" Type="http://schemas.openxmlformats.org/officeDocument/2006/relationships/hyperlink" Target="https://doi.org/10.35279/jowm2024.25.03.04" TargetMode="External"/><Relationship Id="rId90" Type="http://schemas.openxmlformats.org/officeDocument/2006/relationships/hyperlink" Target="https://doi.org/10.1016/j.frl.2024.106429" TargetMode="External"/><Relationship Id="rId186" Type="http://schemas.openxmlformats.org/officeDocument/2006/relationships/hyperlink" Target="https://doi.org/10.3389/fnut.2025.1551130" TargetMode="External"/><Relationship Id="rId351" Type="http://schemas.openxmlformats.org/officeDocument/2006/relationships/hyperlink" Target="https://doi.org/10.1113/JP285955" TargetMode="External"/><Relationship Id="rId393" Type="http://schemas.openxmlformats.org/officeDocument/2006/relationships/hyperlink" Target="https://doi.org/10.3390/sports12070183" TargetMode="External"/><Relationship Id="rId407" Type="http://schemas.openxmlformats.org/officeDocument/2006/relationships/hyperlink" Target="https://doi.org/10.14814/phy2.16020" TargetMode="External"/><Relationship Id="rId449" Type="http://schemas.openxmlformats.org/officeDocument/2006/relationships/hyperlink" Target="https://doi.org/10.1111/jerd.13235" TargetMode="External"/><Relationship Id="rId211" Type="http://schemas.openxmlformats.org/officeDocument/2006/relationships/hyperlink" Target="https://doi.org/10.1016/j.rmclc.2025.04.003" TargetMode="External"/><Relationship Id="rId253" Type="http://schemas.openxmlformats.org/officeDocument/2006/relationships/hyperlink" Target="https://doi.org/10.11607/prd.6932" TargetMode="External"/><Relationship Id="rId295" Type="http://schemas.openxmlformats.org/officeDocument/2006/relationships/hyperlink" Target="https://doi.org/10.5867/medwave.2025.01.2958" TargetMode="External"/><Relationship Id="rId309" Type="http://schemas.openxmlformats.org/officeDocument/2006/relationships/hyperlink" Target="https://doi.org/10.1123/ijspp.2025-0025" TargetMode="External"/><Relationship Id="rId460" Type="http://schemas.openxmlformats.org/officeDocument/2006/relationships/hyperlink" Target="https://doi.org/10.1038/s41598-024-80228-1" TargetMode="External"/><Relationship Id="rId516" Type="http://schemas.openxmlformats.org/officeDocument/2006/relationships/hyperlink" Target="https://doi.org/10.1002/9781394230686.ch14" TargetMode="External"/><Relationship Id="rId48" Type="http://schemas.openxmlformats.org/officeDocument/2006/relationships/hyperlink" Target="https://doi.org/10.29333/ejmste/15953" TargetMode="External"/><Relationship Id="rId113" Type="http://schemas.openxmlformats.org/officeDocument/2006/relationships/hyperlink" Target="https://doi.org/10.30827/PROFESORADO.V29I2.32255" TargetMode="External"/><Relationship Id="rId320" Type="http://schemas.openxmlformats.org/officeDocument/2006/relationships/hyperlink" Target="https://doi.org/10.1038/s41598-024-81543-3" TargetMode="External"/><Relationship Id="rId558" Type="http://schemas.openxmlformats.org/officeDocument/2006/relationships/hyperlink" Target="https://doi.org/10.23736/S0394-9508.23.05548-1" TargetMode="External"/><Relationship Id="rId155" Type="http://schemas.openxmlformats.org/officeDocument/2006/relationships/hyperlink" Target="https://doi.org/10.1016/j.rmclc.2025.10.012" TargetMode="External"/><Relationship Id="rId197" Type="http://schemas.openxmlformats.org/officeDocument/2006/relationships/hyperlink" Target="https://doi.org/10.14198/cuid.27940" TargetMode="External"/><Relationship Id="rId362" Type="http://schemas.openxmlformats.org/officeDocument/2006/relationships/hyperlink" Target="https://doi.org/10.1353/ltr.2024.a931944" TargetMode="External"/><Relationship Id="rId418" Type="http://schemas.openxmlformats.org/officeDocument/2006/relationships/hyperlink" Target="https://doi.org/10.1016/j.frl.2024.106052" TargetMode="External"/><Relationship Id="rId222" Type="http://schemas.openxmlformats.org/officeDocument/2006/relationships/hyperlink" Target="https://doi.org/10.1186/s13054-025-05694-z" TargetMode="External"/><Relationship Id="rId264" Type="http://schemas.openxmlformats.org/officeDocument/2006/relationships/hyperlink" Target="https://doi.org/10.1123/ijspp.2025-0303" TargetMode="External"/><Relationship Id="rId471" Type="http://schemas.openxmlformats.org/officeDocument/2006/relationships/hyperlink" Target="https://doi.org/10.3390/nu16203540" TargetMode="External"/><Relationship Id="rId17" Type="http://schemas.openxmlformats.org/officeDocument/2006/relationships/hyperlink" Target="https://doi.org/10.1016/j.molmet.2025.102261" TargetMode="External"/><Relationship Id="rId59" Type="http://schemas.openxmlformats.org/officeDocument/2006/relationships/hyperlink" Target="https://doi.org/10.1016/j.iref.2025.104155" TargetMode="External"/><Relationship Id="rId124" Type="http://schemas.openxmlformats.org/officeDocument/2006/relationships/hyperlink" Target="https://doi.org/10.1192/j.eurpsy.2025.10060" TargetMode="External"/><Relationship Id="rId527" Type="http://schemas.openxmlformats.org/officeDocument/2006/relationships/hyperlink" Target="https://doi.org/10.1016/j.jcorpfin.2023.102537" TargetMode="External"/><Relationship Id="rId569" Type="http://schemas.openxmlformats.org/officeDocument/2006/relationships/hyperlink" Target="https://doi.org/10.1002/jeo2.70032" TargetMode="External"/><Relationship Id="rId70" Type="http://schemas.openxmlformats.org/officeDocument/2006/relationships/hyperlink" Target="https://doi.org/10.5212/PraxEduc.v.20.24620.068" TargetMode="External"/><Relationship Id="rId166" Type="http://schemas.openxmlformats.org/officeDocument/2006/relationships/hyperlink" Target="https://doi.org/10.1007/s11211-025-00456-2" TargetMode="External"/><Relationship Id="rId331" Type="http://schemas.openxmlformats.org/officeDocument/2006/relationships/hyperlink" Target="https://doi.org/10.1016/B978-0-443-13392-3.00019-0" TargetMode="External"/><Relationship Id="rId373" Type="http://schemas.openxmlformats.org/officeDocument/2006/relationships/hyperlink" Target="https://doi.org/10.1038/s42255-024-01147-z" TargetMode="External"/><Relationship Id="rId429" Type="http://schemas.openxmlformats.org/officeDocument/2006/relationships/hyperlink" Target="https://doi.org/10.1016/j.medin.2023.06.005" TargetMode="External"/><Relationship Id="rId1" Type="http://schemas.openxmlformats.org/officeDocument/2006/relationships/hyperlink" Target="https://doi.org/10.15443/RL3502" TargetMode="External"/><Relationship Id="rId233" Type="http://schemas.openxmlformats.org/officeDocument/2006/relationships/hyperlink" Target="https://doi.org/10.1016/j.wneu.2025.124531" TargetMode="External"/><Relationship Id="rId440" Type="http://schemas.openxmlformats.org/officeDocument/2006/relationships/hyperlink" Target="https://doi.org/10.1016/j.rmclc.2023.11.004" TargetMode="External"/><Relationship Id="rId28" Type="http://schemas.openxmlformats.org/officeDocument/2006/relationships/hyperlink" Target="https://doi.org/10.1080/14763141.2023.2184418" TargetMode="External"/><Relationship Id="rId275" Type="http://schemas.openxmlformats.org/officeDocument/2006/relationships/hyperlink" Target="https://doi.org/10.61872/sdj-2025-02-04" TargetMode="External"/><Relationship Id="rId300" Type="http://schemas.openxmlformats.org/officeDocument/2006/relationships/hyperlink" Target="https://doi.org/10.1123/ijspp.2024-0303" TargetMode="External"/><Relationship Id="rId482" Type="http://schemas.openxmlformats.org/officeDocument/2006/relationships/hyperlink" Target="https://doi.org/10.1016/j.nedt.2024.106116" TargetMode="External"/><Relationship Id="rId538" Type="http://schemas.openxmlformats.org/officeDocument/2006/relationships/hyperlink" Target="https://doi.org/10.23736/S0393-3660.23.05152-5" TargetMode="External"/><Relationship Id="rId81" Type="http://schemas.openxmlformats.org/officeDocument/2006/relationships/hyperlink" Target="https://doi.org/10.1016/j.uncres.2025.100173" TargetMode="External"/><Relationship Id="rId135" Type="http://schemas.openxmlformats.org/officeDocument/2006/relationships/hyperlink" Target="https://doi.org/10.1002/JPER.24-0125" TargetMode="External"/><Relationship Id="rId177" Type="http://schemas.openxmlformats.org/officeDocument/2006/relationships/hyperlink" Target="https://doi.org/10.1136/bcr-2024-263124" TargetMode="External"/><Relationship Id="rId342" Type="http://schemas.openxmlformats.org/officeDocument/2006/relationships/hyperlink" Target="https://doi.org/10.32348/1852.4206.v16.n3.40113" TargetMode="External"/><Relationship Id="rId384" Type="http://schemas.openxmlformats.org/officeDocument/2006/relationships/hyperlink" Target="https://doi.org/10.1016/j.rmclc.2023.12.002" TargetMode="External"/><Relationship Id="rId202" Type="http://schemas.openxmlformats.org/officeDocument/2006/relationships/hyperlink" Target="https://doi.org/10.1109/CHILECON66915.2025.11476576" TargetMode="External"/><Relationship Id="rId244" Type="http://schemas.openxmlformats.org/officeDocument/2006/relationships/hyperlink" Target="https://doi.org/10.4067/s0034-98872025001100760" TargetMode="External"/><Relationship Id="rId39" Type="http://schemas.openxmlformats.org/officeDocument/2006/relationships/hyperlink" Target="https://doi.org/10.23854/autoc.v9i2.493" TargetMode="External"/><Relationship Id="rId286" Type="http://schemas.openxmlformats.org/officeDocument/2006/relationships/hyperlink" Target="https://doi.org/10.15446/ing.investig.115837" TargetMode="External"/><Relationship Id="rId451" Type="http://schemas.openxmlformats.org/officeDocument/2006/relationships/hyperlink" Target="https://doi.org/10.1016/j.rmclc.2024.02.004" TargetMode="External"/><Relationship Id="rId493" Type="http://schemas.openxmlformats.org/officeDocument/2006/relationships/hyperlink" Target="https://doi.org/10.1016/j.rmclc.2024.05.012" TargetMode="External"/><Relationship Id="rId507" Type="http://schemas.openxmlformats.org/officeDocument/2006/relationships/hyperlink" Target="https://doi.org/10.1126/sciadv.adq4461" TargetMode="External"/><Relationship Id="rId549" Type="http://schemas.openxmlformats.org/officeDocument/2006/relationships/hyperlink" Target="https://doi.org/10.1007/s12144-023-04779-8" TargetMode="External"/><Relationship Id="rId50" Type="http://schemas.openxmlformats.org/officeDocument/2006/relationships/hyperlink" Target="https://doi.org/10.1016/j.freeradbiomed.2025.06.007" TargetMode="External"/><Relationship Id="rId104" Type="http://schemas.openxmlformats.org/officeDocument/2006/relationships/hyperlink" Target="https://doi.org/10.3390/healthcare13243268" TargetMode="External"/><Relationship Id="rId146" Type="http://schemas.openxmlformats.org/officeDocument/2006/relationships/hyperlink" Target="https://doi.org/10.1038/s41598-025-25186-y" TargetMode="External"/><Relationship Id="rId188" Type="http://schemas.openxmlformats.org/officeDocument/2006/relationships/hyperlink" Target="https://doi.org/10.1089/neu.2024.0463" TargetMode="External"/><Relationship Id="rId311" Type="http://schemas.openxmlformats.org/officeDocument/2006/relationships/hyperlink" Target="https://doi.org/10.3390/antiox14050611" TargetMode="External"/><Relationship Id="rId353" Type="http://schemas.openxmlformats.org/officeDocument/2006/relationships/hyperlink" Target="https://doi.org/10.1016/bs.acc.2024.02.002" TargetMode="External"/><Relationship Id="rId395" Type="http://schemas.openxmlformats.org/officeDocument/2006/relationships/hyperlink" Target="https://doi.org/10.1038/s41467-024-53292-4" TargetMode="External"/><Relationship Id="rId409" Type="http://schemas.openxmlformats.org/officeDocument/2006/relationships/hyperlink" Target="https://doi.org/10.3390/ph17070856" TargetMode="External"/><Relationship Id="rId560" Type="http://schemas.openxmlformats.org/officeDocument/2006/relationships/hyperlink" Target="https://doi.org/10.3390/cancers16172940" TargetMode="External"/><Relationship Id="rId92" Type="http://schemas.openxmlformats.org/officeDocument/2006/relationships/hyperlink" Target="https://doi.org/10.1186/s13054-025-05313-x" TargetMode="External"/><Relationship Id="rId213" Type="http://schemas.openxmlformats.org/officeDocument/2006/relationships/hyperlink" Target="https://doi.org/10.1016/j.rmclc.2025.01.004" TargetMode="External"/><Relationship Id="rId420" Type="http://schemas.openxmlformats.org/officeDocument/2006/relationships/hyperlink" Target="https://doi.org/10.4067/s0034-98872024000200253" TargetMode="External"/><Relationship Id="rId255" Type="http://schemas.openxmlformats.org/officeDocument/2006/relationships/hyperlink" Target="https://doi.org/10.46516/inmaterial.v10.219" TargetMode="External"/><Relationship Id="rId297" Type="http://schemas.openxmlformats.org/officeDocument/2006/relationships/hyperlink" Target="https://doi.org/10.1016/j.regg.2024.101560" TargetMode="External"/><Relationship Id="rId462" Type="http://schemas.openxmlformats.org/officeDocument/2006/relationships/hyperlink" Target="https://doi.org/10.3389/fpsyg.2024.1454900" TargetMode="External"/><Relationship Id="rId518" Type="http://schemas.openxmlformats.org/officeDocument/2006/relationships/hyperlink" Target="https://doi.org/10.1007/s10936-024-10055-y" TargetMode="External"/><Relationship Id="rId115" Type="http://schemas.openxmlformats.org/officeDocument/2006/relationships/hyperlink" Target="https://doi.org/10.1080/16549716.2025.2574132" TargetMode="External"/><Relationship Id="rId157" Type="http://schemas.openxmlformats.org/officeDocument/2006/relationships/hyperlink" Target="https://doi.org/10.1016/j.rmclc.2025.10.002" TargetMode="External"/><Relationship Id="rId322" Type="http://schemas.openxmlformats.org/officeDocument/2006/relationships/hyperlink" Target="https://doi.org/10.1007/978-981-97-3418-4_20" TargetMode="External"/><Relationship Id="rId364" Type="http://schemas.openxmlformats.org/officeDocument/2006/relationships/hyperlink" Target="https://doi.org/10.1007/s42979-024-03044-4" TargetMode="External"/><Relationship Id="rId61" Type="http://schemas.openxmlformats.org/officeDocument/2006/relationships/hyperlink" Target="https://doi.org/10.3390/ijms26157440" TargetMode="External"/><Relationship Id="rId199" Type="http://schemas.openxmlformats.org/officeDocument/2006/relationships/hyperlink" Target="https://doi.org/10.1016/j.fbio.2025.107433" TargetMode="External"/><Relationship Id="rId571" Type="http://schemas.openxmlformats.org/officeDocument/2006/relationships/hyperlink" Target="https://doi.org/10.1371/journal.pone.0311352" TargetMode="External"/><Relationship Id="rId19" Type="http://schemas.openxmlformats.org/officeDocument/2006/relationships/hyperlink" Target="https://doi.org/10.7717/peerj.20364" TargetMode="External"/><Relationship Id="rId224" Type="http://schemas.openxmlformats.org/officeDocument/2006/relationships/hyperlink" Target="https://doi.org/10.1016/j.jointm.2024.09.001" TargetMode="External"/><Relationship Id="rId266" Type="http://schemas.openxmlformats.org/officeDocument/2006/relationships/hyperlink" Target="https://doi.org/10.1002/ksa.70132" TargetMode="External"/><Relationship Id="rId431" Type="http://schemas.openxmlformats.org/officeDocument/2006/relationships/hyperlink" Target="https://doi.org/10.1109/NANOMED64244.2024.10946060" TargetMode="External"/><Relationship Id="rId473" Type="http://schemas.openxmlformats.org/officeDocument/2006/relationships/hyperlink" Target="https://doi.org/10.1016/j.piel.2023.10.022" TargetMode="External"/><Relationship Id="rId529" Type="http://schemas.openxmlformats.org/officeDocument/2006/relationships/hyperlink" Target="https://doi.org/10.1515/ijfe-2023-0025" TargetMode="External"/><Relationship Id="rId30" Type="http://schemas.openxmlformats.org/officeDocument/2006/relationships/hyperlink" Target="https://doi.org/10.3390/medicina61040666" TargetMode="External"/><Relationship Id="rId126" Type="http://schemas.openxmlformats.org/officeDocument/2006/relationships/hyperlink" Target="https://doi.org/10.1007/s00421-025-05945-5" TargetMode="External"/><Relationship Id="rId168" Type="http://schemas.openxmlformats.org/officeDocument/2006/relationships/hyperlink" Target="https://doi.org/10.1152/ajpcell.00656.2024" TargetMode="External"/><Relationship Id="rId333" Type="http://schemas.openxmlformats.org/officeDocument/2006/relationships/hyperlink" Target="https://doi.org/10.1177/08850666241243306" TargetMode="External"/><Relationship Id="rId540" Type="http://schemas.openxmlformats.org/officeDocument/2006/relationships/hyperlink" Target="https://doi.org/10.3390/diagnostics14070695" TargetMode="External"/><Relationship Id="rId72" Type="http://schemas.openxmlformats.org/officeDocument/2006/relationships/hyperlink" Target="https://doi.org/10.3389/fphar.2025.1633575" TargetMode="External"/><Relationship Id="rId375" Type="http://schemas.openxmlformats.org/officeDocument/2006/relationships/hyperlink" Target="https://doi.org/10.1007/s12028-024-01986-4" TargetMode="External"/><Relationship Id="rId3" Type="http://schemas.openxmlformats.org/officeDocument/2006/relationships/hyperlink" Target="https://doi.org/10.1590/0100-512X2025n16202flr" TargetMode="External"/><Relationship Id="rId235" Type="http://schemas.openxmlformats.org/officeDocument/2006/relationships/hyperlink" Target="https://doi.org/10.1016/j.redox.2025.103844" TargetMode="External"/><Relationship Id="rId277" Type="http://schemas.openxmlformats.org/officeDocument/2006/relationships/hyperlink" Target="https://doi.org/10.1016/j.rmclc.2025.08.005" TargetMode="External"/><Relationship Id="rId400" Type="http://schemas.openxmlformats.org/officeDocument/2006/relationships/hyperlink" Target="https://doi.org/10.5209/aris.93263" TargetMode="External"/><Relationship Id="rId442" Type="http://schemas.openxmlformats.org/officeDocument/2006/relationships/hyperlink" Target="https://doi.org/10.1016/j.invent.2024.100744" TargetMode="External"/><Relationship Id="rId484" Type="http://schemas.openxmlformats.org/officeDocument/2006/relationships/hyperlink" Target="https://doi.org/10.1016/j.wneu.2024.03.084" TargetMode="External"/><Relationship Id="rId137" Type="http://schemas.openxmlformats.org/officeDocument/2006/relationships/hyperlink" Target="https://doi.org/10.1111/apa.17513" TargetMode="External"/><Relationship Id="rId302" Type="http://schemas.openxmlformats.org/officeDocument/2006/relationships/hyperlink" Target="https://doi.org/10.4067/S0718-07052025000100195" TargetMode="External"/><Relationship Id="rId344" Type="http://schemas.openxmlformats.org/officeDocument/2006/relationships/hyperlink" Target="https://doi.org/10.3390/jcm13123460" TargetMode="External"/><Relationship Id="rId41" Type="http://schemas.openxmlformats.org/officeDocument/2006/relationships/hyperlink" Target="https://doi.org/10.1002/ana.27089" TargetMode="External"/><Relationship Id="rId83" Type="http://schemas.openxmlformats.org/officeDocument/2006/relationships/hyperlink" Target="https://doi.org/10.1016/j.socscimed.2025.117815" TargetMode="External"/><Relationship Id="rId179" Type="http://schemas.openxmlformats.org/officeDocument/2006/relationships/hyperlink" Target="https://doi.org/10.1177/09612033251390607" TargetMode="External"/><Relationship Id="rId386" Type="http://schemas.openxmlformats.org/officeDocument/2006/relationships/hyperlink" Target="https://doi.org/10.3390/jfmk9040273" TargetMode="External"/><Relationship Id="rId551" Type="http://schemas.openxmlformats.org/officeDocument/2006/relationships/hyperlink" Target="https://doi.org/10.25185/16.6" TargetMode="External"/><Relationship Id="rId190" Type="http://schemas.openxmlformats.org/officeDocument/2006/relationships/hyperlink" Target="https://doi.org/10.4067/s0719-26812025000200173" TargetMode="External"/><Relationship Id="rId204" Type="http://schemas.openxmlformats.org/officeDocument/2006/relationships/hyperlink" Target="https://doi.org/10.1017/S0033291725101062" TargetMode="External"/><Relationship Id="rId246" Type="http://schemas.openxmlformats.org/officeDocument/2006/relationships/hyperlink" Target="https://doi.org/10.1007/s00246-025-04080-4" TargetMode="External"/><Relationship Id="rId288" Type="http://schemas.openxmlformats.org/officeDocument/2006/relationships/hyperlink" Target="https://doi.org/10.1002/ar.70089" TargetMode="External"/><Relationship Id="rId411" Type="http://schemas.openxmlformats.org/officeDocument/2006/relationships/hyperlink" Target="https://doi.org/10.1111/ijpo.13182" TargetMode="External"/><Relationship Id="rId453" Type="http://schemas.openxmlformats.org/officeDocument/2006/relationships/hyperlink" Target="https://doi.org/10.1201/9781003481836-8" TargetMode="External"/><Relationship Id="rId509" Type="http://schemas.openxmlformats.org/officeDocument/2006/relationships/hyperlink" Target="https://doi.org/10.1016/j.eucr.2024.102749" TargetMode="External"/><Relationship Id="rId106" Type="http://schemas.openxmlformats.org/officeDocument/2006/relationships/hyperlink" Target="https://doi.org/10.1016/j.resplu.2025.100915" TargetMode="External"/><Relationship Id="rId313" Type="http://schemas.openxmlformats.org/officeDocument/2006/relationships/hyperlink" Target="https://doi.org/10.1016/j.rmclc.2025.12.005" TargetMode="External"/><Relationship Id="rId495" Type="http://schemas.openxmlformats.org/officeDocument/2006/relationships/hyperlink" Target="https://doi.org/10.1186/s13054-024-05010-1" TargetMode="External"/><Relationship Id="rId10" Type="http://schemas.openxmlformats.org/officeDocument/2006/relationships/hyperlink" Target="https://doi.org/10.3389/fpubh.2025.1672503" TargetMode="External"/><Relationship Id="rId52" Type="http://schemas.openxmlformats.org/officeDocument/2006/relationships/hyperlink" Target="https://doi.org/10.1080/08929092.2025.2527042" TargetMode="External"/><Relationship Id="rId94" Type="http://schemas.openxmlformats.org/officeDocument/2006/relationships/hyperlink" Target="https://doi.org/10.3390/nu17182991" TargetMode="External"/><Relationship Id="rId148" Type="http://schemas.openxmlformats.org/officeDocument/2006/relationships/hyperlink" Target="https://doi.org/10.1002/pri.70098" TargetMode="External"/><Relationship Id="rId355" Type="http://schemas.openxmlformats.org/officeDocument/2006/relationships/hyperlink" Target="https://doi.org/10.37656/s20768400-2024-1-06" TargetMode="External"/><Relationship Id="rId397" Type="http://schemas.openxmlformats.org/officeDocument/2006/relationships/hyperlink" Target="https://doi.org/10.1016/j.procs.2024.08.134" TargetMode="External"/><Relationship Id="rId520" Type="http://schemas.openxmlformats.org/officeDocument/2006/relationships/hyperlink" Target="https://doi.org/10.1016/j.rmclc.2024.09.004" TargetMode="External"/><Relationship Id="rId562" Type="http://schemas.openxmlformats.org/officeDocument/2006/relationships/hyperlink" Target="https://doi.org/10.1016/j.jconrel.2024.04.035" TargetMode="External"/><Relationship Id="rId215" Type="http://schemas.openxmlformats.org/officeDocument/2006/relationships/hyperlink" Target="https://doi.org/10.1016/j.rmclc.2025.03.005" TargetMode="External"/><Relationship Id="rId257" Type="http://schemas.openxmlformats.org/officeDocument/2006/relationships/hyperlink" Target="https://doi.org/10.3390/ijms26178695" TargetMode="External"/><Relationship Id="rId422" Type="http://schemas.openxmlformats.org/officeDocument/2006/relationships/hyperlink" Target="https://doi.org/10.1038/s41746-024-01191-9" TargetMode="External"/><Relationship Id="rId464" Type="http://schemas.openxmlformats.org/officeDocument/2006/relationships/hyperlink" Target="https://doi.org/10.1007/s11325-023-02909-x" TargetMode="External"/><Relationship Id="rId299" Type="http://schemas.openxmlformats.org/officeDocument/2006/relationships/hyperlink" Target="https://doi.org/10.3390/pr13010020" TargetMode="External"/><Relationship Id="rId63" Type="http://schemas.openxmlformats.org/officeDocument/2006/relationships/hyperlink" Target="https://doi.org/10.1152/jn.00128.2024" TargetMode="External"/><Relationship Id="rId159" Type="http://schemas.openxmlformats.org/officeDocument/2006/relationships/hyperlink" Target="https://doi.org/10.3390/ijms26052366" TargetMode="External"/><Relationship Id="rId366" Type="http://schemas.openxmlformats.org/officeDocument/2006/relationships/hyperlink" Target="https://doi.org/10.18716/ojs/jbla.61.2227" TargetMode="External"/><Relationship Id="rId573" Type="http://schemas.openxmlformats.org/officeDocument/2006/relationships/hyperlink" Target="https://doi.org/10.1016/j.piel.2023.07.002" TargetMode="External"/><Relationship Id="rId226" Type="http://schemas.openxmlformats.org/officeDocument/2006/relationships/hyperlink" Target="https://doi.org/10.3389/fimmu.2025.1540263" TargetMode="External"/><Relationship Id="rId433" Type="http://schemas.openxmlformats.org/officeDocument/2006/relationships/hyperlink" Target="https://doi.org/10.4067/s0716-10182024000400139" TargetMode="External"/><Relationship Id="rId74" Type="http://schemas.openxmlformats.org/officeDocument/2006/relationships/hyperlink" Target="https://doi.org/10.1007/s11695-024-07630-6" TargetMode="External"/><Relationship Id="rId377" Type="http://schemas.openxmlformats.org/officeDocument/2006/relationships/hyperlink" Target="https://doi.org/10.1080/09593985.2022.2122763" TargetMode="External"/><Relationship Id="rId500" Type="http://schemas.openxmlformats.org/officeDocument/2006/relationships/hyperlink" Target="https://doi.org/10.1016/j.edumed.2024.100886" TargetMode="External"/><Relationship Id="rId5" Type="http://schemas.openxmlformats.org/officeDocument/2006/relationships/hyperlink" Target="https://doi.org/10.3390/data10070095" TargetMode="External"/><Relationship Id="rId237" Type="http://schemas.openxmlformats.org/officeDocument/2006/relationships/hyperlink" Target="https://doi.org/10.1097/RHU.0000000000002230" TargetMode="External"/><Relationship Id="rId444" Type="http://schemas.openxmlformats.org/officeDocument/2006/relationships/hyperlink" Target="https://doi.org/10.3390/life14101301" TargetMode="External"/><Relationship Id="rId290" Type="http://schemas.openxmlformats.org/officeDocument/2006/relationships/hyperlink" Target="https://doi.org/10.1002/sd.70021" TargetMode="External"/><Relationship Id="rId304" Type="http://schemas.openxmlformats.org/officeDocument/2006/relationships/hyperlink" Target="https://doi.org/10.1016/j.rmclc.2025.03.002" TargetMode="External"/><Relationship Id="rId388" Type="http://schemas.openxmlformats.org/officeDocument/2006/relationships/hyperlink" Target="https://doi.org/10.1186/s12889-024-20173-w" TargetMode="External"/><Relationship Id="rId511" Type="http://schemas.openxmlformats.org/officeDocument/2006/relationships/hyperlink" Target="https://doi.org/10.1164/rccm.202310-1890LE" TargetMode="External"/><Relationship Id="rId85" Type="http://schemas.openxmlformats.org/officeDocument/2006/relationships/hyperlink" Target="https://doi.org/10.34190/ictr.8.1.3440" TargetMode="External"/><Relationship Id="rId150" Type="http://schemas.openxmlformats.org/officeDocument/2006/relationships/hyperlink" Target="https://doi.org/10.3390/pr13082559" TargetMode="External"/><Relationship Id="rId248" Type="http://schemas.openxmlformats.org/officeDocument/2006/relationships/hyperlink" Target="https://doi.org/10.3390/antiox14030250" TargetMode="External"/><Relationship Id="rId455" Type="http://schemas.openxmlformats.org/officeDocument/2006/relationships/hyperlink" Target="https://doi.org/10.1007/s00276-024-03348-3" TargetMode="External"/><Relationship Id="rId12" Type="http://schemas.openxmlformats.org/officeDocument/2006/relationships/hyperlink" Target="https://doi.org/10.1007/s00202-025-03312-3" TargetMode="External"/><Relationship Id="rId108" Type="http://schemas.openxmlformats.org/officeDocument/2006/relationships/hyperlink" Target="https://doi.org/10.3390/nu17030403" TargetMode="External"/><Relationship Id="rId315" Type="http://schemas.openxmlformats.org/officeDocument/2006/relationships/hyperlink" Target="https://doi.org/10.38178/07183089/1916231230" TargetMode="External"/><Relationship Id="rId522" Type="http://schemas.openxmlformats.org/officeDocument/2006/relationships/hyperlink" Target="https://doi.org/10.1097/GME.0000000000002422" TargetMode="External"/><Relationship Id="rId96" Type="http://schemas.openxmlformats.org/officeDocument/2006/relationships/hyperlink" Target="https://doi.org/10.14221/1835-517X.6700" TargetMode="External"/><Relationship Id="rId161" Type="http://schemas.openxmlformats.org/officeDocument/2006/relationships/hyperlink" Target="https://doi.org/10.1038/s41467-025-56628-w" TargetMode="External"/><Relationship Id="rId399" Type="http://schemas.openxmlformats.org/officeDocument/2006/relationships/hyperlink" Target="https://doi.org/10.1007/s41809-023-00136-0" TargetMode="External"/><Relationship Id="rId259" Type="http://schemas.openxmlformats.org/officeDocument/2006/relationships/hyperlink" Target="https://doi.org/10.14718/REVFINANZPOLITECON.V17.2025.7" TargetMode="External"/><Relationship Id="rId466" Type="http://schemas.openxmlformats.org/officeDocument/2006/relationships/hyperlink" Target="https://doi.org/10.32641/andespediatr.v95i6.5236" TargetMode="External"/><Relationship Id="rId23" Type="http://schemas.openxmlformats.org/officeDocument/2006/relationships/hyperlink" Target="https://doi.org/10.1093/geronb/gbaf192" TargetMode="External"/><Relationship Id="rId119" Type="http://schemas.openxmlformats.org/officeDocument/2006/relationships/hyperlink" Target="https://doi.org/10.1016/j.frl.2025.107230" TargetMode="External"/><Relationship Id="rId326" Type="http://schemas.openxmlformats.org/officeDocument/2006/relationships/hyperlink" Target="https://doi.org/10.1016/j.newideapsych.2024.101096" TargetMode="External"/><Relationship Id="rId533" Type="http://schemas.openxmlformats.org/officeDocument/2006/relationships/hyperlink" Target="https://doi.org/10.1111/phpp.12985" TargetMode="External"/><Relationship Id="rId172" Type="http://schemas.openxmlformats.org/officeDocument/2006/relationships/hyperlink" Target="https://doi.org/10.3390/systems13090789" TargetMode="External"/><Relationship Id="rId477" Type="http://schemas.openxmlformats.org/officeDocument/2006/relationships/hyperlink" Target="https://doi.org/10.1016/j.heliyon.2024.e25348" TargetMode="External"/><Relationship Id="rId337" Type="http://schemas.openxmlformats.org/officeDocument/2006/relationships/hyperlink" Target="https://doi.org/10.1007/s00276-024-03377-y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opus.com/results/authorNamesList.uri?st1=Henr%C3%ADquez-Olgu%C3%ADn&amp;st2=C" TargetMode="External"/><Relationship Id="rId13" Type="http://schemas.openxmlformats.org/officeDocument/2006/relationships/hyperlink" Target="https://www.scopus.com/results/authorNamesList.uri?st1=Dreyse&amp;st2=J" TargetMode="External"/><Relationship Id="rId3" Type="http://schemas.openxmlformats.org/officeDocument/2006/relationships/hyperlink" Target="https://www.scopus.com/results/authorNamesList.uri?st1=Ferre&amp;st2=A" TargetMode="External"/><Relationship Id="rId7" Type="http://schemas.openxmlformats.org/officeDocument/2006/relationships/hyperlink" Target="https://www.scopus.com/results/authorNamesList.uri?st1=D%C3%ADaz&amp;st2=F" TargetMode="External"/><Relationship Id="rId12" Type="http://schemas.openxmlformats.org/officeDocument/2006/relationships/hyperlink" Target="https://www.scopus.com/results/authorNamesList.uri?st1=Cancino-L%C3%B3pez&amp;st2=J" TargetMode="External"/><Relationship Id="rId2" Type="http://schemas.openxmlformats.org/officeDocument/2006/relationships/hyperlink" Target="https://www.scopus.com/results/authorNamesList.uri?st1=Yanine&amp;st2=F" TargetMode="External"/><Relationship Id="rId16" Type="http://schemas.openxmlformats.org/officeDocument/2006/relationships/drawing" Target="../drawings/drawing2.xml"/><Relationship Id="rId1" Type="http://schemas.openxmlformats.org/officeDocument/2006/relationships/hyperlink" Target="https://www.scopus.com/results/authorNamesList.uri?st1=Orellana-Donoso&amp;st2=M" TargetMode="External"/><Relationship Id="rId6" Type="http://schemas.openxmlformats.org/officeDocument/2006/relationships/hyperlink" Target="https://www.scopus.com/results/authorNamesList.uri?st1=Strauss&amp;st2=F" TargetMode="External"/><Relationship Id="rId11" Type="http://schemas.openxmlformats.org/officeDocument/2006/relationships/hyperlink" Target="https://www.scopus.com/results/authorNamesList.uri?st1=Fern%C3%A1ndez-Verdejo&amp;st2=R" TargetMode="External"/><Relationship Id="rId5" Type="http://schemas.openxmlformats.org/officeDocument/2006/relationships/hyperlink" Target="https://www.scopus.com/results/authorNamesList.uri?st1=Giglio&amp;st2=A" TargetMode="External"/><Relationship Id="rId15" Type="http://schemas.openxmlformats.org/officeDocument/2006/relationships/hyperlink" Target="https://www.scopus.com/results/authorNamesList.uri?st1=Bustos-Arriagada&amp;st2=E" TargetMode="External"/><Relationship Id="rId10" Type="http://schemas.openxmlformats.org/officeDocument/2006/relationships/hyperlink" Target="https://www.scopus.com/results/authorNamesList.uri?st1=Mariotti-Celis&amp;st2=M" TargetMode="External"/><Relationship Id="rId4" Type="http://schemas.openxmlformats.org/officeDocument/2006/relationships/hyperlink" Target="https://www.scopus.com/results/authorNamesList.uri?st1=Mujika&amp;st2=I" TargetMode="External"/><Relationship Id="rId9" Type="http://schemas.openxmlformats.org/officeDocument/2006/relationships/hyperlink" Target="https://www.scopus.com/results/authorNamesList.uri?st1=L%C3%B3pez-Arana&amp;st2=S" TargetMode="External"/><Relationship Id="rId14" Type="http://schemas.openxmlformats.org/officeDocument/2006/relationships/hyperlink" Target="https://www.scopus.com/results/authorNamesList.uri?st1=Hidalgo&amp;st2=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opus.com/results/authorNamesList.uri?st1=Henr%C3%ADquez-Olgu%C3%ADn&amp;st2=C" TargetMode="External"/><Relationship Id="rId13" Type="http://schemas.openxmlformats.org/officeDocument/2006/relationships/hyperlink" Target="https://www.scopus.com/results/authorNamesList.uri?st1=Dreyse&amp;st2=J" TargetMode="External"/><Relationship Id="rId3" Type="http://schemas.openxmlformats.org/officeDocument/2006/relationships/hyperlink" Target="https://www.scopus.com/results/authorNamesList.uri?st1=Ferre&amp;st2=A" TargetMode="External"/><Relationship Id="rId7" Type="http://schemas.openxmlformats.org/officeDocument/2006/relationships/hyperlink" Target="https://www.scopus.com/results/authorNamesList.uri?st1=D%C3%ADaz&amp;st2=F" TargetMode="External"/><Relationship Id="rId12" Type="http://schemas.openxmlformats.org/officeDocument/2006/relationships/hyperlink" Target="https://www.scopus.com/results/authorNamesList.uri?st1=Cancino-L%C3%B3pez&amp;st2=J" TargetMode="External"/><Relationship Id="rId2" Type="http://schemas.openxmlformats.org/officeDocument/2006/relationships/hyperlink" Target="https://www.scopus.com/results/authorNamesList.uri?st1=Yanine&amp;st2=F" TargetMode="External"/><Relationship Id="rId16" Type="http://schemas.openxmlformats.org/officeDocument/2006/relationships/drawing" Target="../drawings/drawing3.xml"/><Relationship Id="rId1" Type="http://schemas.openxmlformats.org/officeDocument/2006/relationships/hyperlink" Target="https://www.scopus.com/results/authorNamesList.uri?st1=Orellana-Donoso&amp;st2=M" TargetMode="External"/><Relationship Id="rId6" Type="http://schemas.openxmlformats.org/officeDocument/2006/relationships/hyperlink" Target="https://www.scopus.com/results/authorNamesList.uri?st1=Strauss&amp;st2=F" TargetMode="External"/><Relationship Id="rId11" Type="http://schemas.openxmlformats.org/officeDocument/2006/relationships/hyperlink" Target="https://www.scopus.com/results/authorNamesList.uri?st1=Fern%C3%A1ndez-Verdejo&amp;st2=R" TargetMode="External"/><Relationship Id="rId5" Type="http://schemas.openxmlformats.org/officeDocument/2006/relationships/hyperlink" Target="https://www.scopus.com/results/authorNamesList.uri?st1=Giglio&amp;st2=A" TargetMode="External"/><Relationship Id="rId15" Type="http://schemas.openxmlformats.org/officeDocument/2006/relationships/hyperlink" Target="https://www.scopus.com/results/authorNamesList.uri?st1=Bustos-Arriagada&amp;st2=E" TargetMode="External"/><Relationship Id="rId10" Type="http://schemas.openxmlformats.org/officeDocument/2006/relationships/hyperlink" Target="https://www.scopus.com/results/authorNamesList.uri?st1=Mariotti-Celis&amp;st2=M" TargetMode="External"/><Relationship Id="rId4" Type="http://schemas.openxmlformats.org/officeDocument/2006/relationships/hyperlink" Target="https://www.scopus.com/results/authorNamesList.uri?st1=Mujika&amp;st2=I" TargetMode="External"/><Relationship Id="rId9" Type="http://schemas.openxmlformats.org/officeDocument/2006/relationships/hyperlink" Target="https://www.scopus.com/results/authorNamesList.uri?st1=L%C3%B3pez-Arana&amp;st2=S" TargetMode="External"/><Relationship Id="rId14" Type="http://schemas.openxmlformats.org/officeDocument/2006/relationships/hyperlink" Target="https://www.scopus.com/results/authorNamesList.uri?st1=Hidalgo&amp;st2=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F5565-A88F-4CCA-B576-62689053E343}">
  <sheetPr>
    <pageSetUpPr fitToPage="1"/>
  </sheetPr>
  <dimension ref="A1:N60"/>
  <sheetViews>
    <sheetView topLeftCell="A28" workbookViewId="0">
      <selection activeCell="B21" sqref="B21:M21"/>
    </sheetView>
  </sheetViews>
  <sheetFormatPr baseColWidth="10" defaultRowHeight="14.4"/>
  <cols>
    <col min="1" max="1" width="4.44140625" customWidth="1"/>
    <col min="2" max="13" width="11.88671875" customWidth="1"/>
    <col min="14" max="14" width="4.44140625" customWidth="1"/>
  </cols>
  <sheetData>
    <row r="1" spans="1:14" ht="15" customHeight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15" customHeight="1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4" ht="15" customHeight="1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4" spans="1:14" ht="15" customHeight="1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</row>
    <row r="5" spans="1:14" ht="15" customHeight="1">
      <c r="A5" s="21"/>
      <c r="B5" s="51" t="s">
        <v>6030</v>
      </c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21"/>
    </row>
    <row r="6" spans="1:14" ht="15" customHeight="1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</row>
    <row r="7" spans="1:14" ht="6" customHeight="1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</row>
    <row r="8" spans="1:14" ht="4.95" customHeight="1">
      <c r="A8" s="21"/>
      <c r="B8" s="21"/>
      <c r="C8" s="21"/>
      <c r="D8" s="21"/>
      <c r="E8" s="21"/>
      <c r="F8" s="23"/>
      <c r="G8" s="23"/>
      <c r="H8" s="23"/>
      <c r="I8" s="23"/>
      <c r="J8" s="21"/>
      <c r="K8" s="21"/>
      <c r="L8" s="21"/>
      <c r="M8" s="21"/>
      <c r="N8" s="21"/>
    </row>
    <row r="9" spans="1:14" ht="15" customHeight="1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</row>
    <row r="10" spans="1:14" ht="19.05" customHeight="1">
      <c r="A10" s="21"/>
      <c r="B10" s="53" t="s">
        <v>6021</v>
      </c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21"/>
    </row>
    <row r="11" spans="1:14" ht="19.05" customHeight="1">
      <c r="A11" s="21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21"/>
    </row>
    <row r="12" spans="1:14" ht="19.05" customHeight="1">
      <c r="A12" s="21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21"/>
    </row>
    <row r="13" spans="1:14" ht="19.05" customHeight="1">
      <c r="A13" s="21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21"/>
    </row>
    <row r="14" spans="1:14" ht="19.0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</row>
    <row r="15" spans="1:14" ht="19.05" customHeight="1">
      <c r="A15" s="21"/>
      <c r="B15" s="54" t="s">
        <v>6022</v>
      </c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21"/>
    </row>
    <row r="16" spans="1:14" ht="19.05" customHeight="1">
      <c r="A16" s="21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21"/>
    </row>
    <row r="17" spans="1:14" ht="19.05" customHeight="1">
      <c r="A17" s="21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21"/>
    </row>
    <row r="18" spans="1:14" ht="19.05" customHeight="1">
      <c r="A18" s="21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21"/>
    </row>
    <row r="19" spans="1:14" ht="1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</row>
    <row r="20" spans="1:14" ht="1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</row>
    <row r="21" spans="1:14" ht="15" customHeight="1">
      <c r="A21" s="21"/>
      <c r="B21" s="55" t="s">
        <v>6029</v>
      </c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21"/>
    </row>
    <row r="22" spans="1:14" ht="1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</row>
    <row r="23" spans="1:14" ht="15" customHeight="1">
      <c r="A23" s="21"/>
      <c r="B23" s="56" t="s">
        <v>6023</v>
      </c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21"/>
    </row>
    <row r="24" spans="1:14" ht="1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</row>
    <row r="25" spans="1:14" ht="1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</row>
    <row r="26" spans="1:14" ht="1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</row>
    <row r="27" spans="1:14" ht="1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</row>
    <row r="28" spans="1:14" ht="1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</row>
    <row r="29" spans="1:14" ht="30" customHeight="1">
      <c r="A29" s="21"/>
      <c r="B29" s="21"/>
      <c r="C29" s="49">
        <v>589</v>
      </c>
      <c r="D29" s="49"/>
      <c r="E29" s="49"/>
      <c r="F29" s="43">
        <v>396</v>
      </c>
      <c r="G29" s="44"/>
      <c r="H29" s="45"/>
      <c r="I29" s="49">
        <v>853</v>
      </c>
      <c r="J29" s="49"/>
      <c r="K29" s="49"/>
      <c r="L29" s="21"/>
      <c r="M29" s="21"/>
      <c r="N29" s="21"/>
    </row>
    <row r="30" spans="1:14" ht="15" customHeight="1">
      <c r="A30" s="21"/>
      <c r="B30" s="21"/>
      <c r="C30" s="21"/>
      <c r="D30" s="21"/>
      <c r="E30" s="21"/>
      <c r="F30" s="25"/>
      <c r="G30" s="22"/>
      <c r="H30" s="26"/>
      <c r="I30" s="21"/>
      <c r="J30" s="21"/>
      <c r="K30" s="21"/>
      <c r="L30" s="21"/>
      <c r="M30" s="21"/>
      <c r="N30" s="21"/>
    </row>
    <row r="31" spans="1:14" ht="15" customHeight="1">
      <c r="A31" s="21"/>
      <c r="B31" s="21"/>
      <c r="C31" s="42" t="s">
        <v>6024</v>
      </c>
      <c r="D31" s="42"/>
      <c r="E31" s="42"/>
      <c r="F31" s="46" t="s">
        <v>6025</v>
      </c>
      <c r="G31" s="47"/>
      <c r="H31" s="48"/>
      <c r="I31" s="42" t="s">
        <v>6026</v>
      </c>
      <c r="J31" s="42"/>
      <c r="K31" s="42"/>
      <c r="L31" s="21"/>
      <c r="M31" s="21"/>
      <c r="N31" s="21"/>
    </row>
    <row r="32" spans="1:14" ht="1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</row>
    <row r="33" spans="1:14" ht="1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</row>
    <row r="34" spans="1:14" ht="1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</row>
    <row r="35" spans="1:14" ht="1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</row>
    <row r="36" spans="1:14" ht="1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</row>
    <row r="37" spans="1:14" ht="1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</row>
    <row r="38" spans="1:14" ht="1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</row>
    <row r="39" spans="1:14" ht="1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</row>
    <row r="40" spans="1:14" ht="1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</row>
    <row r="41" spans="1:14" ht="1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</row>
    <row r="42" spans="1:14" ht="1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</row>
    <row r="43" spans="1:14" ht="15" customHeight="1">
      <c r="A43" s="21"/>
      <c r="B43" s="21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1"/>
      <c r="N43" s="21"/>
    </row>
    <row r="44" spans="1:14" ht="1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</row>
    <row r="45" spans="1:14" ht="15" customHeight="1">
      <c r="A45" s="21"/>
      <c r="B45" s="50" t="s">
        <v>6027</v>
      </c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21"/>
    </row>
    <row r="46" spans="1:14" ht="1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</row>
    <row r="47" spans="1:14" ht="15" customHeight="1">
      <c r="A47" s="21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21"/>
    </row>
    <row r="48" spans="1:14" ht="1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</row>
    <row r="49" spans="1:14" ht="15" customHeight="1">
      <c r="A49" s="21"/>
      <c r="B49" s="41" t="s">
        <v>6028</v>
      </c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21"/>
    </row>
    <row r="50" spans="1:14" ht="1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</row>
    <row r="51" spans="1:14" ht="15" customHeight="1"/>
    <row r="52" spans="1:14" ht="15" customHeight="1"/>
    <row r="53" spans="1:14" ht="15" customHeight="1"/>
    <row r="54" spans="1:14" ht="15" customHeight="1"/>
    <row r="55" spans="1:14" ht="15" customHeight="1"/>
    <row r="56" spans="1:14" ht="15" customHeight="1"/>
    <row r="57" spans="1:14" ht="15" customHeight="1"/>
    <row r="58" spans="1:14" ht="15" customHeight="1"/>
    <row r="59" spans="1:14" ht="15" customHeight="1"/>
    <row r="60" spans="1:14" ht="15" customHeight="1"/>
  </sheetData>
  <mergeCells count="14">
    <mergeCell ref="B5:M5"/>
    <mergeCell ref="B10:M13"/>
    <mergeCell ref="B15:M18"/>
    <mergeCell ref="B21:M21"/>
    <mergeCell ref="B23:M23"/>
    <mergeCell ref="B47:M47"/>
    <mergeCell ref="B49:M49"/>
    <mergeCell ref="C31:E31"/>
    <mergeCell ref="F29:H29"/>
    <mergeCell ref="F31:H31"/>
    <mergeCell ref="I29:K29"/>
    <mergeCell ref="I31:K31"/>
    <mergeCell ref="B45:M45"/>
    <mergeCell ref="C29:E29"/>
  </mergeCells>
  <printOptions horizontalCentered="1" verticalCentered="1"/>
  <pageMargins left="0.7" right="0.7" top="0.75" bottom="0.75" header="0.3" footer="0.3"/>
  <pageSetup paperSize="9" scale="5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387CC-80A6-4982-AC79-F4E40E0CCBD5}">
  <sheetPr>
    <pageSetUpPr fitToPage="1"/>
  </sheetPr>
  <dimension ref="A1:AD854"/>
  <sheetViews>
    <sheetView workbookViewId="0">
      <pane ySplit="4" topLeftCell="A5" activePane="bottomLeft" state="frozen"/>
      <selection pane="bottomLeft" activeCell="J43" sqref="J43"/>
    </sheetView>
  </sheetViews>
  <sheetFormatPr baseColWidth="10" defaultRowHeight="14.4" outlineLevelCol="1"/>
  <cols>
    <col min="1" max="1" width="5.5546875" customWidth="1"/>
    <col min="2" max="2" width="27.77734375" customWidth="1"/>
    <col min="3" max="5" width="8.88671875" customWidth="1"/>
    <col min="6" max="6" width="3.33203125" customWidth="1"/>
    <col min="7" max="7" width="25.88671875" customWidth="1"/>
    <col min="8" max="14" width="11.109375" customWidth="1"/>
    <col min="27" max="29" width="0" hidden="1" customWidth="1" outlineLevel="1"/>
    <col min="30" max="30" width="11.5546875" collapsed="1"/>
  </cols>
  <sheetData>
    <row r="1" spans="1:29" ht="19.8">
      <c r="A1" s="57" t="s">
        <v>6031</v>
      </c>
      <c r="B1" s="57"/>
      <c r="C1" s="57"/>
      <c r="D1" s="57"/>
      <c r="E1" s="57"/>
      <c r="AA1" t="s">
        <v>5873</v>
      </c>
      <c r="AB1" t="s">
        <v>5874</v>
      </c>
      <c r="AC1" t="s">
        <v>5875</v>
      </c>
    </row>
    <row r="2" spans="1:29" ht="28.05" customHeight="1">
      <c r="A2" s="58" t="s">
        <v>6032</v>
      </c>
      <c r="B2" s="58"/>
      <c r="C2" s="58"/>
      <c r="D2" s="58"/>
      <c r="E2" s="58"/>
      <c r="AA2" t="s">
        <v>22</v>
      </c>
      <c r="AB2">
        <v>2024</v>
      </c>
      <c r="AC2" t="s">
        <v>33</v>
      </c>
    </row>
    <row r="3" spans="1:29">
      <c r="AA3" t="s">
        <v>39</v>
      </c>
      <c r="AB3">
        <v>2024</v>
      </c>
      <c r="AC3" t="s">
        <v>49</v>
      </c>
    </row>
    <row r="4" spans="1:29">
      <c r="A4" s="8" t="s">
        <v>5876</v>
      </c>
      <c r="B4" s="8" t="s">
        <v>5877</v>
      </c>
      <c r="C4" s="8">
        <v>2024</v>
      </c>
      <c r="D4" s="8">
        <v>2025</v>
      </c>
      <c r="E4" s="8" t="s">
        <v>5878</v>
      </c>
      <c r="AA4" t="s">
        <v>55</v>
      </c>
      <c r="AB4">
        <v>2024</v>
      </c>
      <c r="AC4" t="s">
        <v>49</v>
      </c>
    </row>
    <row r="5" spans="1:29">
      <c r="A5" s="9">
        <v>1</v>
      </c>
      <c r="B5" s="10" t="s">
        <v>276</v>
      </c>
      <c r="C5" s="9">
        <f t="shared" ref="C5:C68" si="0">COUNTIFS($AA:$AA,$B5,$AB:$AB,2024)</f>
        <v>16</v>
      </c>
      <c r="D5" s="9">
        <f t="shared" ref="D5:D68" si="1">COUNTIFS($AA:$AA,$B5,$AB:$AB,2025)</f>
        <v>16</v>
      </c>
      <c r="E5" s="11">
        <f t="shared" ref="E5:E68" si="2">C5+D5</f>
        <v>32</v>
      </c>
      <c r="AA5" t="s">
        <v>56</v>
      </c>
      <c r="AB5">
        <v>2024</v>
      </c>
      <c r="AC5" t="s">
        <v>49</v>
      </c>
    </row>
    <row r="6" spans="1:29">
      <c r="A6" s="9">
        <v>2</v>
      </c>
      <c r="B6" s="10" t="s">
        <v>128</v>
      </c>
      <c r="C6" s="9">
        <f t="shared" si="0"/>
        <v>13</v>
      </c>
      <c r="D6" s="9">
        <f t="shared" si="1"/>
        <v>9</v>
      </c>
      <c r="E6" s="11">
        <f t="shared" si="2"/>
        <v>22</v>
      </c>
      <c r="AA6" t="s">
        <v>70</v>
      </c>
      <c r="AB6">
        <v>2024</v>
      </c>
      <c r="AC6" t="s">
        <v>49</v>
      </c>
    </row>
    <row r="7" spans="1:29">
      <c r="A7" s="9">
        <v>3</v>
      </c>
      <c r="B7" s="10" t="s">
        <v>1344</v>
      </c>
      <c r="C7" s="9">
        <f t="shared" si="0"/>
        <v>9</v>
      </c>
      <c r="D7" s="9">
        <f t="shared" si="1"/>
        <v>12</v>
      </c>
      <c r="E7" s="11">
        <f t="shared" si="2"/>
        <v>21</v>
      </c>
      <c r="AA7" t="s">
        <v>81</v>
      </c>
      <c r="AB7">
        <v>2024</v>
      </c>
      <c r="AC7" t="s">
        <v>49</v>
      </c>
    </row>
    <row r="8" spans="1:29">
      <c r="A8" s="9">
        <v>4</v>
      </c>
      <c r="B8" s="10" t="s">
        <v>22</v>
      </c>
      <c r="C8" s="9">
        <f t="shared" si="0"/>
        <v>7</v>
      </c>
      <c r="D8" s="9">
        <f t="shared" si="1"/>
        <v>14</v>
      </c>
      <c r="E8" s="11">
        <f t="shared" si="2"/>
        <v>21</v>
      </c>
      <c r="AA8" t="s">
        <v>82</v>
      </c>
      <c r="AB8">
        <v>2024</v>
      </c>
      <c r="AC8" t="s">
        <v>49</v>
      </c>
    </row>
    <row r="9" spans="1:29">
      <c r="A9" s="9">
        <v>5</v>
      </c>
      <c r="B9" s="10" t="s">
        <v>1916</v>
      </c>
      <c r="C9" s="9">
        <f t="shared" si="0"/>
        <v>6</v>
      </c>
      <c r="D9" s="9">
        <f t="shared" si="1"/>
        <v>13</v>
      </c>
      <c r="E9" s="11">
        <f t="shared" si="2"/>
        <v>19</v>
      </c>
      <c r="AA9" t="s">
        <v>83</v>
      </c>
      <c r="AB9">
        <v>2024</v>
      </c>
      <c r="AC9" t="s">
        <v>49</v>
      </c>
    </row>
    <row r="10" spans="1:29">
      <c r="A10" s="9">
        <v>6</v>
      </c>
      <c r="B10" s="10" t="s">
        <v>113</v>
      </c>
      <c r="C10" s="9">
        <f t="shared" si="0"/>
        <v>10</v>
      </c>
      <c r="D10" s="9">
        <f t="shared" si="1"/>
        <v>6</v>
      </c>
      <c r="E10" s="11">
        <f t="shared" si="2"/>
        <v>16</v>
      </c>
      <c r="AA10" t="s">
        <v>84</v>
      </c>
      <c r="AB10">
        <v>2025</v>
      </c>
      <c r="AC10" t="s">
        <v>49</v>
      </c>
    </row>
    <row r="11" spans="1:29">
      <c r="A11" s="9">
        <v>7</v>
      </c>
      <c r="B11" s="10" t="s">
        <v>635</v>
      </c>
      <c r="C11" s="9">
        <f t="shared" si="0"/>
        <v>5</v>
      </c>
      <c r="D11" s="9">
        <f t="shared" si="1"/>
        <v>10</v>
      </c>
      <c r="E11" s="11">
        <f t="shared" si="2"/>
        <v>15</v>
      </c>
      <c r="AA11" t="s">
        <v>97</v>
      </c>
      <c r="AB11">
        <v>2024</v>
      </c>
      <c r="AC11" t="s">
        <v>33</v>
      </c>
    </row>
    <row r="12" spans="1:29">
      <c r="A12" s="9">
        <v>8</v>
      </c>
      <c r="B12" s="10" t="s">
        <v>164</v>
      </c>
      <c r="C12" s="9">
        <f t="shared" si="0"/>
        <v>6</v>
      </c>
      <c r="D12" s="9">
        <f t="shared" si="1"/>
        <v>7</v>
      </c>
      <c r="E12" s="11">
        <f t="shared" si="2"/>
        <v>13</v>
      </c>
      <c r="AA12" t="s">
        <v>113</v>
      </c>
      <c r="AB12">
        <v>2024</v>
      </c>
      <c r="AC12" t="s">
        <v>33</v>
      </c>
    </row>
    <row r="13" spans="1:29">
      <c r="A13" s="9">
        <v>9</v>
      </c>
      <c r="B13" s="10" t="s">
        <v>3141</v>
      </c>
      <c r="C13" s="9">
        <f t="shared" si="0"/>
        <v>3</v>
      </c>
      <c r="D13" s="9">
        <f t="shared" si="1"/>
        <v>10</v>
      </c>
      <c r="E13" s="11">
        <f t="shared" si="2"/>
        <v>13</v>
      </c>
      <c r="AA13" t="s">
        <v>128</v>
      </c>
      <c r="AB13">
        <v>2025</v>
      </c>
      <c r="AC13" t="s">
        <v>49</v>
      </c>
    </row>
    <row r="14" spans="1:29">
      <c r="A14" s="9">
        <v>10</v>
      </c>
      <c r="B14" s="10" t="s">
        <v>39</v>
      </c>
      <c r="C14" s="9">
        <f t="shared" si="0"/>
        <v>9</v>
      </c>
      <c r="D14" s="9">
        <f t="shared" si="1"/>
        <v>3</v>
      </c>
      <c r="E14" s="11">
        <f t="shared" si="2"/>
        <v>12</v>
      </c>
      <c r="AA14" t="s">
        <v>128</v>
      </c>
      <c r="AB14">
        <v>2024</v>
      </c>
      <c r="AC14" t="s">
        <v>33</v>
      </c>
    </row>
    <row r="15" spans="1:29">
      <c r="A15" s="9">
        <v>11</v>
      </c>
      <c r="B15" s="10" t="s">
        <v>265</v>
      </c>
      <c r="C15" s="9">
        <f t="shared" si="0"/>
        <v>8</v>
      </c>
      <c r="D15" s="9">
        <f t="shared" si="1"/>
        <v>4</v>
      </c>
      <c r="E15" s="11">
        <f t="shared" si="2"/>
        <v>12</v>
      </c>
      <c r="AA15" t="s">
        <v>39</v>
      </c>
      <c r="AB15">
        <v>2024</v>
      </c>
      <c r="AC15" t="s">
        <v>49</v>
      </c>
    </row>
    <row r="16" spans="1:29">
      <c r="A16" s="9">
        <v>12</v>
      </c>
      <c r="B16" s="10" t="s">
        <v>1282</v>
      </c>
      <c r="C16" s="9">
        <f t="shared" si="0"/>
        <v>4</v>
      </c>
      <c r="D16" s="9">
        <f t="shared" si="1"/>
        <v>7</v>
      </c>
      <c r="E16" s="11">
        <f t="shared" si="2"/>
        <v>11</v>
      </c>
      <c r="AA16" t="s">
        <v>164</v>
      </c>
      <c r="AB16">
        <v>2024</v>
      </c>
      <c r="AC16" t="s">
        <v>33</v>
      </c>
    </row>
    <row r="17" spans="1:29">
      <c r="A17" s="9">
        <v>13</v>
      </c>
      <c r="B17" s="10" t="s">
        <v>433</v>
      </c>
      <c r="C17" s="9">
        <f t="shared" si="0"/>
        <v>6</v>
      </c>
      <c r="D17" s="9">
        <f t="shared" si="1"/>
        <v>4</v>
      </c>
      <c r="E17" s="11">
        <f t="shared" si="2"/>
        <v>10</v>
      </c>
      <c r="AA17" t="s">
        <v>178</v>
      </c>
      <c r="AB17">
        <v>2024</v>
      </c>
      <c r="AC17" t="s">
        <v>49</v>
      </c>
    </row>
    <row r="18" spans="1:29">
      <c r="A18" s="9">
        <v>14</v>
      </c>
      <c r="B18" s="10" t="s">
        <v>1024</v>
      </c>
      <c r="C18" s="9">
        <f t="shared" si="0"/>
        <v>4</v>
      </c>
      <c r="D18" s="9">
        <f t="shared" si="1"/>
        <v>5</v>
      </c>
      <c r="E18" s="11">
        <f t="shared" si="2"/>
        <v>9</v>
      </c>
      <c r="AA18" t="s">
        <v>128</v>
      </c>
      <c r="AB18">
        <v>2024</v>
      </c>
      <c r="AC18" t="s">
        <v>33</v>
      </c>
    </row>
    <row r="19" spans="1:29">
      <c r="A19" s="9">
        <v>15</v>
      </c>
      <c r="B19" s="10" t="s">
        <v>1619</v>
      </c>
      <c r="C19" s="9">
        <f t="shared" si="0"/>
        <v>2</v>
      </c>
      <c r="D19" s="9">
        <f t="shared" si="1"/>
        <v>7</v>
      </c>
      <c r="E19" s="11">
        <f t="shared" si="2"/>
        <v>9</v>
      </c>
      <c r="AA19" t="s">
        <v>200</v>
      </c>
      <c r="AB19">
        <v>2024</v>
      </c>
      <c r="AC19" t="s">
        <v>208</v>
      </c>
    </row>
    <row r="20" spans="1:29">
      <c r="A20" s="9">
        <v>16</v>
      </c>
      <c r="B20" s="10" t="s">
        <v>83</v>
      </c>
      <c r="C20" s="9">
        <f t="shared" si="0"/>
        <v>3</v>
      </c>
      <c r="D20" s="9">
        <f t="shared" si="1"/>
        <v>5</v>
      </c>
      <c r="E20" s="11">
        <f t="shared" si="2"/>
        <v>8</v>
      </c>
      <c r="AA20" t="s">
        <v>214</v>
      </c>
      <c r="AB20">
        <v>2025</v>
      </c>
      <c r="AC20" t="s">
        <v>33</v>
      </c>
    </row>
    <row r="21" spans="1:29">
      <c r="A21" s="9">
        <v>17</v>
      </c>
      <c r="B21" s="10" t="s">
        <v>996</v>
      </c>
      <c r="C21" s="9">
        <f t="shared" si="0"/>
        <v>4</v>
      </c>
      <c r="D21" s="9">
        <f t="shared" si="1"/>
        <v>3</v>
      </c>
      <c r="E21" s="11">
        <f t="shared" si="2"/>
        <v>7</v>
      </c>
      <c r="AA21" t="s">
        <v>228</v>
      </c>
      <c r="AB21">
        <v>2025</v>
      </c>
      <c r="AC21" t="s">
        <v>49</v>
      </c>
    </row>
    <row r="22" spans="1:29">
      <c r="A22" s="9">
        <v>18</v>
      </c>
      <c r="B22" s="10" t="s">
        <v>2629</v>
      </c>
      <c r="C22" s="9">
        <f t="shared" si="0"/>
        <v>4</v>
      </c>
      <c r="D22" s="9">
        <f t="shared" si="1"/>
        <v>3</v>
      </c>
      <c r="E22" s="11">
        <f t="shared" si="2"/>
        <v>7</v>
      </c>
      <c r="AA22" t="s">
        <v>22</v>
      </c>
      <c r="AB22">
        <v>2024</v>
      </c>
      <c r="AC22" t="s">
        <v>33</v>
      </c>
    </row>
    <row r="23" spans="1:29">
      <c r="A23" s="9">
        <v>19</v>
      </c>
      <c r="B23" s="10" t="s">
        <v>385</v>
      </c>
      <c r="C23" s="9">
        <f t="shared" si="0"/>
        <v>3</v>
      </c>
      <c r="D23" s="9">
        <f t="shared" si="1"/>
        <v>4</v>
      </c>
      <c r="E23" s="11">
        <f t="shared" si="2"/>
        <v>7</v>
      </c>
      <c r="AA23" t="s">
        <v>254</v>
      </c>
      <c r="AB23">
        <v>2025</v>
      </c>
      <c r="AC23" t="s">
        <v>49</v>
      </c>
    </row>
    <row r="24" spans="1:29">
      <c r="A24" s="9">
        <v>20</v>
      </c>
      <c r="B24" s="10" t="s">
        <v>834</v>
      </c>
      <c r="C24" s="9">
        <f t="shared" si="0"/>
        <v>2</v>
      </c>
      <c r="D24" s="9">
        <f t="shared" si="1"/>
        <v>5</v>
      </c>
      <c r="E24" s="11">
        <f t="shared" si="2"/>
        <v>7</v>
      </c>
      <c r="AA24" t="s">
        <v>265</v>
      </c>
      <c r="AB24">
        <v>2024</v>
      </c>
      <c r="AC24" t="s">
        <v>33</v>
      </c>
    </row>
    <row r="25" spans="1:29">
      <c r="A25" s="9">
        <v>21</v>
      </c>
      <c r="B25" s="10" t="s">
        <v>897</v>
      </c>
      <c r="C25" s="9">
        <f t="shared" si="0"/>
        <v>5</v>
      </c>
      <c r="D25" s="9">
        <f t="shared" si="1"/>
        <v>1</v>
      </c>
      <c r="E25" s="11">
        <f t="shared" si="2"/>
        <v>6</v>
      </c>
      <c r="AA25" t="s">
        <v>276</v>
      </c>
      <c r="AB25">
        <v>2024</v>
      </c>
      <c r="AC25" t="s">
        <v>49</v>
      </c>
    </row>
    <row r="26" spans="1:29">
      <c r="A26" s="9">
        <v>22</v>
      </c>
      <c r="B26" s="10" t="s">
        <v>82</v>
      </c>
      <c r="C26" s="9">
        <f t="shared" si="0"/>
        <v>3</v>
      </c>
      <c r="D26" s="9">
        <f t="shared" si="1"/>
        <v>3</v>
      </c>
      <c r="E26" s="11">
        <f t="shared" si="2"/>
        <v>6</v>
      </c>
      <c r="AA26" t="s">
        <v>128</v>
      </c>
      <c r="AB26">
        <v>2024</v>
      </c>
      <c r="AC26" t="s">
        <v>33</v>
      </c>
    </row>
    <row r="27" spans="1:29">
      <c r="A27" s="9">
        <v>23</v>
      </c>
      <c r="B27" s="10" t="s">
        <v>622</v>
      </c>
      <c r="C27" s="9">
        <f t="shared" si="0"/>
        <v>2</v>
      </c>
      <c r="D27" s="9">
        <f t="shared" si="1"/>
        <v>4</v>
      </c>
      <c r="E27" s="11">
        <f t="shared" si="2"/>
        <v>6</v>
      </c>
      <c r="AA27" t="s">
        <v>296</v>
      </c>
      <c r="AB27">
        <v>2024</v>
      </c>
      <c r="AC27" t="s">
        <v>33</v>
      </c>
    </row>
    <row r="28" spans="1:29">
      <c r="A28" s="9">
        <v>24</v>
      </c>
      <c r="B28" s="10" t="s">
        <v>967</v>
      </c>
      <c r="C28" s="9">
        <f t="shared" si="0"/>
        <v>0</v>
      </c>
      <c r="D28" s="9">
        <f t="shared" si="1"/>
        <v>6</v>
      </c>
      <c r="E28" s="11">
        <f t="shared" si="2"/>
        <v>6</v>
      </c>
      <c r="AA28" t="s">
        <v>164</v>
      </c>
      <c r="AB28">
        <v>2025</v>
      </c>
      <c r="AC28" t="s">
        <v>33</v>
      </c>
    </row>
    <row r="29" spans="1:29">
      <c r="A29" s="9">
        <v>25</v>
      </c>
      <c r="B29" s="10" t="s">
        <v>790</v>
      </c>
      <c r="C29" s="9">
        <f t="shared" si="0"/>
        <v>3</v>
      </c>
      <c r="D29" s="9">
        <f t="shared" si="1"/>
        <v>2</v>
      </c>
      <c r="E29" s="11">
        <f t="shared" si="2"/>
        <v>5</v>
      </c>
      <c r="AA29" t="s">
        <v>325</v>
      </c>
      <c r="AB29">
        <v>2024</v>
      </c>
      <c r="AC29" t="s">
        <v>33</v>
      </c>
    </row>
    <row r="30" spans="1:29">
      <c r="A30" s="9">
        <v>26</v>
      </c>
      <c r="B30" s="10" t="s">
        <v>178</v>
      </c>
      <c r="C30" s="9">
        <f t="shared" si="0"/>
        <v>2</v>
      </c>
      <c r="D30" s="9">
        <f t="shared" si="1"/>
        <v>3</v>
      </c>
      <c r="E30" s="11">
        <f t="shared" si="2"/>
        <v>5</v>
      </c>
      <c r="AA30" t="s">
        <v>128</v>
      </c>
      <c r="AB30">
        <v>2025</v>
      </c>
      <c r="AC30" t="s">
        <v>33</v>
      </c>
    </row>
    <row r="31" spans="1:29">
      <c r="A31" s="9">
        <v>27</v>
      </c>
      <c r="B31" s="10" t="s">
        <v>493</v>
      </c>
      <c r="C31" s="9">
        <f t="shared" si="0"/>
        <v>2</v>
      </c>
      <c r="D31" s="9">
        <f t="shared" si="1"/>
        <v>3</v>
      </c>
      <c r="E31" s="11">
        <f t="shared" si="2"/>
        <v>5</v>
      </c>
      <c r="AA31" t="s">
        <v>342</v>
      </c>
      <c r="AB31">
        <v>2024</v>
      </c>
      <c r="AC31" t="s">
        <v>33</v>
      </c>
    </row>
    <row r="32" spans="1:29">
      <c r="A32" s="9">
        <v>28</v>
      </c>
      <c r="B32" s="10" t="s">
        <v>1012</v>
      </c>
      <c r="C32" s="9">
        <f t="shared" si="0"/>
        <v>2</v>
      </c>
      <c r="D32" s="9">
        <f t="shared" si="1"/>
        <v>3</v>
      </c>
      <c r="E32" s="11">
        <f t="shared" si="2"/>
        <v>5</v>
      </c>
      <c r="AA32" t="s">
        <v>22</v>
      </c>
      <c r="AB32">
        <v>2025</v>
      </c>
      <c r="AC32" t="s">
        <v>33</v>
      </c>
    </row>
    <row r="33" spans="1:29">
      <c r="A33" s="9">
        <v>29</v>
      </c>
      <c r="B33" s="10" t="s">
        <v>228</v>
      </c>
      <c r="C33" s="9">
        <f t="shared" si="0"/>
        <v>1</v>
      </c>
      <c r="D33" s="9">
        <f t="shared" si="1"/>
        <v>4</v>
      </c>
      <c r="E33" s="11">
        <f t="shared" si="2"/>
        <v>5</v>
      </c>
      <c r="AA33" t="s">
        <v>368</v>
      </c>
      <c r="AB33">
        <v>2024</v>
      </c>
      <c r="AC33" t="s">
        <v>33</v>
      </c>
    </row>
    <row r="34" spans="1:29">
      <c r="A34" s="9">
        <v>30</v>
      </c>
      <c r="B34" s="10" t="s">
        <v>2815</v>
      </c>
      <c r="C34" s="9">
        <f t="shared" si="0"/>
        <v>1</v>
      </c>
      <c r="D34" s="9">
        <f t="shared" si="1"/>
        <v>4</v>
      </c>
      <c r="E34" s="11">
        <f t="shared" si="2"/>
        <v>5</v>
      </c>
      <c r="AA34" t="s">
        <v>55</v>
      </c>
      <c r="AB34">
        <v>2024</v>
      </c>
      <c r="AC34" t="s">
        <v>33</v>
      </c>
    </row>
    <row r="35" spans="1:29">
      <c r="A35" s="9">
        <v>31</v>
      </c>
      <c r="B35" s="10" t="s">
        <v>2100</v>
      </c>
      <c r="C35" s="9">
        <f t="shared" si="0"/>
        <v>1</v>
      </c>
      <c r="D35" s="9">
        <f t="shared" si="1"/>
        <v>4</v>
      </c>
      <c r="E35" s="11">
        <f t="shared" si="2"/>
        <v>5</v>
      </c>
      <c r="AA35" t="s">
        <v>381</v>
      </c>
      <c r="AB35">
        <v>2024</v>
      </c>
      <c r="AC35" t="s">
        <v>33</v>
      </c>
    </row>
    <row r="36" spans="1:29">
      <c r="A36" s="9">
        <v>32</v>
      </c>
      <c r="B36" s="10" t="s">
        <v>384</v>
      </c>
      <c r="C36" s="9">
        <f t="shared" si="0"/>
        <v>4</v>
      </c>
      <c r="D36" s="9">
        <f t="shared" si="1"/>
        <v>0</v>
      </c>
      <c r="E36" s="11">
        <f t="shared" si="2"/>
        <v>4</v>
      </c>
      <c r="AA36" t="s">
        <v>382</v>
      </c>
      <c r="AB36">
        <v>2024</v>
      </c>
      <c r="AC36" t="s">
        <v>33</v>
      </c>
    </row>
    <row r="37" spans="1:29">
      <c r="A37" s="9">
        <v>33</v>
      </c>
      <c r="B37" s="10" t="s">
        <v>386</v>
      </c>
      <c r="C37" s="9">
        <f t="shared" si="0"/>
        <v>4</v>
      </c>
      <c r="D37" s="9">
        <f t="shared" si="1"/>
        <v>0</v>
      </c>
      <c r="E37" s="11">
        <f t="shared" si="2"/>
        <v>4</v>
      </c>
      <c r="AA37" t="s">
        <v>383</v>
      </c>
      <c r="AB37">
        <v>2024</v>
      </c>
      <c r="AC37" t="s">
        <v>33</v>
      </c>
    </row>
    <row r="38" spans="1:29">
      <c r="A38" s="9">
        <v>34</v>
      </c>
      <c r="B38" s="10" t="s">
        <v>422</v>
      </c>
      <c r="C38" s="9">
        <f t="shared" si="0"/>
        <v>2</v>
      </c>
      <c r="D38" s="9">
        <f t="shared" si="1"/>
        <v>2</v>
      </c>
      <c r="E38" s="11">
        <f t="shared" si="2"/>
        <v>4</v>
      </c>
      <c r="AA38" t="s">
        <v>384</v>
      </c>
      <c r="AB38">
        <v>2024</v>
      </c>
      <c r="AC38" t="s">
        <v>33</v>
      </c>
    </row>
    <row r="39" spans="1:29">
      <c r="A39" s="9">
        <v>35</v>
      </c>
      <c r="B39" s="10" t="s">
        <v>822</v>
      </c>
      <c r="C39" s="9">
        <f t="shared" si="0"/>
        <v>2</v>
      </c>
      <c r="D39" s="9">
        <f t="shared" si="1"/>
        <v>2</v>
      </c>
      <c r="E39" s="11">
        <f t="shared" si="2"/>
        <v>4</v>
      </c>
      <c r="AA39" t="s">
        <v>164</v>
      </c>
      <c r="AB39">
        <v>2024</v>
      </c>
      <c r="AC39" t="s">
        <v>33</v>
      </c>
    </row>
    <row r="40" spans="1:29">
      <c r="A40" s="9">
        <v>36</v>
      </c>
      <c r="B40" s="10" t="s">
        <v>1369</v>
      </c>
      <c r="C40" s="9">
        <f t="shared" si="0"/>
        <v>2</v>
      </c>
      <c r="D40" s="9">
        <f t="shared" si="1"/>
        <v>2</v>
      </c>
      <c r="E40" s="11">
        <f t="shared" si="2"/>
        <v>4</v>
      </c>
      <c r="AA40" t="s">
        <v>385</v>
      </c>
      <c r="AB40">
        <v>2024</v>
      </c>
      <c r="AC40" t="s">
        <v>33</v>
      </c>
    </row>
    <row r="41" spans="1:29">
      <c r="A41" s="9">
        <v>37</v>
      </c>
      <c r="B41" s="10" t="s">
        <v>1673</v>
      </c>
      <c r="C41" s="9">
        <f t="shared" si="0"/>
        <v>2</v>
      </c>
      <c r="D41" s="9">
        <f t="shared" si="1"/>
        <v>2</v>
      </c>
      <c r="E41" s="11">
        <f t="shared" si="2"/>
        <v>4</v>
      </c>
      <c r="AA41" t="s">
        <v>386</v>
      </c>
      <c r="AB41">
        <v>2024</v>
      </c>
      <c r="AC41" t="s">
        <v>49</v>
      </c>
    </row>
    <row r="42" spans="1:29">
      <c r="A42" s="9">
        <v>38</v>
      </c>
      <c r="B42" s="10" t="s">
        <v>2608</v>
      </c>
      <c r="C42" s="9">
        <f t="shared" si="0"/>
        <v>2</v>
      </c>
      <c r="D42" s="9">
        <f t="shared" si="1"/>
        <v>2</v>
      </c>
      <c r="E42" s="11">
        <f t="shared" si="2"/>
        <v>4</v>
      </c>
      <c r="AA42" t="s">
        <v>325</v>
      </c>
      <c r="AB42">
        <v>2024</v>
      </c>
      <c r="AC42" t="s">
        <v>33</v>
      </c>
    </row>
    <row r="43" spans="1:29">
      <c r="A43" s="9">
        <v>39</v>
      </c>
      <c r="B43" s="10" t="s">
        <v>3689</v>
      </c>
      <c r="C43" s="9">
        <f t="shared" si="0"/>
        <v>2</v>
      </c>
      <c r="D43" s="9">
        <f t="shared" si="1"/>
        <v>2</v>
      </c>
      <c r="E43" s="11">
        <f t="shared" si="2"/>
        <v>4</v>
      </c>
      <c r="AA43" t="s">
        <v>164</v>
      </c>
      <c r="AB43">
        <v>2024</v>
      </c>
      <c r="AC43" t="s">
        <v>33</v>
      </c>
    </row>
    <row r="44" spans="1:29">
      <c r="A44" s="9">
        <v>40</v>
      </c>
      <c r="B44" s="10" t="s">
        <v>1013</v>
      </c>
      <c r="C44" s="9">
        <f t="shared" si="0"/>
        <v>1</v>
      </c>
      <c r="D44" s="9">
        <f t="shared" si="1"/>
        <v>3</v>
      </c>
      <c r="E44" s="11">
        <f t="shared" si="2"/>
        <v>4</v>
      </c>
      <c r="AA44" t="s">
        <v>422</v>
      </c>
      <c r="AB44">
        <v>2024</v>
      </c>
      <c r="AC44" t="s">
        <v>49</v>
      </c>
    </row>
    <row r="45" spans="1:29">
      <c r="A45" s="9">
        <v>41</v>
      </c>
      <c r="B45" s="10" t="s">
        <v>3553</v>
      </c>
      <c r="C45" s="9">
        <f t="shared" si="0"/>
        <v>1</v>
      </c>
      <c r="D45" s="9">
        <f t="shared" si="1"/>
        <v>3</v>
      </c>
      <c r="E45" s="11">
        <f t="shared" si="2"/>
        <v>4</v>
      </c>
      <c r="AA45" t="s">
        <v>433</v>
      </c>
      <c r="AB45">
        <v>2024</v>
      </c>
      <c r="AC45" t="s">
        <v>33</v>
      </c>
    </row>
    <row r="46" spans="1:29">
      <c r="A46" s="9">
        <v>42</v>
      </c>
      <c r="B46" s="10" t="s">
        <v>1969</v>
      </c>
      <c r="C46" s="9">
        <f t="shared" si="0"/>
        <v>1</v>
      </c>
      <c r="D46" s="9">
        <f t="shared" si="1"/>
        <v>3</v>
      </c>
      <c r="E46" s="11">
        <f t="shared" si="2"/>
        <v>4</v>
      </c>
      <c r="AA46" t="s">
        <v>113</v>
      </c>
      <c r="AB46">
        <v>2024</v>
      </c>
      <c r="AC46" t="s">
        <v>33</v>
      </c>
    </row>
    <row r="47" spans="1:29">
      <c r="A47" s="9">
        <v>43</v>
      </c>
      <c r="B47" s="10" t="s">
        <v>3589</v>
      </c>
      <c r="C47" s="9">
        <f t="shared" si="0"/>
        <v>1</v>
      </c>
      <c r="D47" s="9">
        <f t="shared" si="1"/>
        <v>3</v>
      </c>
      <c r="E47" s="11">
        <f t="shared" si="2"/>
        <v>4</v>
      </c>
      <c r="AA47" t="s">
        <v>97</v>
      </c>
      <c r="AB47">
        <v>2024</v>
      </c>
      <c r="AC47" t="s">
        <v>33</v>
      </c>
    </row>
    <row r="48" spans="1:29">
      <c r="A48" s="9">
        <v>44</v>
      </c>
      <c r="B48" s="10" t="s">
        <v>1396</v>
      </c>
      <c r="C48" s="9">
        <f t="shared" si="0"/>
        <v>0</v>
      </c>
      <c r="D48" s="9">
        <f t="shared" si="1"/>
        <v>4</v>
      </c>
      <c r="E48" s="11">
        <f t="shared" si="2"/>
        <v>4</v>
      </c>
      <c r="AA48" t="s">
        <v>470</v>
      </c>
      <c r="AB48">
        <v>2025</v>
      </c>
      <c r="AC48" t="s">
        <v>208</v>
      </c>
    </row>
    <row r="49" spans="1:29">
      <c r="A49" s="9">
        <v>45</v>
      </c>
      <c r="B49" s="10" t="s">
        <v>55</v>
      </c>
      <c r="C49" s="9">
        <f t="shared" si="0"/>
        <v>3</v>
      </c>
      <c r="D49" s="9">
        <f t="shared" si="1"/>
        <v>0</v>
      </c>
      <c r="E49" s="11">
        <f t="shared" si="2"/>
        <v>3</v>
      </c>
      <c r="AA49" t="s">
        <v>22</v>
      </c>
      <c r="AB49">
        <v>2024</v>
      </c>
      <c r="AC49" t="s">
        <v>33</v>
      </c>
    </row>
    <row r="50" spans="1:29">
      <c r="A50" s="9">
        <v>46</v>
      </c>
      <c r="B50" s="10" t="s">
        <v>97</v>
      </c>
      <c r="C50" s="9">
        <f t="shared" si="0"/>
        <v>3</v>
      </c>
      <c r="D50" s="9">
        <f t="shared" si="1"/>
        <v>0</v>
      </c>
      <c r="E50" s="11">
        <f t="shared" si="2"/>
        <v>3</v>
      </c>
      <c r="AA50" t="s">
        <v>493</v>
      </c>
      <c r="AB50">
        <v>2024</v>
      </c>
      <c r="AC50" t="s">
        <v>33</v>
      </c>
    </row>
    <row r="51" spans="1:29">
      <c r="A51" s="9">
        <v>47</v>
      </c>
      <c r="B51" s="10" t="s">
        <v>1355</v>
      </c>
      <c r="C51" s="9">
        <f t="shared" si="0"/>
        <v>3</v>
      </c>
      <c r="D51" s="9">
        <f t="shared" si="1"/>
        <v>0</v>
      </c>
      <c r="E51" s="11">
        <f t="shared" si="2"/>
        <v>3</v>
      </c>
      <c r="AA51" t="s">
        <v>505</v>
      </c>
      <c r="AB51">
        <v>2024</v>
      </c>
      <c r="AC51" t="s">
        <v>49</v>
      </c>
    </row>
    <row r="52" spans="1:29">
      <c r="A52" s="9">
        <v>48</v>
      </c>
      <c r="B52" s="10" t="s">
        <v>1480</v>
      </c>
      <c r="C52" s="9">
        <f t="shared" si="0"/>
        <v>3</v>
      </c>
      <c r="D52" s="9">
        <f t="shared" si="1"/>
        <v>0</v>
      </c>
      <c r="E52" s="11">
        <f t="shared" si="2"/>
        <v>3</v>
      </c>
      <c r="AA52" t="s">
        <v>513</v>
      </c>
      <c r="AB52">
        <v>2024</v>
      </c>
      <c r="AC52" t="s">
        <v>49</v>
      </c>
    </row>
    <row r="53" spans="1:29">
      <c r="A53" s="9">
        <v>49</v>
      </c>
      <c r="B53" s="10" t="s">
        <v>1551</v>
      </c>
      <c r="C53" s="9">
        <f t="shared" si="0"/>
        <v>3</v>
      </c>
      <c r="D53" s="9">
        <f t="shared" si="1"/>
        <v>0</v>
      </c>
      <c r="E53" s="11">
        <f t="shared" si="2"/>
        <v>3</v>
      </c>
      <c r="AA53" t="s">
        <v>82</v>
      </c>
      <c r="AB53">
        <v>2024</v>
      </c>
      <c r="AC53" t="s">
        <v>49</v>
      </c>
    </row>
    <row r="54" spans="1:29">
      <c r="A54" s="9">
        <v>50</v>
      </c>
      <c r="B54" s="10" t="s">
        <v>1644</v>
      </c>
      <c r="C54" s="9">
        <f t="shared" si="0"/>
        <v>3</v>
      </c>
      <c r="D54" s="9">
        <f t="shared" si="1"/>
        <v>0</v>
      </c>
      <c r="E54" s="11">
        <f t="shared" si="2"/>
        <v>3</v>
      </c>
      <c r="AA54" t="s">
        <v>83</v>
      </c>
      <c r="AB54">
        <v>2024</v>
      </c>
      <c r="AC54" t="s">
        <v>49</v>
      </c>
    </row>
    <row r="55" spans="1:29">
      <c r="A55" s="9">
        <v>51</v>
      </c>
      <c r="B55" s="10" t="s">
        <v>200</v>
      </c>
      <c r="C55" s="9">
        <f t="shared" si="0"/>
        <v>2</v>
      </c>
      <c r="D55" s="9">
        <f t="shared" si="1"/>
        <v>1</v>
      </c>
      <c r="E55" s="11">
        <f t="shared" si="2"/>
        <v>3</v>
      </c>
      <c r="AA55" t="s">
        <v>514</v>
      </c>
      <c r="AB55">
        <v>2024</v>
      </c>
      <c r="AC55" t="s">
        <v>33</v>
      </c>
    </row>
    <row r="56" spans="1:29">
      <c r="A56" s="9">
        <v>52</v>
      </c>
      <c r="B56" s="10" t="s">
        <v>214</v>
      </c>
      <c r="C56" s="9">
        <f t="shared" si="0"/>
        <v>2</v>
      </c>
      <c r="D56" s="9">
        <f t="shared" si="1"/>
        <v>1</v>
      </c>
      <c r="E56" s="11">
        <f t="shared" si="2"/>
        <v>3</v>
      </c>
      <c r="AA56" t="s">
        <v>178</v>
      </c>
      <c r="AB56">
        <v>2025</v>
      </c>
      <c r="AC56" t="s">
        <v>33</v>
      </c>
    </row>
    <row r="57" spans="1:29">
      <c r="A57" s="9">
        <v>53</v>
      </c>
      <c r="B57" s="10" t="s">
        <v>514</v>
      </c>
      <c r="C57" s="9">
        <f t="shared" si="0"/>
        <v>2</v>
      </c>
      <c r="D57" s="9">
        <f t="shared" si="1"/>
        <v>1</v>
      </c>
      <c r="E57" s="11">
        <f t="shared" si="2"/>
        <v>3</v>
      </c>
      <c r="AA57" t="s">
        <v>113</v>
      </c>
      <c r="AB57">
        <v>2024</v>
      </c>
      <c r="AC57" t="s">
        <v>33</v>
      </c>
    </row>
    <row r="58" spans="1:29">
      <c r="A58" s="9">
        <v>54</v>
      </c>
      <c r="B58" s="10" t="s">
        <v>1051</v>
      </c>
      <c r="C58" s="9">
        <f t="shared" si="0"/>
        <v>2</v>
      </c>
      <c r="D58" s="9">
        <f t="shared" si="1"/>
        <v>1</v>
      </c>
      <c r="E58" s="11">
        <f t="shared" si="2"/>
        <v>3</v>
      </c>
      <c r="AA58" t="s">
        <v>276</v>
      </c>
      <c r="AB58">
        <v>2025</v>
      </c>
      <c r="AC58" t="s">
        <v>49</v>
      </c>
    </row>
    <row r="59" spans="1:29">
      <c r="A59" s="9">
        <v>55</v>
      </c>
      <c r="B59" s="10" t="s">
        <v>3093</v>
      </c>
      <c r="C59" s="9">
        <f t="shared" si="0"/>
        <v>2</v>
      </c>
      <c r="D59" s="9">
        <f t="shared" si="1"/>
        <v>1</v>
      </c>
      <c r="E59" s="11">
        <f t="shared" si="2"/>
        <v>3</v>
      </c>
      <c r="AA59" t="s">
        <v>635</v>
      </c>
      <c r="AB59">
        <v>2024</v>
      </c>
      <c r="AC59" t="s">
        <v>33</v>
      </c>
    </row>
    <row r="60" spans="1:29">
      <c r="A60" s="9">
        <v>56</v>
      </c>
      <c r="B60" s="10" t="s">
        <v>755</v>
      </c>
      <c r="C60" s="9">
        <f t="shared" si="0"/>
        <v>1</v>
      </c>
      <c r="D60" s="9">
        <f t="shared" si="1"/>
        <v>2</v>
      </c>
      <c r="E60" s="11">
        <f t="shared" si="2"/>
        <v>3</v>
      </c>
      <c r="AA60" t="s">
        <v>113</v>
      </c>
      <c r="AB60">
        <v>2024</v>
      </c>
      <c r="AC60" t="s">
        <v>33</v>
      </c>
    </row>
    <row r="61" spans="1:29">
      <c r="A61" s="9">
        <v>57</v>
      </c>
      <c r="B61" s="10" t="s">
        <v>921</v>
      </c>
      <c r="C61" s="9">
        <f t="shared" si="0"/>
        <v>1</v>
      </c>
      <c r="D61" s="9">
        <f t="shared" si="1"/>
        <v>2</v>
      </c>
      <c r="E61" s="11">
        <f t="shared" si="2"/>
        <v>3</v>
      </c>
      <c r="AA61" t="s">
        <v>586</v>
      </c>
      <c r="AB61">
        <v>2025</v>
      </c>
      <c r="AC61" t="s">
        <v>49</v>
      </c>
    </row>
    <row r="62" spans="1:29">
      <c r="A62" s="9">
        <v>58</v>
      </c>
      <c r="B62" s="10" t="s">
        <v>965</v>
      </c>
      <c r="C62" s="9">
        <f t="shared" si="0"/>
        <v>1</v>
      </c>
      <c r="D62" s="9">
        <f t="shared" si="1"/>
        <v>2</v>
      </c>
      <c r="E62" s="11">
        <f t="shared" si="2"/>
        <v>3</v>
      </c>
      <c r="AA62" t="s">
        <v>39</v>
      </c>
      <c r="AB62">
        <v>2024</v>
      </c>
      <c r="AC62" t="s">
        <v>33</v>
      </c>
    </row>
    <row r="63" spans="1:29">
      <c r="A63" s="9">
        <v>59</v>
      </c>
      <c r="B63" s="10" t="s">
        <v>1109</v>
      </c>
      <c r="C63" s="9">
        <f t="shared" si="0"/>
        <v>1</v>
      </c>
      <c r="D63" s="9">
        <f t="shared" si="1"/>
        <v>2</v>
      </c>
      <c r="E63" s="11">
        <f t="shared" si="2"/>
        <v>3</v>
      </c>
      <c r="AA63" t="s">
        <v>622</v>
      </c>
      <c r="AB63">
        <v>2024</v>
      </c>
      <c r="AC63" t="s">
        <v>49</v>
      </c>
    </row>
    <row r="64" spans="1:29">
      <c r="A64" s="9">
        <v>60</v>
      </c>
      <c r="B64" s="10" t="s">
        <v>1319</v>
      </c>
      <c r="C64" s="9">
        <f t="shared" si="0"/>
        <v>1</v>
      </c>
      <c r="D64" s="9">
        <f t="shared" si="1"/>
        <v>2</v>
      </c>
      <c r="E64" s="11">
        <f t="shared" si="2"/>
        <v>3</v>
      </c>
      <c r="AA64" t="s">
        <v>635</v>
      </c>
      <c r="AB64">
        <v>2024</v>
      </c>
      <c r="AC64" t="s">
        <v>644</v>
      </c>
    </row>
    <row r="65" spans="1:29">
      <c r="A65" s="9">
        <v>61</v>
      </c>
      <c r="B65" s="10" t="s">
        <v>1983</v>
      </c>
      <c r="C65" s="9">
        <f t="shared" si="0"/>
        <v>1</v>
      </c>
      <c r="D65" s="9">
        <f t="shared" si="1"/>
        <v>2</v>
      </c>
      <c r="E65" s="11">
        <f t="shared" si="2"/>
        <v>3</v>
      </c>
      <c r="AA65" t="s">
        <v>276</v>
      </c>
      <c r="AB65">
        <v>2024</v>
      </c>
      <c r="AC65" t="s">
        <v>49</v>
      </c>
    </row>
    <row r="66" spans="1:29">
      <c r="A66" s="9">
        <v>62</v>
      </c>
      <c r="B66" s="10" t="s">
        <v>4644</v>
      </c>
      <c r="C66" s="9">
        <f t="shared" si="0"/>
        <v>1</v>
      </c>
      <c r="D66" s="9">
        <f t="shared" si="1"/>
        <v>2</v>
      </c>
      <c r="E66" s="11">
        <f t="shared" si="2"/>
        <v>3</v>
      </c>
      <c r="AA66" t="s">
        <v>22</v>
      </c>
      <c r="AB66">
        <v>2025</v>
      </c>
      <c r="AC66" t="s">
        <v>33</v>
      </c>
    </row>
    <row r="67" spans="1:29">
      <c r="A67" s="9">
        <v>63</v>
      </c>
      <c r="B67" s="10" t="s">
        <v>3910</v>
      </c>
      <c r="C67" s="9">
        <f t="shared" si="0"/>
        <v>1</v>
      </c>
      <c r="D67" s="9">
        <f t="shared" si="1"/>
        <v>2</v>
      </c>
      <c r="E67" s="11">
        <f t="shared" si="2"/>
        <v>3</v>
      </c>
      <c r="AA67" t="s">
        <v>83</v>
      </c>
      <c r="AB67">
        <v>2024</v>
      </c>
      <c r="AC67" t="s">
        <v>33</v>
      </c>
    </row>
    <row r="68" spans="1:29">
      <c r="A68" s="9">
        <v>64</v>
      </c>
      <c r="B68" s="10" t="s">
        <v>789</v>
      </c>
      <c r="C68" s="9">
        <f t="shared" si="0"/>
        <v>0</v>
      </c>
      <c r="D68" s="9">
        <f t="shared" si="1"/>
        <v>3</v>
      </c>
      <c r="E68" s="11">
        <f t="shared" si="2"/>
        <v>3</v>
      </c>
      <c r="AA68" t="s">
        <v>685</v>
      </c>
      <c r="AB68">
        <v>2024</v>
      </c>
      <c r="AC68" t="s">
        <v>33</v>
      </c>
    </row>
    <row r="69" spans="1:29">
      <c r="A69" s="9">
        <v>65</v>
      </c>
      <c r="B69" s="10" t="s">
        <v>974</v>
      </c>
      <c r="C69" s="9">
        <f t="shared" ref="C69:C132" si="3">COUNTIFS($AA:$AA,$B69,$AB:$AB,2024)</f>
        <v>0</v>
      </c>
      <c r="D69" s="9">
        <f t="shared" ref="D69:D132" si="4">COUNTIFS($AA:$AA,$B69,$AB:$AB,2025)</f>
        <v>3</v>
      </c>
      <c r="E69" s="11">
        <f t="shared" ref="E69:E132" si="5">C69+D69</f>
        <v>3</v>
      </c>
      <c r="AA69" t="s">
        <v>694</v>
      </c>
      <c r="AB69">
        <v>2024</v>
      </c>
      <c r="AC69" t="s">
        <v>33</v>
      </c>
    </row>
    <row r="70" spans="1:29">
      <c r="A70" s="9">
        <v>66</v>
      </c>
      <c r="B70" s="10" t="s">
        <v>1723</v>
      </c>
      <c r="C70" s="9">
        <f t="shared" si="3"/>
        <v>0</v>
      </c>
      <c r="D70" s="9">
        <f t="shared" si="4"/>
        <v>3</v>
      </c>
      <c r="E70" s="11">
        <f t="shared" si="5"/>
        <v>3</v>
      </c>
      <c r="AA70" t="s">
        <v>695</v>
      </c>
      <c r="AB70">
        <v>2024</v>
      </c>
      <c r="AC70" t="s">
        <v>33</v>
      </c>
    </row>
    <row r="71" spans="1:29">
      <c r="A71" s="9">
        <v>67</v>
      </c>
      <c r="B71" s="10" t="s">
        <v>2018</v>
      </c>
      <c r="C71" s="9">
        <f t="shared" si="3"/>
        <v>0</v>
      </c>
      <c r="D71" s="9">
        <f t="shared" si="4"/>
        <v>3</v>
      </c>
      <c r="E71" s="11">
        <f t="shared" si="5"/>
        <v>3</v>
      </c>
      <c r="AA71" t="s">
        <v>696</v>
      </c>
      <c r="AB71">
        <v>2024</v>
      </c>
      <c r="AC71" t="s">
        <v>33</v>
      </c>
    </row>
    <row r="72" spans="1:29">
      <c r="A72" s="9">
        <v>68</v>
      </c>
      <c r="B72" s="10" t="s">
        <v>2763</v>
      </c>
      <c r="C72" s="9">
        <f t="shared" si="3"/>
        <v>0</v>
      </c>
      <c r="D72" s="9">
        <f t="shared" si="4"/>
        <v>3</v>
      </c>
      <c r="E72" s="11">
        <f t="shared" si="5"/>
        <v>3</v>
      </c>
      <c r="AA72" t="s">
        <v>697</v>
      </c>
      <c r="AB72">
        <v>2024</v>
      </c>
      <c r="AC72" t="s">
        <v>33</v>
      </c>
    </row>
    <row r="73" spans="1:29">
      <c r="A73" s="9">
        <v>69</v>
      </c>
      <c r="B73" s="10" t="s">
        <v>3074</v>
      </c>
      <c r="C73" s="9">
        <f t="shared" si="3"/>
        <v>0</v>
      </c>
      <c r="D73" s="9">
        <f t="shared" si="4"/>
        <v>3</v>
      </c>
      <c r="E73" s="11">
        <f t="shared" si="5"/>
        <v>3</v>
      </c>
      <c r="AA73" t="s">
        <v>698</v>
      </c>
      <c r="AB73">
        <v>2024</v>
      </c>
      <c r="AC73" t="s">
        <v>33</v>
      </c>
    </row>
    <row r="74" spans="1:29">
      <c r="A74" s="9">
        <v>70</v>
      </c>
      <c r="B74" s="10" t="s">
        <v>4395</v>
      </c>
      <c r="C74" s="9">
        <f t="shared" si="3"/>
        <v>0</v>
      </c>
      <c r="D74" s="9">
        <f t="shared" si="4"/>
        <v>3</v>
      </c>
      <c r="E74" s="11">
        <f t="shared" si="5"/>
        <v>3</v>
      </c>
      <c r="AA74" t="s">
        <v>699</v>
      </c>
      <c r="AB74">
        <v>2024</v>
      </c>
      <c r="AC74" t="s">
        <v>33</v>
      </c>
    </row>
    <row r="75" spans="1:29">
      <c r="A75" s="9">
        <v>71</v>
      </c>
      <c r="B75" s="10" t="s">
        <v>325</v>
      </c>
      <c r="C75" s="9">
        <f t="shared" si="3"/>
        <v>2</v>
      </c>
      <c r="D75" s="9">
        <f t="shared" si="4"/>
        <v>0</v>
      </c>
      <c r="E75" s="11">
        <f t="shared" si="5"/>
        <v>2</v>
      </c>
      <c r="AA75" t="s">
        <v>493</v>
      </c>
      <c r="AB75">
        <v>2025</v>
      </c>
      <c r="AC75" t="s">
        <v>33</v>
      </c>
    </row>
    <row r="76" spans="1:29">
      <c r="A76" s="9">
        <v>72</v>
      </c>
      <c r="B76" s="10" t="s">
        <v>727</v>
      </c>
      <c r="C76" s="9">
        <f t="shared" si="3"/>
        <v>2</v>
      </c>
      <c r="D76" s="9">
        <f t="shared" si="4"/>
        <v>0</v>
      </c>
      <c r="E76" s="11">
        <f t="shared" si="5"/>
        <v>2</v>
      </c>
      <c r="AA76" t="s">
        <v>712</v>
      </c>
      <c r="AB76">
        <v>2025</v>
      </c>
      <c r="AC76" t="s">
        <v>33</v>
      </c>
    </row>
    <row r="77" spans="1:29">
      <c r="A77" s="9">
        <v>73</v>
      </c>
      <c r="B77" s="10" t="s">
        <v>964</v>
      </c>
      <c r="C77" s="9">
        <f t="shared" si="3"/>
        <v>2</v>
      </c>
      <c r="D77" s="9">
        <f t="shared" si="4"/>
        <v>0</v>
      </c>
      <c r="E77" s="11">
        <f t="shared" si="5"/>
        <v>2</v>
      </c>
      <c r="AA77" t="s">
        <v>433</v>
      </c>
      <c r="AB77">
        <v>2024</v>
      </c>
      <c r="AC77" t="s">
        <v>33</v>
      </c>
    </row>
    <row r="78" spans="1:29">
      <c r="A78" s="9">
        <v>74</v>
      </c>
      <c r="B78" s="10" t="s">
        <v>1010</v>
      </c>
      <c r="C78" s="9">
        <f t="shared" si="3"/>
        <v>2</v>
      </c>
      <c r="D78" s="9">
        <f t="shared" si="4"/>
        <v>0</v>
      </c>
      <c r="E78" s="11">
        <f t="shared" si="5"/>
        <v>2</v>
      </c>
      <c r="AA78" t="s">
        <v>727</v>
      </c>
      <c r="AB78">
        <v>2024</v>
      </c>
      <c r="AC78" t="s">
        <v>33</v>
      </c>
    </row>
    <row r="79" spans="1:29">
      <c r="A79" s="9">
        <v>75</v>
      </c>
      <c r="B79" s="10" t="s">
        <v>1032</v>
      </c>
      <c r="C79" s="9">
        <f t="shared" si="3"/>
        <v>2</v>
      </c>
      <c r="D79" s="9">
        <f t="shared" si="4"/>
        <v>0</v>
      </c>
      <c r="E79" s="11">
        <f t="shared" si="5"/>
        <v>2</v>
      </c>
      <c r="AA79" t="s">
        <v>728</v>
      </c>
      <c r="AB79">
        <v>2024</v>
      </c>
      <c r="AC79" t="s">
        <v>33</v>
      </c>
    </row>
    <row r="80" spans="1:29">
      <c r="A80" s="9">
        <v>76</v>
      </c>
      <c r="B80" s="10" t="s">
        <v>1252</v>
      </c>
      <c r="C80" s="9">
        <f t="shared" si="3"/>
        <v>2</v>
      </c>
      <c r="D80" s="9">
        <f t="shared" si="4"/>
        <v>0</v>
      </c>
      <c r="E80" s="11">
        <f t="shared" si="5"/>
        <v>2</v>
      </c>
      <c r="AA80" t="s">
        <v>164</v>
      </c>
      <c r="AB80">
        <v>2024</v>
      </c>
      <c r="AC80" t="s">
        <v>49</v>
      </c>
    </row>
    <row r="81" spans="1:29">
      <c r="A81" s="9">
        <v>77</v>
      </c>
      <c r="B81" s="10" t="s">
        <v>1559</v>
      </c>
      <c r="C81" s="9">
        <f t="shared" si="3"/>
        <v>2</v>
      </c>
      <c r="D81" s="9">
        <f t="shared" si="4"/>
        <v>0</v>
      </c>
      <c r="E81" s="11">
        <f t="shared" si="5"/>
        <v>2</v>
      </c>
      <c r="AA81" t="s">
        <v>22</v>
      </c>
      <c r="AB81">
        <v>2024</v>
      </c>
      <c r="AC81" t="s">
        <v>33</v>
      </c>
    </row>
    <row r="82" spans="1:29">
      <c r="A82" s="9">
        <v>78</v>
      </c>
      <c r="B82" s="10" t="s">
        <v>2046</v>
      </c>
      <c r="C82" s="9">
        <f t="shared" si="3"/>
        <v>2</v>
      </c>
      <c r="D82" s="9">
        <f t="shared" si="4"/>
        <v>0</v>
      </c>
      <c r="E82" s="11">
        <f t="shared" si="5"/>
        <v>2</v>
      </c>
      <c r="AA82" t="s">
        <v>128</v>
      </c>
      <c r="AB82">
        <v>2024</v>
      </c>
      <c r="AC82" t="s">
        <v>49</v>
      </c>
    </row>
    <row r="83" spans="1:29">
      <c r="A83" s="9">
        <v>79</v>
      </c>
      <c r="B83" s="10" t="s">
        <v>2342</v>
      </c>
      <c r="C83" s="9">
        <f t="shared" si="3"/>
        <v>2</v>
      </c>
      <c r="D83" s="9">
        <f t="shared" si="4"/>
        <v>0</v>
      </c>
      <c r="E83" s="11">
        <f t="shared" si="5"/>
        <v>2</v>
      </c>
      <c r="AA83" t="s">
        <v>755</v>
      </c>
      <c r="AB83">
        <v>2025</v>
      </c>
      <c r="AC83" t="s">
        <v>33</v>
      </c>
    </row>
    <row r="84" spans="1:29">
      <c r="A84" s="9">
        <v>80</v>
      </c>
      <c r="B84" s="10" t="s">
        <v>2572</v>
      </c>
      <c r="C84" s="9">
        <f t="shared" si="3"/>
        <v>2</v>
      </c>
      <c r="D84" s="9">
        <f t="shared" si="4"/>
        <v>0</v>
      </c>
      <c r="E84" s="11">
        <f t="shared" si="5"/>
        <v>2</v>
      </c>
      <c r="AA84" t="s">
        <v>635</v>
      </c>
      <c r="AB84">
        <v>2024</v>
      </c>
      <c r="AC84" t="s">
        <v>33</v>
      </c>
    </row>
    <row r="85" spans="1:29">
      <c r="A85" s="9">
        <v>81</v>
      </c>
      <c r="B85" s="10" t="s">
        <v>2877</v>
      </c>
      <c r="C85" s="9">
        <f t="shared" si="3"/>
        <v>2</v>
      </c>
      <c r="D85" s="9">
        <f t="shared" si="4"/>
        <v>0</v>
      </c>
      <c r="E85" s="11">
        <f t="shared" si="5"/>
        <v>2</v>
      </c>
      <c r="AA85" t="s">
        <v>422</v>
      </c>
      <c r="AB85">
        <v>2025</v>
      </c>
      <c r="AC85" t="s">
        <v>49</v>
      </c>
    </row>
    <row r="86" spans="1:29">
      <c r="A86" s="9">
        <v>82</v>
      </c>
      <c r="B86" s="10" t="s">
        <v>2963</v>
      </c>
      <c r="C86" s="9">
        <f t="shared" si="3"/>
        <v>2</v>
      </c>
      <c r="D86" s="9">
        <f t="shared" si="4"/>
        <v>0</v>
      </c>
      <c r="E86" s="11">
        <f t="shared" si="5"/>
        <v>2</v>
      </c>
      <c r="AA86" t="s">
        <v>789</v>
      </c>
      <c r="AB86">
        <v>2025</v>
      </c>
      <c r="AC86" t="s">
        <v>49</v>
      </c>
    </row>
    <row r="87" spans="1:29">
      <c r="A87" s="9">
        <v>83</v>
      </c>
      <c r="B87" s="10" t="s">
        <v>3861</v>
      </c>
      <c r="C87" s="9">
        <f t="shared" si="3"/>
        <v>2</v>
      </c>
      <c r="D87" s="9">
        <f t="shared" si="4"/>
        <v>0</v>
      </c>
      <c r="E87" s="11">
        <f t="shared" si="5"/>
        <v>2</v>
      </c>
      <c r="AA87" t="s">
        <v>790</v>
      </c>
      <c r="AB87">
        <v>2024</v>
      </c>
      <c r="AC87" t="s">
        <v>33</v>
      </c>
    </row>
    <row r="88" spans="1:29">
      <c r="A88" s="9">
        <v>84</v>
      </c>
      <c r="B88" s="10" t="s">
        <v>4100</v>
      </c>
      <c r="C88" s="9">
        <f t="shared" si="3"/>
        <v>2</v>
      </c>
      <c r="D88" s="9">
        <f t="shared" si="4"/>
        <v>0</v>
      </c>
      <c r="E88" s="11">
        <f t="shared" si="5"/>
        <v>2</v>
      </c>
      <c r="AA88" t="s">
        <v>128</v>
      </c>
      <c r="AB88">
        <v>2025</v>
      </c>
      <c r="AC88" t="s">
        <v>33</v>
      </c>
    </row>
    <row r="89" spans="1:29">
      <c r="A89" s="9">
        <v>85</v>
      </c>
      <c r="B89" s="10" t="s">
        <v>4553</v>
      </c>
      <c r="C89" s="9">
        <f t="shared" si="3"/>
        <v>2</v>
      </c>
      <c r="D89" s="9">
        <f t="shared" si="4"/>
        <v>0</v>
      </c>
      <c r="E89" s="11">
        <f t="shared" si="5"/>
        <v>2</v>
      </c>
      <c r="AA89" t="s">
        <v>811</v>
      </c>
      <c r="AB89">
        <v>2024</v>
      </c>
      <c r="AC89" t="s">
        <v>33</v>
      </c>
    </row>
    <row r="90" spans="1:29">
      <c r="A90" s="9">
        <v>86</v>
      </c>
      <c r="B90" s="10" t="s">
        <v>296</v>
      </c>
      <c r="C90" s="9">
        <f t="shared" si="3"/>
        <v>1</v>
      </c>
      <c r="D90" s="9">
        <f t="shared" si="4"/>
        <v>1</v>
      </c>
      <c r="E90" s="11">
        <f t="shared" si="5"/>
        <v>2</v>
      </c>
      <c r="AA90" t="s">
        <v>822</v>
      </c>
      <c r="AB90">
        <v>2024</v>
      </c>
      <c r="AC90" t="s">
        <v>33</v>
      </c>
    </row>
    <row r="91" spans="1:29">
      <c r="A91" s="9">
        <v>87</v>
      </c>
      <c r="B91" s="10" t="s">
        <v>342</v>
      </c>
      <c r="C91" s="9">
        <f t="shared" si="3"/>
        <v>1</v>
      </c>
      <c r="D91" s="9">
        <f t="shared" si="4"/>
        <v>1</v>
      </c>
      <c r="E91" s="11">
        <f t="shared" si="5"/>
        <v>2</v>
      </c>
      <c r="AA91" t="s">
        <v>834</v>
      </c>
      <c r="AB91">
        <v>2024</v>
      </c>
      <c r="AC91" t="s">
        <v>49</v>
      </c>
    </row>
    <row r="92" spans="1:29">
      <c r="A92" s="9">
        <v>88</v>
      </c>
      <c r="B92" s="10" t="s">
        <v>383</v>
      </c>
      <c r="C92" s="9">
        <f t="shared" si="3"/>
        <v>1</v>
      </c>
      <c r="D92" s="9">
        <f t="shared" si="4"/>
        <v>1</v>
      </c>
      <c r="E92" s="11">
        <f t="shared" si="5"/>
        <v>2</v>
      </c>
      <c r="AA92" t="s">
        <v>276</v>
      </c>
      <c r="AB92">
        <v>2024</v>
      </c>
      <c r="AC92" t="s">
        <v>49</v>
      </c>
    </row>
    <row r="93" spans="1:29">
      <c r="A93" s="9">
        <v>89</v>
      </c>
      <c r="B93" s="10" t="s">
        <v>685</v>
      </c>
      <c r="C93" s="9">
        <f t="shared" si="3"/>
        <v>1</v>
      </c>
      <c r="D93" s="9">
        <f t="shared" si="4"/>
        <v>1</v>
      </c>
      <c r="E93" s="11">
        <f t="shared" si="5"/>
        <v>2</v>
      </c>
      <c r="AA93" t="s">
        <v>861</v>
      </c>
      <c r="AB93">
        <v>2024</v>
      </c>
      <c r="AC93" t="s">
        <v>49</v>
      </c>
    </row>
    <row r="94" spans="1:29">
      <c r="A94" s="9">
        <v>90</v>
      </c>
      <c r="B94" s="10" t="s">
        <v>864</v>
      </c>
      <c r="C94" s="9">
        <f t="shared" si="3"/>
        <v>1</v>
      </c>
      <c r="D94" s="9">
        <f t="shared" si="4"/>
        <v>1</v>
      </c>
      <c r="E94" s="11">
        <f t="shared" si="5"/>
        <v>2</v>
      </c>
      <c r="AA94" t="s">
        <v>862</v>
      </c>
      <c r="AB94">
        <v>2024</v>
      </c>
      <c r="AC94" t="s">
        <v>49</v>
      </c>
    </row>
    <row r="95" spans="1:29">
      <c r="A95" s="9">
        <v>91</v>
      </c>
      <c r="B95" s="10" t="s">
        <v>1061</v>
      </c>
      <c r="C95" s="9">
        <f t="shared" si="3"/>
        <v>1</v>
      </c>
      <c r="D95" s="9">
        <f t="shared" si="4"/>
        <v>1</v>
      </c>
      <c r="E95" s="11">
        <f t="shared" si="5"/>
        <v>2</v>
      </c>
      <c r="AA95" t="s">
        <v>863</v>
      </c>
      <c r="AB95">
        <v>2024</v>
      </c>
      <c r="AC95" t="s">
        <v>49</v>
      </c>
    </row>
    <row r="96" spans="1:29">
      <c r="A96" s="9">
        <v>92</v>
      </c>
      <c r="B96" s="10" t="s">
        <v>1176</v>
      </c>
      <c r="C96" s="9">
        <f t="shared" si="3"/>
        <v>1</v>
      </c>
      <c r="D96" s="9">
        <f t="shared" si="4"/>
        <v>1</v>
      </c>
      <c r="E96" s="11">
        <f t="shared" si="5"/>
        <v>2</v>
      </c>
      <c r="AA96" t="s">
        <v>864</v>
      </c>
      <c r="AB96">
        <v>2024</v>
      </c>
      <c r="AC96" t="s">
        <v>33</v>
      </c>
    </row>
    <row r="97" spans="1:29">
      <c r="A97" s="9">
        <v>93</v>
      </c>
      <c r="B97" s="10" t="s">
        <v>1310</v>
      </c>
      <c r="C97" s="9">
        <f t="shared" si="3"/>
        <v>1</v>
      </c>
      <c r="D97" s="9">
        <f t="shared" si="4"/>
        <v>1</v>
      </c>
      <c r="E97" s="11">
        <f t="shared" si="5"/>
        <v>2</v>
      </c>
      <c r="AA97" t="s">
        <v>265</v>
      </c>
      <c r="AB97">
        <v>2024</v>
      </c>
      <c r="AC97" t="s">
        <v>33</v>
      </c>
    </row>
    <row r="98" spans="1:29">
      <c r="A98" s="9">
        <v>94</v>
      </c>
      <c r="B98" s="10" t="s">
        <v>1320</v>
      </c>
      <c r="C98" s="9">
        <f t="shared" si="3"/>
        <v>1</v>
      </c>
      <c r="D98" s="9">
        <f t="shared" si="4"/>
        <v>1</v>
      </c>
      <c r="E98" s="11">
        <f t="shared" si="5"/>
        <v>2</v>
      </c>
      <c r="AA98" t="s">
        <v>265</v>
      </c>
      <c r="AB98">
        <v>2024</v>
      </c>
      <c r="AC98" t="s">
        <v>33</v>
      </c>
    </row>
    <row r="99" spans="1:29">
      <c r="A99" s="9">
        <v>95</v>
      </c>
      <c r="B99" s="10" t="s">
        <v>1527</v>
      </c>
      <c r="C99" s="9">
        <f t="shared" si="3"/>
        <v>1</v>
      </c>
      <c r="D99" s="9">
        <f t="shared" si="4"/>
        <v>1</v>
      </c>
      <c r="E99" s="11">
        <f t="shared" si="5"/>
        <v>2</v>
      </c>
      <c r="AA99" t="s">
        <v>897</v>
      </c>
      <c r="AB99">
        <v>2024</v>
      </c>
      <c r="AC99" t="s">
        <v>33</v>
      </c>
    </row>
    <row r="100" spans="1:29">
      <c r="A100" s="9">
        <v>96</v>
      </c>
      <c r="B100" s="10" t="s">
        <v>1967</v>
      </c>
      <c r="C100" s="9">
        <f t="shared" si="3"/>
        <v>1</v>
      </c>
      <c r="D100" s="9">
        <f t="shared" si="4"/>
        <v>1</v>
      </c>
      <c r="E100" s="11">
        <f t="shared" si="5"/>
        <v>2</v>
      </c>
      <c r="AA100" t="s">
        <v>921</v>
      </c>
      <c r="AB100">
        <v>2025</v>
      </c>
      <c r="AC100" t="s">
        <v>33</v>
      </c>
    </row>
    <row r="101" spans="1:29">
      <c r="A101" s="9">
        <v>97</v>
      </c>
      <c r="B101" s="10" t="s">
        <v>2006</v>
      </c>
      <c r="C101" s="9">
        <f t="shared" si="3"/>
        <v>1</v>
      </c>
      <c r="D101" s="9">
        <f t="shared" si="4"/>
        <v>1</v>
      </c>
      <c r="E101" s="11">
        <f t="shared" si="5"/>
        <v>2</v>
      </c>
      <c r="AA101" t="s">
        <v>954</v>
      </c>
      <c r="AB101">
        <v>2024</v>
      </c>
      <c r="AC101" t="s">
        <v>33</v>
      </c>
    </row>
    <row r="102" spans="1:29">
      <c r="A102" s="9">
        <v>98</v>
      </c>
      <c r="B102" s="10" t="s">
        <v>2322</v>
      </c>
      <c r="C102" s="9">
        <f t="shared" si="3"/>
        <v>1</v>
      </c>
      <c r="D102" s="9">
        <f t="shared" si="4"/>
        <v>1</v>
      </c>
      <c r="E102" s="11">
        <f t="shared" si="5"/>
        <v>2</v>
      </c>
      <c r="AA102" t="s">
        <v>964</v>
      </c>
      <c r="AB102">
        <v>2024</v>
      </c>
      <c r="AC102" t="s">
        <v>33</v>
      </c>
    </row>
    <row r="103" spans="1:29">
      <c r="A103" s="9">
        <v>99</v>
      </c>
      <c r="B103" s="10" t="s">
        <v>2672</v>
      </c>
      <c r="C103" s="9">
        <f t="shared" si="3"/>
        <v>1</v>
      </c>
      <c r="D103" s="9">
        <f t="shared" si="4"/>
        <v>1</v>
      </c>
      <c r="E103" s="11">
        <f t="shared" si="5"/>
        <v>2</v>
      </c>
      <c r="AA103" t="s">
        <v>965</v>
      </c>
      <c r="AB103">
        <v>2024</v>
      </c>
      <c r="AC103" t="s">
        <v>33</v>
      </c>
    </row>
    <row r="104" spans="1:29">
      <c r="A104" s="9">
        <v>100</v>
      </c>
      <c r="B104" s="10" t="s">
        <v>2683</v>
      </c>
      <c r="C104" s="9">
        <f t="shared" si="3"/>
        <v>1</v>
      </c>
      <c r="D104" s="9">
        <f t="shared" si="4"/>
        <v>1</v>
      </c>
      <c r="E104" s="11">
        <f t="shared" si="5"/>
        <v>2</v>
      </c>
      <c r="AA104" t="s">
        <v>966</v>
      </c>
      <c r="AB104">
        <v>2024</v>
      </c>
      <c r="AC104" t="s">
        <v>33</v>
      </c>
    </row>
    <row r="105" spans="1:29">
      <c r="A105" s="9">
        <v>101</v>
      </c>
      <c r="B105" s="10" t="s">
        <v>2728</v>
      </c>
      <c r="C105" s="9">
        <f t="shared" si="3"/>
        <v>1</v>
      </c>
      <c r="D105" s="9">
        <f t="shared" si="4"/>
        <v>1</v>
      </c>
      <c r="E105" s="11">
        <f t="shared" si="5"/>
        <v>2</v>
      </c>
      <c r="AA105" t="s">
        <v>384</v>
      </c>
      <c r="AB105">
        <v>2024</v>
      </c>
      <c r="AC105" t="s">
        <v>33</v>
      </c>
    </row>
    <row r="106" spans="1:29">
      <c r="A106" s="9">
        <v>102</v>
      </c>
      <c r="B106" s="10" t="s">
        <v>2935</v>
      </c>
      <c r="C106" s="9">
        <f t="shared" si="3"/>
        <v>1</v>
      </c>
      <c r="D106" s="9">
        <f t="shared" si="4"/>
        <v>1</v>
      </c>
      <c r="E106" s="11">
        <f t="shared" si="5"/>
        <v>2</v>
      </c>
      <c r="AA106" t="s">
        <v>385</v>
      </c>
      <c r="AB106">
        <v>2024</v>
      </c>
      <c r="AC106" t="s">
        <v>33</v>
      </c>
    </row>
    <row r="107" spans="1:29">
      <c r="A107" s="9">
        <v>103</v>
      </c>
      <c r="B107" s="10" t="s">
        <v>3181</v>
      </c>
      <c r="C107" s="9">
        <f t="shared" si="3"/>
        <v>1</v>
      </c>
      <c r="D107" s="9">
        <f t="shared" si="4"/>
        <v>1</v>
      </c>
      <c r="E107" s="11">
        <f t="shared" si="5"/>
        <v>2</v>
      </c>
      <c r="AA107" t="s">
        <v>967</v>
      </c>
      <c r="AB107">
        <v>2025</v>
      </c>
      <c r="AC107" t="s">
        <v>49</v>
      </c>
    </row>
    <row r="108" spans="1:29">
      <c r="A108" s="9">
        <v>104</v>
      </c>
      <c r="B108" s="10" t="s">
        <v>3229</v>
      </c>
      <c r="C108" s="9">
        <f t="shared" si="3"/>
        <v>1</v>
      </c>
      <c r="D108" s="9">
        <f t="shared" si="4"/>
        <v>1</v>
      </c>
      <c r="E108" s="11">
        <f t="shared" si="5"/>
        <v>2</v>
      </c>
      <c r="AA108" t="s">
        <v>974</v>
      </c>
      <c r="AB108">
        <v>2025</v>
      </c>
      <c r="AC108" t="s">
        <v>49</v>
      </c>
    </row>
    <row r="109" spans="1:29">
      <c r="A109" s="9">
        <v>105</v>
      </c>
      <c r="B109" s="10" t="s">
        <v>3365</v>
      </c>
      <c r="C109" s="9">
        <f t="shared" si="3"/>
        <v>1</v>
      </c>
      <c r="D109" s="9">
        <f t="shared" si="4"/>
        <v>1</v>
      </c>
      <c r="E109" s="11">
        <f t="shared" si="5"/>
        <v>2</v>
      </c>
      <c r="AA109" t="s">
        <v>975</v>
      </c>
      <c r="AB109">
        <v>2025</v>
      </c>
      <c r="AC109" t="s">
        <v>49</v>
      </c>
    </row>
    <row r="110" spans="1:29">
      <c r="A110" s="9">
        <v>106</v>
      </c>
      <c r="B110" s="10" t="s">
        <v>3386</v>
      </c>
      <c r="C110" s="9">
        <f t="shared" si="3"/>
        <v>1</v>
      </c>
      <c r="D110" s="9">
        <f t="shared" si="4"/>
        <v>1</v>
      </c>
      <c r="E110" s="11">
        <f t="shared" si="5"/>
        <v>2</v>
      </c>
      <c r="AA110" t="s">
        <v>276</v>
      </c>
      <c r="AB110">
        <v>2024</v>
      </c>
      <c r="AC110" t="s">
        <v>33</v>
      </c>
    </row>
    <row r="111" spans="1:29">
      <c r="A111" s="9">
        <v>107</v>
      </c>
      <c r="B111" s="10" t="s">
        <v>3434</v>
      </c>
      <c r="C111" s="9">
        <f t="shared" si="3"/>
        <v>1</v>
      </c>
      <c r="D111" s="9">
        <f t="shared" si="4"/>
        <v>1</v>
      </c>
      <c r="E111" s="11">
        <f t="shared" si="5"/>
        <v>2</v>
      </c>
      <c r="AA111" t="s">
        <v>113</v>
      </c>
      <c r="AB111">
        <v>2025</v>
      </c>
      <c r="AC111" t="s">
        <v>49</v>
      </c>
    </row>
    <row r="112" spans="1:29">
      <c r="A112" s="9">
        <v>108</v>
      </c>
      <c r="B112" s="10" t="s">
        <v>3503</v>
      </c>
      <c r="C112" s="9">
        <f t="shared" si="3"/>
        <v>1</v>
      </c>
      <c r="D112" s="9">
        <f t="shared" si="4"/>
        <v>1</v>
      </c>
      <c r="E112" s="11">
        <f t="shared" si="5"/>
        <v>2</v>
      </c>
      <c r="AA112" t="s">
        <v>996</v>
      </c>
      <c r="AB112">
        <v>2024</v>
      </c>
      <c r="AC112" t="s">
        <v>33</v>
      </c>
    </row>
    <row r="113" spans="1:29">
      <c r="A113" s="9">
        <v>109</v>
      </c>
      <c r="B113" s="10" t="s">
        <v>3588</v>
      </c>
      <c r="C113" s="9">
        <f t="shared" si="3"/>
        <v>1</v>
      </c>
      <c r="D113" s="9">
        <f t="shared" si="4"/>
        <v>1</v>
      </c>
      <c r="E113" s="11">
        <f t="shared" si="5"/>
        <v>2</v>
      </c>
      <c r="AA113" t="s">
        <v>1008</v>
      </c>
      <c r="AB113">
        <v>2024</v>
      </c>
      <c r="AC113" t="s">
        <v>33</v>
      </c>
    </row>
    <row r="114" spans="1:29">
      <c r="A114" s="9">
        <v>110</v>
      </c>
      <c r="B114" s="10" t="s">
        <v>3688</v>
      </c>
      <c r="C114" s="9">
        <f t="shared" si="3"/>
        <v>1</v>
      </c>
      <c r="D114" s="9">
        <f t="shared" si="4"/>
        <v>1</v>
      </c>
      <c r="E114" s="11">
        <f t="shared" si="5"/>
        <v>2</v>
      </c>
      <c r="AA114" t="s">
        <v>1009</v>
      </c>
      <c r="AB114">
        <v>2024</v>
      </c>
      <c r="AC114" t="s">
        <v>33</v>
      </c>
    </row>
    <row r="115" spans="1:29">
      <c r="A115" s="9">
        <v>111</v>
      </c>
      <c r="B115" s="10" t="s">
        <v>3700</v>
      </c>
      <c r="C115" s="9">
        <f t="shared" si="3"/>
        <v>1</v>
      </c>
      <c r="D115" s="9">
        <f t="shared" si="4"/>
        <v>1</v>
      </c>
      <c r="E115" s="11">
        <f t="shared" si="5"/>
        <v>2</v>
      </c>
      <c r="AA115" t="s">
        <v>1010</v>
      </c>
      <c r="AB115">
        <v>2024</v>
      </c>
      <c r="AC115" t="s">
        <v>33</v>
      </c>
    </row>
    <row r="116" spans="1:29">
      <c r="A116" s="9">
        <v>112</v>
      </c>
      <c r="B116" s="10" t="s">
        <v>5233</v>
      </c>
      <c r="C116" s="9">
        <f t="shared" si="3"/>
        <v>1</v>
      </c>
      <c r="D116" s="9">
        <f t="shared" si="4"/>
        <v>1</v>
      </c>
      <c r="E116" s="11">
        <f t="shared" si="5"/>
        <v>2</v>
      </c>
      <c r="AA116" t="s">
        <v>1011</v>
      </c>
      <c r="AB116">
        <v>2024</v>
      </c>
      <c r="AC116" t="s">
        <v>33</v>
      </c>
    </row>
    <row r="117" spans="1:29">
      <c r="A117" s="9">
        <v>113</v>
      </c>
      <c r="B117" s="10" t="s">
        <v>254</v>
      </c>
      <c r="C117" s="9">
        <f t="shared" si="3"/>
        <v>0</v>
      </c>
      <c r="D117" s="9">
        <f t="shared" si="4"/>
        <v>2</v>
      </c>
      <c r="E117" s="11">
        <f t="shared" si="5"/>
        <v>2</v>
      </c>
      <c r="AA117" t="s">
        <v>1012</v>
      </c>
      <c r="AB117">
        <v>2024</v>
      </c>
      <c r="AC117" t="s">
        <v>33</v>
      </c>
    </row>
    <row r="118" spans="1:29">
      <c r="A118" s="9">
        <v>114</v>
      </c>
      <c r="B118" s="10" t="s">
        <v>712</v>
      </c>
      <c r="C118" s="9">
        <f t="shared" si="3"/>
        <v>0</v>
      </c>
      <c r="D118" s="9">
        <f t="shared" si="4"/>
        <v>2</v>
      </c>
      <c r="E118" s="11">
        <f t="shared" si="5"/>
        <v>2</v>
      </c>
      <c r="AA118" t="s">
        <v>921</v>
      </c>
      <c r="AB118">
        <v>2024</v>
      </c>
      <c r="AC118" t="s">
        <v>33</v>
      </c>
    </row>
    <row r="119" spans="1:29">
      <c r="A119" s="9">
        <v>115</v>
      </c>
      <c r="B119" s="10" t="s">
        <v>975</v>
      </c>
      <c r="C119" s="9">
        <f t="shared" si="3"/>
        <v>0</v>
      </c>
      <c r="D119" s="9">
        <f t="shared" si="4"/>
        <v>2</v>
      </c>
      <c r="E119" s="11">
        <f t="shared" si="5"/>
        <v>2</v>
      </c>
      <c r="AA119" t="s">
        <v>1013</v>
      </c>
      <c r="AB119">
        <v>2025</v>
      </c>
      <c r="AC119" t="s">
        <v>49</v>
      </c>
    </row>
    <row r="120" spans="1:29">
      <c r="A120" s="9">
        <v>116</v>
      </c>
      <c r="B120" s="10" t="s">
        <v>1908</v>
      </c>
      <c r="C120" s="9">
        <f t="shared" si="3"/>
        <v>0</v>
      </c>
      <c r="D120" s="9">
        <f t="shared" si="4"/>
        <v>2</v>
      </c>
      <c r="E120" s="11">
        <f t="shared" si="5"/>
        <v>2</v>
      </c>
      <c r="AA120" t="s">
        <v>1024</v>
      </c>
      <c r="AB120">
        <v>2025</v>
      </c>
      <c r="AC120" t="s">
        <v>49</v>
      </c>
    </row>
    <row r="121" spans="1:29">
      <c r="A121" s="9">
        <v>117</v>
      </c>
      <c r="B121" s="10" t="s">
        <v>2172</v>
      </c>
      <c r="C121" s="9">
        <f t="shared" si="3"/>
        <v>0</v>
      </c>
      <c r="D121" s="9">
        <f t="shared" si="4"/>
        <v>2</v>
      </c>
      <c r="E121" s="11">
        <f t="shared" si="5"/>
        <v>2</v>
      </c>
      <c r="AA121" t="s">
        <v>276</v>
      </c>
      <c r="AB121">
        <v>2024</v>
      </c>
      <c r="AC121" t="s">
        <v>49</v>
      </c>
    </row>
    <row r="122" spans="1:29">
      <c r="A122" s="9">
        <v>118</v>
      </c>
      <c r="B122" s="10" t="s">
        <v>2358</v>
      </c>
      <c r="C122" s="9">
        <f t="shared" si="3"/>
        <v>0</v>
      </c>
      <c r="D122" s="9">
        <f t="shared" si="4"/>
        <v>2</v>
      </c>
      <c r="E122" s="11">
        <f t="shared" si="5"/>
        <v>2</v>
      </c>
      <c r="AA122" t="s">
        <v>1032</v>
      </c>
      <c r="AB122">
        <v>2024</v>
      </c>
      <c r="AC122" t="s">
        <v>49</v>
      </c>
    </row>
    <row r="123" spans="1:29">
      <c r="A123" s="9">
        <v>119</v>
      </c>
      <c r="B123" s="10" t="s">
        <v>2563</v>
      </c>
      <c r="C123" s="9">
        <f t="shared" si="3"/>
        <v>0</v>
      </c>
      <c r="D123" s="9">
        <f t="shared" si="4"/>
        <v>2</v>
      </c>
      <c r="E123" s="11">
        <f t="shared" si="5"/>
        <v>2</v>
      </c>
      <c r="AA123" t="s">
        <v>128</v>
      </c>
      <c r="AB123">
        <v>2024</v>
      </c>
      <c r="AC123" t="s">
        <v>33</v>
      </c>
    </row>
    <row r="124" spans="1:29">
      <c r="A124" s="9">
        <v>120</v>
      </c>
      <c r="B124" s="10" t="s">
        <v>3013</v>
      </c>
      <c r="C124" s="9">
        <f t="shared" si="3"/>
        <v>0</v>
      </c>
      <c r="D124" s="9">
        <f t="shared" si="4"/>
        <v>2</v>
      </c>
      <c r="E124" s="11">
        <f t="shared" si="5"/>
        <v>2</v>
      </c>
      <c r="AA124" t="s">
        <v>1051</v>
      </c>
      <c r="AB124">
        <v>2024</v>
      </c>
      <c r="AC124" t="s">
        <v>33</v>
      </c>
    </row>
    <row r="125" spans="1:29">
      <c r="A125" s="9">
        <v>121</v>
      </c>
      <c r="B125" s="10" t="s">
        <v>3023</v>
      </c>
      <c r="C125" s="9">
        <f t="shared" si="3"/>
        <v>0</v>
      </c>
      <c r="D125" s="9">
        <f t="shared" si="4"/>
        <v>2</v>
      </c>
      <c r="E125" s="11">
        <f t="shared" si="5"/>
        <v>2</v>
      </c>
      <c r="AA125" t="s">
        <v>1061</v>
      </c>
      <c r="AB125">
        <v>2024</v>
      </c>
      <c r="AC125" t="s">
        <v>49</v>
      </c>
    </row>
    <row r="126" spans="1:29">
      <c r="A126" s="9">
        <v>122</v>
      </c>
      <c r="B126" s="10" t="s">
        <v>3032</v>
      </c>
      <c r="C126" s="9">
        <f t="shared" si="3"/>
        <v>0</v>
      </c>
      <c r="D126" s="9">
        <f t="shared" si="4"/>
        <v>2</v>
      </c>
      <c r="E126" s="11">
        <f t="shared" si="5"/>
        <v>2</v>
      </c>
      <c r="AA126" t="s">
        <v>83</v>
      </c>
      <c r="AB126">
        <v>2025</v>
      </c>
      <c r="AC126" t="s">
        <v>33</v>
      </c>
    </row>
    <row r="127" spans="1:29">
      <c r="A127" s="9">
        <v>123</v>
      </c>
      <c r="B127" s="10" t="s">
        <v>3152</v>
      </c>
      <c r="C127" s="9">
        <f t="shared" si="3"/>
        <v>0</v>
      </c>
      <c r="D127" s="9">
        <f t="shared" si="4"/>
        <v>2</v>
      </c>
      <c r="E127" s="11">
        <f t="shared" si="5"/>
        <v>2</v>
      </c>
      <c r="AA127" t="s">
        <v>3553</v>
      </c>
      <c r="AB127">
        <v>2025</v>
      </c>
      <c r="AC127" t="s">
        <v>33</v>
      </c>
    </row>
    <row r="128" spans="1:29">
      <c r="A128" s="9">
        <v>124</v>
      </c>
      <c r="B128" s="10" t="s">
        <v>3280</v>
      </c>
      <c r="C128" s="9">
        <f t="shared" si="3"/>
        <v>0</v>
      </c>
      <c r="D128" s="9">
        <f t="shared" si="4"/>
        <v>2</v>
      </c>
      <c r="E128" s="11">
        <f t="shared" si="5"/>
        <v>2</v>
      </c>
      <c r="AA128" t="s">
        <v>83</v>
      </c>
      <c r="AB128">
        <v>2025</v>
      </c>
      <c r="AC128" t="s">
        <v>49</v>
      </c>
    </row>
    <row r="129" spans="1:29">
      <c r="A129" s="9">
        <v>125</v>
      </c>
      <c r="B129" s="10" t="s">
        <v>3892</v>
      </c>
      <c r="C129" s="9">
        <f t="shared" si="3"/>
        <v>0</v>
      </c>
      <c r="D129" s="9">
        <f t="shared" si="4"/>
        <v>2</v>
      </c>
      <c r="E129" s="11">
        <f t="shared" si="5"/>
        <v>2</v>
      </c>
      <c r="AA129" t="s">
        <v>1100</v>
      </c>
      <c r="AB129">
        <v>2024</v>
      </c>
      <c r="AC129" t="s">
        <v>644</v>
      </c>
    </row>
    <row r="130" spans="1:29">
      <c r="A130" s="9">
        <v>126</v>
      </c>
      <c r="B130" s="10" t="s">
        <v>3903</v>
      </c>
      <c r="C130" s="9">
        <f t="shared" si="3"/>
        <v>0</v>
      </c>
      <c r="D130" s="9">
        <f t="shared" si="4"/>
        <v>2</v>
      </c>
      <c r="E130" s="11">
        <f t="shared" si="5"/>
        <v>2</v>
      </c>
      <c r="AA130" t="s">
        <v>1109</v>
      </c>
      <c r="AB130">
        <v>2025</v>
      </c>
      <c r="AC130" t="s">
        <v>33</v>
      </c>
    </row>
    <row r="131" spans="1:29">
      <c r="A131" s="9">
        <v>127</v>
      </c>
      <c r="B131" s="10" t="s">
        <v>3919</v>
      </c>
      <c r="C131" s="9">
        <f t="shared" si="3"/>
        <v>0</v>
      </c>
      <c r="D131" s="9">
        <f t="shared" si="4"/>
        <v>2</v>
      </c>
      <c r="E131" s="11">
        <f t="shared" si="5"/>
        <v>2</v>
      </c>
      <c r="AA131" t="s">
        <v>128</v>
      </c>
      <c r="AB131">
        <v>2024</v>
      </c>
      <c r="AC131" t="s">
        <v>1125</v>
      </c>
    </row>
    <row r="132" spans="1:29">
      <c r="A132" s="9">
        <v>128</v>
      </c>
      <c r="B132" s="10" t="s">
        <v>3938</v>
      </c>
      <c r="C132" s="9">
        <f t="shared" si="3"/>
        <v>0</v>
      </c>
      <c r="D132" s="9">
        <f t="shared" si="4"/>
        <v>2</v>
      </c>
      <c r="E132" s="11">
        <f t="shared" si="5"/>
        <v>2</v>
      </c>
      <c r="AA132" t="s">
        <v>1129</v>
      </c>
      <c r="AB132">
        <v>2024</v>
      </c>
      <c r="AC132" t="s">
        <v>33</v>
      </c>
    </row>
    <row r="133" spans="1:29">
      <c r="A133" s="9">
        <v>129</v>
      </c>
      <c r="B133" s="10" t="s">
        <v>3959</v>
      </c>
      <c r="C133" s="9">
        <f t="shared" ref="C133:C196" si="6">COUNTIFS($AA:$AA,$B133,$AB:$AB,2024)</f>
        <v>0</v>
      </c>
      <c r="D133" s="9">
        <f t="shared" ref="D133:D196" si="7">COUNTIFS($AA:$AA,$B133,$AB:$AB,2025)</f>
        <v>2</v>
      </c>
      <c r="E133" s="11">
        <f t="shared" ref="E133:E196" si="8">C133+D133</f>
        <v>2</v>
      </c>
      <c r="AA133" t="s">
        <v>113</v>
      </c>
      <c r="AB133">
        <v>2025</v>
      </c>
      <c r="AC133" t="s">
        <v>49</v>
      </c>
    </row>
    <row r="134" spans="1:29">
      <c r="A134" s="9">
        <v>130</v>
      </c>
      <c r="B134" s="10" t="s">
        <v>3970</v>
      </c>
      <c r="C134" s="9">
        <f t="shared" si="6"/>
        <v>0</v>
      </c>
      <c r="D134" s="9">
        <f t="shared" si="7"/>
        <v>2</v>
      </c>
      <c r="E134" s="11">
        <f t="shared" si="8"/>
        <v>2</v>
      </c>
      <c r="AA134" t="s">
        <v>755</v>
      </c>
      <c r="AB134">
        <v>2024</v>
      </c>
      <c r="AC134" t="s">
        <v>33</v>
      </c>
    </row>
    <row r="135" spans="1:29">
      <c r="A135" s="9">
        <v>131</v>
      </c>
      <c r="B135" s="10" t="s">
        <v>4039</v>
      </c>
      <c r="C135" s="9">
        <f t="shared" si="6"/>
        <v>0</v>
      </c>
      <c r="D135" s="9">
        <f t="shared" si="7"/>
        <v>2</v>
      </c>
      <c r="E135" s="11">
        <f t="shared" si="8"/>
        <v>2</v>
      </c>
      <c r="AA135" t="s">
        <v>1167</v>
      </c>
      <c r="AB135">
        <v>2024</v>
      </c>
      <c r="AC135" t="s">
        <v>33</v>
      </c>
    </row>
    <row r="136" spans="1:29">
      <c r="A136" s="9">
        <v>132</v>
      </c>
      <c r="B136" s="10" t="s">
        <v>4300</v>
      </c>
      <c r="C136" s="9">
        <f t="shared" si="6"/>
        <v>0</v>
      </c>
      <c r="D136" s="9">
        <f t="shared" si="7"/>
        <v>2</v>
      </c>
      <c r="E136" s="11">
        <f t="shared" si="8"/>
        <v>2</v>
      </c>
      <c r="AA136" t="s">
        <v>1168</v>
      </c>
      <c r="AB136">
        <v>2025</v>
      </c>
      <c r="AC136" t="s">
        <v>33</v>
      </c>
    </row>
    <row r="137" spans="1:29">
      <c r="A137" s="9">
        <v>133</v>
      </c>
      <c r="B137" s="10" t="s">
        <v>4414</v>
      </c>
      <c r="C137" s="9">
        <f t="shared" si="6"/>
        <v>0</v>
      </c>
      <c r="D137" s="9">
        <f t="shared" si="7"/>
        <v>2</v>
      </c>
      <c r="E137" s="11">
        <f t="shared" si="8"/>
        <v>2</v>
      </c>
      <c r="AA137" t="s">
        <v>1176</v>
      </c>
      <c r="AB137">
        <v>2025</v>
      </c>
      <c r="AC137" t="s">
        <v>33</v>
      </c>
    </row>
    <row r="138" spans="1:29">
      <c r="A138" s="9">
        <v>134</v>
      </c>
      <c r="B138" s="10" t="s">
        <v>5098</v>
      </c>
      <c r="C138" s="9">
        <f t="shared" si="6"/>
        <v>0</v>
      </c>
      <c r="D138" s="9">
        <f t="shared" si="7"/>
        <v>2</v>
      </c>
      <c r="E138" s="11">
        <f t="shared" si="8"/>
        <v>2</v>
      </c>
      <c r="AA138" t="s">
        <v>265</v>
      </c>
      <c r="AB138">
        <v>2025</v>
      </c>
      <c r="AC138" t="s">
        <v>33</v>
      </c>
    </row>
    <row r="139" spans="1:29">
      <c r="A139" s="9">
        <v>135</v>
      </c>
      <c r="B139" s="10" t="s">
        <v>5199</v>
      </c>
      <c r="C139" s="9">
        <f t="shared" si="6"/>
        <v>0</v>
      </c>
      <c r="D139" s="9">
        <f t="shared" si="7"/>
        <v>2</v>
      </c>
      <c r="E139" s="11">
        <f t="shared" si="8"/>
        <v>2</v>
      </c>
      <c r="AA139" t="s">
        <v>822</v>
      </c>
      <c r="AB139">
        <v>2024</v>
      </c>
      <c r="AC139" t="s">
        <v>33</v>
      </c>
    </row>
    <row r="140" spans="1:29">
      <c r="A140" s="9">
        <v>136</v>
      </c>
      <c r="B140" s="10" t="s">
        <v>5304</v>
      </c>
      <c r="C140" s="9">
        <f t="shared" si="6"/>
        <v>0</v>
      </c>
      <c r="D140" s="9">
        <f t="shared" si="7"/>
        <v>2</v>
      </c>
      <c r="E140" s="11">
        <f t="shared" si="8"/>
        <v>2</v>
      </c>
      <c r="AA140" t="s">
        <v>276</v>
      </c>
      <c r="AB140">
        <v>2025</v>
      </c>
      <c r="AC140" t="s">
        <v>49</v>
      </c>
    </row>
    <row r="141" spans="1:29">
      <c r="A141" s="9">
        <v>137</v>
      </c>
      <c r="B141" s="10" t="s">
        <v>5347</v>
      </c>
      <c r="C141" s="9">
        <f t="shared" si="6"/>
        <v>0</v>
      </c>
      <c r="D141" s="9">
        <f t="shared" si="7"/>
        <v>2</v>
      </c>
      <c r="E141" s="11">
        <f t="shared" si="8"/>
        <v>2</v>
      </c>
      <c r="AA141" t="s">
        <v>113</v>
      </c>
      <c r="AB141">
        <v>2024</v>
      </c>
      <c r="AC141" t="s">
        <v>33</v>
      </c>
    </row>
    <row r="142" spans="1:29">
      <c r="A142" s="9">
        <v>138</v>
      </c>
      <c r="B142" s="10" t="s">
        <v>56</v>
      </c>
      <c r="C142" s="9">
        <f t="shared" si="6"/>
        <v>1</v>
      </c>
      <c r="D142" s="9">
        <f t="shared" si="7"/>
        <v>0</v>
      </c>
      <c r="E142" s="11">
        <f t="shared" si="8"/>
        <v>1</v>
      </c>
      <c r="AA142" t="s">
        <v>164</v>
      </c>
      <c r="AB142">
        <v>2024</v>
      </c>
      <c r="AC142" t="s">
        <v>49</v>
      </c>
    </row>
    <row r="143" spans="1:29">
      <c r="A143" s="9">
        <v>139</v>
      </c>
      <c r="B143" s="10" t="s">
        <v>70</v>
      </c>
      <c r="C143" s="9">
        <f t="shared" si="6"/>
        <v>1</v>
      </c>
      <c r="D143" s="9">
        <f t="shared" si="7"/>
        <v>0</v>
      </c>
      <c r="E143" s="11">
        <f t="shared" si="8"/>
        <v>1</v>
      </c>
      <c r="AA143" t="s">
        <v>265</v>
      </c>
      <c r="AB143">
        <v>2024</v>
      </c>
      <c r="AC143" t="s">
        <v>33</v>
      </c>
    </row>
    <row r="144" spans="1:29">
      <c r="A144" s="9">
        <v>140</v>
      </c>
      <c r="B144" s="10" t="s">
        <v>81</v>
      </c>
      <c r="C144" s="9">
        <f t="shared" si="6"/>
        <v>1</v>
      </c>
      <c r="D144" s="9">
        <f t="shared" si="7"/>
        <v>0</v>
      </c>
      <c r="E144" s="11">
        <f t="shared" si="8"/>
        <v>1</v>
      </c>
      <c r="AA144" t="s">
        <v>82</v>
      </c>
      <c r="AB144">
        <v>2025</v>
      </c>
      <c r="AC144" t="s">
        <v>33</v>
      </c>
    </row>
    <row r="145" spans="1:29">
      <c r="A145" s="9">
        <v>141</v>
      </c>
      <c r="B145" s="10" t="s">
        <v>368</v>
      </c>
      <c r="C145" s="9">
        <f t="shared" si="6"/>
        <v>1</v>
      </c>
      <c r="D145" s="9">
        <f t="shared" si="7"/>
        <v>0</v>
      </c>
      <c r="E145" s="11">
        <f t="shared" si="8"/>
        <v>1</v>
      </c>
      <c r="AA145" t="s">
        <v>1250</v>
      </c>
      <c r="AB145">
        <v>2025</v>
      </c>
      <c r="AC145" t="s">
        <v>33</v>
      </c>
    </row>
    <row r="146" spans="1:29">
      <c r="A146" s="9">
        <v>142</v>
      </c>
      <c r="B146" s="10" t="s">
        <v>381</v>
      </c>
      <c r="C146" s="9">
        <f t="shared" si="6"/>
        <v>1</v>
      </c>
      <c r="D146" s="9">
        <f t="shared" si="7"/>
        <v>0</v>
      </c>
      <c r="E146" s="11">
        <f t="shared" si="8"/>
        <v>1</v>
      </c>
      <c r="AA146" t="s">
        <v>1251</v>
      </c>
      <c r="AB146">
        <v>2025</v>
      </c>
      <c r="AC146" t="s">
        <v>33</v>
      </c>
    </row>
    <row r="147" spans="1:29">
      <c r="A147" s="9">
        <v>143</v>
      </c>
      <c r="B147" s="10" t="s">
        <v>382</v>
      </c>
      <c r="C147" s="9">
        <f t="shared" si="6"/>
        <v>1</v>
      </c>
      <c r="D147" s="9">
        <f t="shared" si="7"/>
        <v>0</v>
      </c>
      <c r="E147" s="11">
        <f t="shared" si="8"/>
        <v>1</v>
      </c>
      <c r="AA147" t="s">
        <v>83</v>
      </c>
      <c r="AB147">
        <v>2025</v>
      </c>
      <c r="AC147" t="s">
        <v>33</v>
      </c>
    </row>
    <row r="148" spans="1:29">
      <c r="A148" s="9">
        <v>144</v>
      </c>
      <c r="B148" s="10" t="s">
        <v>505</v>
      </c>
      <c r="C148" s="9">
        <f t="shared" si="6"/>
        <v>1</v>
      </c>
      <c r="D148" s="9">
        <f t="shared" si="7"/>
        <v>0</v>
      </c>
      <c r="E148" s="11">
        <f t="shared" si="8"/>
        <v>1</v>
      </c>
      <c r="AA148" t="s">
        <v>1252</v>
      </c>
      <c r="AB148">
        <v>2024</v>
      </c>
      <c r="AC148" t="s">
        <v>33</v>
      </c>
    </row>
    <row r="149" spans="1:29">
      <c r="A149" s="9">
        <v>145</v>
      </c>
      <c r="B149" s="10" t="s">
        <v>513</v>
      </c>
      <c r="C149" s="9">
        <f t="shared" si="6"/>
        <v>1</v>
      </c>
      <c r="D149" s="9">
        <f t="shared" si="7"/>
        <v>0</v>
      </c>
      <c r="E149" s="11">
        <f t="shared" si="8"/>
        <v>1</v>
      </c>
      <c r="AA149" t="s">
        <v>1264</v>
      </c>
      <c r="AB149">
        <v>2024</v>
      </c>
      <c r="AC149" t="s">
        <v>33</v>
      </c>
    </row>
    <row r="150" spans="1:29">
      <c r="A150" s="9">
        <v>146</v>
      </c>
      <c r="B150" s="10" t="s">
        <v>694</v>
      </c>
      <c r="C150" s="9">
        <f t="shared" si="6"/>
        <v>1</v>
      </c>
      <c r="D150" s="9">
        <f t="shared" si="7"/>
        <v>0</v>
      </c>
      <c r="E150" s="11">
        <f t="shared" si="8"/>
        <v>1</v>
      </c>
      <c r="AA150" t="s">
        <v>1032</v>
      </c>
      <c r="AB150">
        <v>2024</v>
      </c>
      <c r="AC150" t="s">
        <v>33</v>
      </c>
    </row>
    <row r="151" spans="1:29">
      <c r="A151" s="9">
        <v>147</v>
      </c>
      <c r="B151" s="10" t="s">
        <v>695</v>
      </c>
      <c r="C151" s="9">
        <f t="shared" si="6"/>
        <v>1</v>
      </c>
      <c r="D151" s="9">
        <f t="shared" si="7"/>
        <v>0</v>
      </c>
      <c r="E151" s="11">
        <f t="shared" si="8"/>
        <v>1</v>
      </c>
      <c r="AA151" t="s">
        <v>1270</v>
      </c>
      <c r="AB151">
        <v>2024</v>
      </c>
      <c r="AC151" t="s">
        <v>33</v>
      </c>
    </row>
    <row r="152" spans="1:29">
      <c r="A152" s="9">
        <v>148</v>
      </c>
      <c r="B152" s="10" t="s">
        <v>696</v>
      </c>
      <c r="C152" s="9">
        <f t="shared" si="6"/>
        <v>1</v>
      </c>
      <c r="D152" s="9">
        <f t="shared" si="7"/>
        <v>0</v>
      </c>
      <c r="E152" s="11">
        <f t="shared" si="8"/>
        <v>1</v>
      </c>
      <c r="AA152" t="s">
        <v>790</v>
      </c>
      <c r="AB152">
        <v>2025</v>
      </c>
      <c r="AC152" t="s">
        <v>33</v>
      </c>
    </row>
    <row r="153" spans="1:29">
      <c r="A153" s="9">
        <v>149</v>
      </c>
      <c r="B153" s="10" t="s">
        <v>697</v>
      </c>
      <c r="C153" s="9">
        <f t="shared" si="6"/>
        <v>1</v>
      </c>
      <c r="D153" s="9">
        <f t="shared" si="7"/>
        <v>0</v>
      </c>
      <c r="E153" s="11">
        <f t="shared" si="8"/>
        <v>1</v>
      </c>
      <c r="AA153" t="s">
        <v>1282</v>
      </c>
      <c r="AB153">
        <v>2025</v>
      </c>
      <c r="AC153" t="s">
        <v>49</v>
      </c>
    </row>
    <row r="154" spans="1:29">
      <c r="A154" s="9">
        <v>150</v>
      </c>
      <c r="B154" s="10" t="s">
        <v>698</v>
      </c>
      <c r="C154" s="9">
        <f t="shared" si="6"/>
        <v>1</v>
      </c>
      <c r="D154" s="9">
        <f t="shared" si="7"/>
        <v>0</v>
      </c>
      <c r="E154" s="11">
        <f t="shared" si="8"/>
        <v>1</v>
      </c>
      <c r="AA154" t="s">
        <v>996</v>
      </c>
      <c r="AB154">
        <v>2024</v>
      </c>
      <c r="AC154" t="s">
        <v>33</v>
      </c>
    </row>
    <row r="155" spans="1:29">
      <c r="A155" s="9">
        <v>151</v>
      </c>
      <c r="B155" s="10" t="s">
        <v>699</v>
      </c>
      <c r="C155" s="9">
        <f t="shared" si="6"/>
        <v>1</v>
      </c>
      <c r="D155" s="9">
        <f t="shared" si="7"/>
        <v>0</v>
      </c>
      <c r="E155" s="11">
        <f t="shared" si="8"/>
        <v>1</v>
      </c>
      <c r="AA155" t="s">
        <v>1010</v>
      </c>
      <c r="AB155">
        <v>2024</v>
      </c>
      <c r="AC155" t="s">
        <v>33</v>
      </c>
    </row>
    <row r="156" spans="1:29">
      <c r="A156" s="9">
        <v>152</v>
      </c>
      <c r="B156" s="10" t="s">
        <v>728</v>
      </c>
      <c r="C156" s="9">
        <f t="shared" si="6"/>
        <v>1</v>
      </c>
      <c r="D156" s="9">
        <f t="shared" si="7"/>
        <v>0</v>
      </c>
      <c r="E156" s="11">
        <f t="shared" si="8"/>
        <v>1</v>
      </c>
      <c r="AA156" t="s">
        <v>1012</v>
      </c>
      <c r="AB156">
        <v>2024</v>
      </c>
      <c r="AC156" t="s">
        <v>49</v>
      </c>
    </row>
    <row r="157" spans="1:29">
      <c r="A157" s="9">
        <v>153</v>
      </c>
      <c r="B157" s="10" t="s">
        <v>811</v>
      </c>
      <c r="C157" s="9">
        <f t="shared" si="6"/>
        <v>1</v>
      </c>
      <c r="D157" s="9">
        <f t="shared" si="7"/>
        <v>0</v>
      </c>
      <c r="E157" s="11">
        <f t="shared" si="8"/>
        <v>1</v>
      </c>
      <c r="AA157" t="s">
        <v>1310</v>
      </c>
      <c r="AB157">
        <v>2024</v>
      </c>
      <c r="AC157" t="s">
        <v>49</v>
      </c>
    </row>
    <row r="158" spans="1:29">
      <c r="A158" s="9">
        <v>154</v>
      </c>
      <c r="B158" s="10" t="s">
        <v>861</v>
      </c>
      <c r="C158" s="9">
        <f t="shared" si="6"/>
        <v>1</v>
      </c>
      <c r="D158" s="9">
        <f t="shared" si="7"/>
        <v>0</v>
      </c>
      <c r="E158" s="11">
        <f t="shared" si="8"/>
        <v>1</v>
      </c>
      <c r="AA158" t="s">
        <v>214</v>
      </c>
      <c r="AB158">
        <v>2024</v>
      </c>
      <c r="AC158" t="s">
        <v>49</v>
      </c>
    </row>
    <row r="159" spans="1:29">
      <c r="A159" s="9">
        <v>155</v>
      </c>
      <c r="B159" s="10" t="s">
        <v>862</v>
      </c>
      <c r="C159" s="9">
        <f t="shared" si="6"/>
        <v>1</v>
      </c>
      <c r="D159" s="9">
        <f t="shared" si="7"/>
        <v>0</v>
      </c>
      <c r="E159" s="11">
        <f t="shared" si="8"/>
        <v>1</v>
      </c>
      <c r="AA159" t="s">
        <v>996</v>
      </c>
      <c r="AB159">
        <v>2024</v>
      </c>
      <c r="AC159" t="s">
        <v>49</v>
      </c>
    </row>
    <row r="160" spans="1:29">
      <c r="A160" s="9">
        <v>156</v>
      </c>
      <c r="B160" s="10" t="s">
        <v>863</v>
      </c>
      <c r="C160" s="9">
        <f t="shared" si="6"/>
        <v>1</v>
      </c>
      <c r="D160" s="9">
        <f t="shared" si="7"/>
        <v>0</v>
      </c>
      <c r="E160" s="11">
        <f t="shared" si="8"/>
        <v>1</v>
      </c>
      <c r="AA160" t="s">
        <v>1024</v>
      </c>
      <c r="AB160">
        <v>2024</v>
      </c>
      <c r="AC160" t="s">
        <v>33</v>
      </c>
    </row>
    <row r="161" spans="1:29">
      <c r="A161" s="9">
        <v>157</v>
      </c>
      <c r="B161" s="10" t="s">
        <v>954</v>
      </c>
      <c r="C161" s="9">
        <f t="shared" si="6"/>
        <v>1</v>
      </c>
      <c r="D161" s="9">
        <f t="shared" si="7"/>
        <v>0</v>
      </c>
      <c r="E161" s="11">
        <f t="shared" si="8"/>
        <v>1</v>
      </c>
      <c r="AA161" t="s">
        <v>1319</v>
      </c>
      <c r="AB161">
        <v>2024</v>
      </c>
      <c r="AC161" t="s">
        <v>33</v>
      </c>
    </row>
    <row r="162" spans="1:29">
      <c r="A162" s="9">
        <v>158</v>
      </c>
      <c r="B162" s="10" t="s">
        <v>966</v>
      </c>
      <c r="C162" s="9">
        <f t="shared" si="6"/>
        <v>1</v>
      </c>
      <c r="D162" s="9">
        <f t="shared" si="7"/>
        <v>0</v>
      </c>
      <c r="E162" s="11">
        <f t="shared" si="8"/>
        <v>1</v>
      </c>
      <c r="AA162" t="s">
        <v>265</v>
      </c>
      <c r="AB162">
        <v>2024</v>
      </c>
      <c r="AC162" t="s">
        <v>33</v>
      </c>
    </row>
    <row r="163" spans="1:29">
      <c r="A163" s="9">
        <v>159</v>
      </c>
      <c r="B163" s="10" t="s">
        <v>1008</v>
      </c>
      <c r="C163" s="9">
        <f t="shared" si="6"/>
        <v>1</v>
      </c>
      <c r="D163" s="9">
        <f t="shared" si="7"/>
        <v>0</v>
      </c>
      <c r="E163" s="11">
        <f t="shared" si="8"/>
        <v>1</v>
      </c>
      <c r="AA163" t="s">
        <v>1320</v>
      </c>
      <c r="AB163">
        <v>2024</v>
      </c>
      <c r="AC163" t="s">
        <v>33</v>
      </c>
    </row>
    <row r="164" spans="1:29">
      <c r="A164" s="9">
        <v>160</v>
      </c>
      <c r="B164" s="10" t="s">
        <v>1009</v>
      </c>
      <c r="C164" s="9">
        <f t="shared" si="6"/>
        <v>1</v>
      </c>
      <c r="D164" s="9">
        <f t="shared" si="7"/>
        <v>0</v>
      </c>
      <c r="E164" s="11">
        <f t="shared" si="8"/>
        <v>1</v>
      </c>
      <c r="AA164" t="s">
        <v>228</v>
      </c>
      <c r="AB164">
        <v>2024</v>
      </c>
      <c r="AC164" t="s">
        <v>33</v>
      </c>
    </row>
    <row r="165" spans="1:29">
      <c r="A165" s="9">
        <v>161</v>
      </c>
      <c r="B165" s="10" t="s">
        <v>1011</v>
      </c>
      <c r="C165" s="9">
        <f t="shared" si="6"/>
        <v>1</v>
      </c>
      <c r="D165" s="9">
        <f t="shared" si="7"/>
        <v>0</v>
      </c>
      <c r="E165" s="11">
        <f t="shared" si="8"/>
        <v>1</v>
      </c>
      <c r="AA165" t="s">
        <v>1344</v>
      </c>
      <c r="AB165">
        <v>2024</v>
      </c>
      <c r="AC165" t="s">
        <v>33</v>
      </c>
    </row>
    <row r="166" spans="1:29">
      <c r="A166" s="9">
        <v>162</v>
      </c>
      <c r="B166" s="10" t="s">
        <v>1100</v>
      </c>
      <c r="C166" s="9">
        <f t="shared" si="6"/>
        <v>1</v>
      </c>
      <c r="D166" s="9">
        <f t="shared" si="7"/>
        <v>0</v>
      </c>
      <c r="E166" s="11">
        <f t="shared" si="8"/>
        <v>1</v>
      </c>
      <c r="AA166" t="s">
        <v>433</v>
      </c>
      <c r="AB166">
        <v>2024</v>
      </c>
      <c r="AC166" t="s">
        <v>33</v>
      </c>
    </row>
    <row r="167" spans="1:29">
      <c r="A167" s="9">
        <v>163</v>
      </c>
      <c r="B167" s="10" t="s">
        <v>1129</v>
      </c>
      <c r="C167" s="9">
        <f t="shared" si="6"/>
        <v>1</v>
      </c>
      <c r="D167" s="9">
        <f t="shared" si="7"/>
        <v>0</v>
      </c>
      <c r="E167" s="11">
        <f t="shared" si="8"/>
        <v>1</v>
      </c>
      <c r="AA167" t="s">
        <v>1345</v>
      </c>
      <c r="AB167">
        <v>2025</v>
      </c>
      <c r="AC167" t="s">
        <v>49</v>
      </c>
    </row>
    <row r="168" spans="1:29">
      <c r="A168" s="9">
        <v>164</v>
      </c>
      <c r="B168" s="10" t="s">
        <v>1167</v>
      </c>
      <c r="C168" s="9">
        <f t="shared" si="6"/>
        <v>1</v>
      </c>
      <c r="D168" s="9">
        <f t="shared" si="7"/>
        <v>0</v>
      </c>
      <c r="E168" s="11">
        <f t="shared" si="8"/>
        <v>1</v>
      </c>
      <c r="AA168" t="s">
        <v>1353</v>
      </c>
      <c r="AB168">
        <v>2025</v>
      </c>
      <c r="AC168" t="s">
        <v>49</v>
      </c>
    </row>
    <row r="169" spans="1:29">
      <c r="A169" s="9">
        <v>165</v>
      </c>
      <c r="B169" s="10" t="s">
        <v>1264</v>
      </c>
      <c r="C169" s="9">
        <f t="shared" si="6"/>
        <v>1</v>
      </c>
      <c r="D169" s="9">
        <f t="shared" si="7"/>
        <v>0</v>
      </c>
      <c r="E169" s="11">
        <f t="shared" si="8"/>
        <v>1</v>
      </c>
      <c r="AA169" t="s">
        <v>1354</v>
      </c>
      <c r="AB169">
        <v>2025</v>
      </c>
      <c r="AC169" t="s">
        <v>49</v>
      </c>
    </row>
    <row r="170" spans="1:29">
      <c r="A170" s="9">
        <v>166</v>
      </c>
      <c r="B170" s="10" t="s">
        <v>1270</v>
      </c>
      <c r="C170" s="9">
        <f t="shared" si="6"/>
        <v>1</v>
      </c>
      <c r="D170" s="9">
        <f t="shared" si="7"/>
        <v>0</v>
      </c>
      <c r="E170" s="11">
        <f t="shared" si="8"/>
        <v>1</v>
      </c>
      <c r="AA170" t="s">
        <v>1355</v>
      </c>
      <c r="AB170">
        <v>2024</v>
      </c>
      <c r="AC170" t="s">
        <v>33</v>
      </c>
    </row>
    <row r="171" spans="1:29">
      <c r="A171" s="9">
        <v>167</v>
      </c>
      <c r="B171" s="10" t="s">
        <v>1381</v>
      </c>
      <c r="C171" s="9">
        <f t="shared" si="6"/>
        <v>1</v>
      </c>
      <c r="D171" s="9">
        <f t="shared" si="7"/>
        <v>0</v>
      </c>
      <c r="E171" s="11">
        <f t="shared" si="8"/>
        <v>1</v>
      </c>
      <c r="AA171" t="s">
        <v>1369</v>
      </c>
      <c r="AB171">
        <v>2024</v>
      </c>
      <c r="AC171" t="s">
        <v>33</v>
      </c>
    </row>
    <row r="172" spans="1:29">
      <c r="A172" s="9">
        <v>168</v>
      </c>
      <c r="B172" s="10" t="s">
        <v>1439</v>
      </c>
      <c r="C172" s="9">
        <f t="shared" si="6"/>
        <v>1</v>
      </c>
      <c r="D172" s="9">
        <f t="shared" si="7"/>
        <v>0</v>
      </c>
      <c r="E172" s="11">
        <f t="shared" si="8"/>
        <v>1</v>
      </c>
      <c r="AA172" t="s">
        <v>1381</v>
      </c>
      <c r="AB172">
        <v>2024</v>
      </c>
      <c r="AC172" t="s">
        <v>33</v>
      </c>
    </row>
    <row r="173" spans="1:29">
      <c r="A173" s="9">
        <v>169</v>
      </c>
      <c r="B173" s="10" t="s">
        <v>1684</v>
      </c>
      <c r="C173" s="9">
        <f t="shared" si="6"/>
        <v>1</v>
      </c>
      <c r="D173" s="9">
        <f t="shared" si="7"/>
        <v>0</v>
      </c>
      <c r="E173" s="11">
        <f t="shared" si="8"/>
        <v>1</v>
      </c>
      <c r="AA173" t="s">
        <v>265</v>
      </c>
      <c r="AB173">
        <v>2025</v>
      </c>
      <c r="AC173" t="s">
        <v>33</v>
      </c>
    </row>
    <row r="174" spans="1:29">
      <c r="A174" s="9">
        <v>170</v>
      </c>
      <c r="B174" s="10" t="s">
        <v>1762</v>
      </c>
      <c r="C174" s="9">
        <f t="shared" si="6"/>
        <v>1</v>
      </c>
      <c r="D174" s="9">
        <f t="shared" si="7"/>
        <v>0</v>
      </c>
      <c r="E174" s="11">
        <f t="shared" si="8"/>
        <v>1</v>
      </c>
      <c r="AA174" t="s">
        <v>1391</v>
      </c>
      <c r="AB174">
        <v>2025</v>
      </c>
      <c r="AC174" t="s">
        <v>49</v>
      </c>
    </row>
    <row r="175" spans="1:29">
      <c r="A175" s="9">
        <v>171</v>
      </c>
      <c r="B175" s="10" t="s">
        <v>1781</v>
      </c>
      <c r="C175" s="9">
        <f t="shared" si="6"/>
        <v>1</v>
      </c>
      <c r="D175" s="9">
        <f t="shared" si="7"/>
        <v>0</v>
      </c>
      <c r="E175" s="11">
        <f t="shared" si="8"/>
        <v>1</v>
      </c>
      <c r="AA175" t="s">
        <v>1396</v>
      </c>
      <c r="AB175">
        <v>2025</v>
      </c>
      <c r="AC175" t="s">
        <v>49</v>
      </c>
    </row>
    <row r="176" spans="1:29">
      <c r="A176" s="9">
        <v>172</v>
      </c>
      <c r="B176" s="10" t="s">
        <v>1838</v>
      </c>
      <c r="C176" s="9">
        <f t="shared" si="6"/>
        <v>1</v>
      </c>
      <c r="D176" s="9">
        <f t="shared" si="7"/>
        <v>0</v>
      </c>
      <c r="E176" s="11">
        <f t="shared" si="8"/>
        <v>1</v>
      </c>
      <c r="AA176" t="s">
        <v>82</v>
      </c>
      <c r="AB176">
        <v>2025</v>
      </c>
      <c r="AC176" t="s">
        <v>49</v>
      </c>
    </row>
    <row r="177" spans="1:29">
      <c r="A177" s="9">
        <v>173</v>
      </c>
      <c r="B177" s="10" t="s">
        <v>1850</v>
      </c>
      <c r="C177" s="9">
        <f t="shared" si="6"/>
        <v>1</v>
      </c>
      <c r="D177" s="9">
        <f t="shared" si="7"/>
        <v>0</v>
      </c>
      <c r="E177" s="11">
        <f t="shared" si="8"/>
        <v>1</v>
      </c>
      <c r="AA177" t="s">
        <v>83</v>
      </c>
      <c r="AB177">
        <v>2025</v>
      </c>
      <c r="AC177" t="s">
        <v>49</v>
      </c>
    </row>
    <row r="178" spans="1:29">
      <c r="A178" s="9">
        <v>174</v>
      </c>
      <c r="B178" s="10" t="s">
        <v>1860</v>
      </c>
      <c r="C178" s="9">
        <f t="shared" si="6"/>
        <v>1</v>
      </c>
      <c r="D178" s="9">
        <f t="shared" si="7"/>
        <v>0</v>
      </c>
      <c r="E178" s="11">
        <f t="shared" si="8"/>
        <v>1</v>
      </c>
      <c r="AA178" t="s">
        <v>22</v>
      </c>
      <c r="AB178">
        <v>2024</v>
      </c>
      <c r="AC178" t="s">
        <v>33</v>
      </c>
    </row>
    <row r="179" spans="1:29">
      <c r="A179" s="9">
        <v>175</v>
      </c>
      <c r="B179" s="10" t="s">
        <v>2060</v>
      </c>
      <c r="C179" s="9">
        <f t="shared" si="6"/>
        <v>1</v>
      </c>
      <c r="D179" s="9">
        <f t="shared" si="7"/>
        <v>0</v>
      </c>
      <c r="E179" s="11">
        <f t="shared" si="8"/>
        <v>1</v>
      </c>
      <c r="AA179" t="s">
        <v>113</v>
      </c>
      <c r="AB179">
        <v>2024</v>
      </c>
      <c r="AC179" t="s">
        <v>33</v>
      </c>
    </row>
    <row r="180" spans="1:29">
      <c r="A180" s="9">
        <v>176</v>
      </c>
      <c r="B180" s="10" t="s">
        <v>2255</v>
      </c>
      <c r="C180" s="9">
        <f t="shared" si="6"/>
        <v>1</v>
      </c>
      <c r="D180" s="9">
        <f t="shared" si="7"/>
        <v>0</v>
      </c>
      <c r="E180" s="11">
        <f t="shared" si="8"/>
        <v>1</v>
      </c>
      <c r="AA180" t="s">
        <v>128</v>
      </c>
      <c r="AB180">
        <v>2024</v>
      </c>
      <c r="AC180" t="s">
        <v>1125</v>
      </c>
    </row>
    <row r="181" spans="1:29">
      <c r="A181" s="9">
        <v>177</v>
      </c>
      <c r="B181" s="10" t="s">
        <v>2266</v>
      </c>
      <c r="C181" s="9">
        <f t="shared" si="6"/>
        <v>1</v>
      </c>
      <c r="D181" s="9">
        <f t="shared" si="7"/>
        <v>0</v>
      </c>
      <c r="E181" s="11">
        <f t="shared" si="8"/>
        <v>1</v>
      </c>
      <c r="AA181" t="s">
        <v>113</v>
      </c>
      <c r="AB181">
        <v>2025</v>
      </c>
      <c r="AC181" t="s">
        <v>33</v>
      </c>
    </row>
    <row r="182" spans="1:29">
      <c r="A182" s="9">
        <v>178</v>
      </c>
      <c r="B182" s="10" t="s">
        <v>2293</v>
      </c>
      <c r="C182" s="9">
        <f t="shared" si="6"/>
        <v>1</v>
      </c>
      <c r="D182" s="9">
        <f t="shared" si="7"/>
        <v>0</v>
      </c>
      <c r="E182" s="11">
        <f t="shared" si="8"/>
        <v>1</v>
      </c>
      <c r="AA182" t="s">
        <v>1439</v>
      </c>
      <c r="AB182">
        <v>2024</v>
      </c>
      <c r="AC182" t="s">
        <v>33</v>
      </c>
    </row>
    <row r="183" spans="1:29">
      <c r="A183" s="9">
        <v>179</v>
      </c>
      <c r="B183" s="10" t="s">
        <v>2389</v>
      </c>
      <c r="C183" s="9">
        <f t="shared" si="6"/>
        <v>1</v>
      </c>
      <c r="D183" s="9">
        <f t="shared" si="7"/>
        <v>0</v>
      </c>
      <c r="E183" s="11">
        <f t="shared" si="8"/>
        <v>1</v>
      </c>
      <c r="AA183" t="s">
        <v>276</v>
      </c>
      <c r="AB183">
        <v>2025</v>
      </c>
      <c r="AC183" t="s">
        <v>49</v>
      </c>
    </row>
    <row r="184" spans="1:29">
      <c r="A184" s="9">
        <v>180</v>
      </c>
      <c r="B184" s="10" t="s">
        <v>2402</v>
      </c>
      <c r="C184" s="9">
        <f t="shared" si="6"/>
        <v>1</v>
      </c>
      <c r="D184" s="9">
        <f t="shared" si="7"/>
        <v>0</v>
      </c>
      <c r="E184" s="11">
        <f t="shared" si="8"/>
        <v>1</v>
      </c>
      <c r="AA184" t="s">
        <v>897</v>
      </c>
      <c r="AB184">
        <v>2025</v>
      </c>
      <c r="AC184" t="s">
        <v>33</v>
      </c>
    </row>
    <row r="185" spans="1:29">
      <c r="A185" s="9">
        <v>181</v>
      </c>
      <c r="B185" s="10" t="s">
        <v>2414</v>
      </c>
      <c r="C185" s="9">
        <f t="shared" si="6"/>
        <v>1</v>
      </c>
      <c r="D185" s="9">
        <f t="shared" si="7"/>
        <v>0</v>
      </c>
      <c r="E185" s="11">
        <f t="shared" si="8"/>
        <v>1</v>
      </c>
      <c r="AA185" t="s">
        <v>276</v>
      </c>
      <c r="AB185">
        <v>2024</v>
      </c>
      <c r="AC185" t="s">
        <v>33</v>
      </c>
    </row>
    <row r="186" spans="1:29">
      <c r="A186" s="9">
        <v>182</v>
      </c>
      <c r="B186" s="10" t="s">
        <v>2415</v>
      </c>
      <c r="C186" s="9">
        <f t="shared" si="6"/>
        <v>1</v>
      </c>
      <c r="D186" s="9">
        <f t="shared" si="7"/>
        <v>0</v>
      </c>
      <c r="E186" s="11">
        <f t="shared" si="8"/>
        <v>1</v>
      </c>
      <c r="AA186" t="s">
        <v>1480</v>
      </c>
      <c r="AB186">
        <v>2024</v>
      </c>
      <c r="AC186" t="s">
        <v>33</v>
      </c>
    </row>
    <row r="187" spans="1:29">
      <c r="A187" s="9">
        <v>183</v>
      </c>
      <c r="B187" s="10" t="s">
        <v>2416</v>
      </c>
      <c r="C187" s="9">
        <f t="shared" si="6"/>
        <v>1</v>
      </c>
      <c r="D187" s="9">
        <f t="shared" si="7"/>
        <v>0</v>
      </c>
      <c r="E187" s="11">
        <f t="shared" si="8"/>
        <v>1</v>
      </c>
      <c r="AA187" t="s">
        <v>39</v>
      </c>
      <c r="AB187">
        <v>2025</v>
      </c>
      <c r="AC187" t="s">
        <v>49</v>
      </c>
    </row>
    <row r="188" spans="1:29">
      <c r="A188" s="9">
        <v>184</v>
      </c>
      <c r="B188" s="10" t="s">
        <v>2455</v>
      </c>
      <c r="C188" s="9">
        <f t="shared" si="6"/>
        <v>1</v>
      </c>
      <c r="D188" s="9">
        <f t="shared" si="7"/>
        <v>0</v>
      </c>
      <c r="E188" s="11">
        <f t="shared" si="8"/>
        <v>1</v>
      </c>
      <c r="AA188" t="s">
        <v>974</v>
      </c>
      <c r="AB188">
        <v>2025</v>
      </c>
      <c r="AC188" t="s">
        <v>49</v>
      </c>
    </row>
    <row r="189" spans="1:29">
      <c r="A189" s="9">
        <v>185</v>
      </c>
      <c r="B189" s="10" t="s">
        <v>2467</v>
      </c>
      <c r="C189" s="9">
        <f t="shared" si="6"/>
        <v>1</v>
      </c>
      <c r="D189" s="9">
        <f t="shared" si="7"/>
        <v>0</v>
      </c>
      <c r="E189" s="11">
        <f t="shared" si="8"/>
        <v>1</v>
      </c>
      <c r="AA189" t="s">
        <v>1513</v>
      </c>
      <c r="AB189">
        <v>2025</v>
      </c>
      <c r="AC189" t="s">
        <v>49</v>
      </c>
    </row>
    <row r="190" spans="1:29">
      <c r="A190" s="9">
        <v>186</v>
      </c>
      <c r="B190" s="10" t="s">
        <v>2478</v>
      </c>
      <c r="C190" s="9">
        <f t="shared" si="6"/>
        <v>1</v>
      </c>
      <c r="D190" s="9">
        <f t="shared" si="7"/>
        <v>0</v>
      </c>
      <c r="E190" s="11">
        <f t="shared" si="8"/>
        <v>1</v>
      </c>
      <c r="AA190" t="s">
        <v>1514</v>
      </c>
      <c r="AB190">
        <v>2025</v>
      </c>
      <c r="AC190" t="s">
        <v>49</v>
      </c>
    </row>
    <row r="191" spans="1:29">
      <c r="A191" s="9">
        <v>187</v>
      </c>
      <c r="B191" s="10" t="s">
        <v>2630</v>
      </c>
      <c r="C191" s="9">
        <f t="shared" si="6"/>
        <v>1</v>
      </c>
      <c r="D191" s="9">
        <f t="shared" si="7"/>
        <v>0</v>
      </c>
      <c r="E191" s="11">
        <f t="shared" si="8"/>
        <v>1</v>
      </c>
      <c r="AA191" t="s">
        <v>975</v>
      </c>
      <c r="AB191">
        <v>2025</v>
      </c>
      <c r="AC191" t="s">
        <v>49</v>
      </c>
    </row>
    <row r="192" spans="1:29">
      <c r="A192" s="9">
        <v>188</v>
      </c>
      <c r="B192" s="10" t="s">
        <v>2749</v>
      </c>
      <c r="C192" s="9">
        <f t="shared" si="6"/>
        <v>1</v>
      </c>
      <c r="D192" s="9">
        <f t="shared" si="7"/>
        <v>0</v>
      </c>
      <c r="E192" s="11">
        <f t="shared" si="8"/>
        <v>1</v>
      </c>
      <c r="AA192" t="s">
        <v>967</v>
      </c>
      <c r="AB192">
        <v>2025</v>
      </c>
      <c r="AC192" t="s">
        <v>49</v>
      </c>
    </row>
    <row r="193" spans="1:29">
      <c r="A193" s="9">
        <v>189</v>
      </c>
      <c r="B193" s="10" t="s">
        <v>2833</v>
      </c>
      <c r="C193" s="9">
        <f t="shared" si="6"/>
        <v>1</v>
      </c>
      <c r="D193" s="9">
        <f t="shared" si="7"/>
        <v>0</v>
      </c>
      <c r="E193" s="11">
        <f t="shared" si="8"/>
        <v>1</v>
      </c>
      <c r="AA193" t="s">
        <v>22</v>
      </c>
      <c r="AB193">
        <v>2025</v>
      </c>
      <c r="AC193" t="s">
        <v>33</v>
      </c>
    </row>
    <row r="194" spans="1:29">
      <c r="A194" s="9">
        <v>190</v>
      </c>
      <c r="B194" s="10" t="s">
        <v>2834</v>
      </c>
      <c r="C194" s="9">
        <f t="shared" si="6"/>
        <v>1</v>
      </c>
      <c r="D194" s="9">
        <f t="shared" si="7"/>
        <v>0</v>
      </c>
      <c r="E194" s="11">
        <f t="shared" si="8"/>
        <v>1</v>
      </c>
      <c r="AA194" t="s">
        <v>1527</v>
      </c>
      <c r="AB194">
        <v>2024</v>
      </c>
      <c r="AC194" t="s">
        <v>33</v>
      </c>
    </row>
    <row r="195" spans="1:29">
      <c r="A195" s="9">
        <v>191</v>
      </c>
      <c r="B195" s="10" t="s">
        <v>2889</v>
      </c>
      <c r="C195" s="9">
        <f t="shared" si="6"/>
        <v>1</v>
      </c>
      <c r="D195" s="9">
        <f t="shared" si="7"/>
        <v>0</v>
      </c>
      <c r="E195" s="11">
        <f t="shared" si="8"/>
        <v>1</v>
      </c>
      <c r="AA195" t="s">
        <v>790</v>
      </c>
      <c r="AB195">
        <v>2025</v>
      </c>
      <c r="AC195" t="s">
        <v>33</v>
      </c>
    </row>
    <row r="196" spans="1:29">
      <c r="A196" s="9">
        <v>192</v>
      </c>
      <c r="B196" s="10" t="s">
        <v>2980</v>
      </c>
      <c r="C196" s="9">
        <f t="shared" si="6"/>
        <v>1</v>
      </c>
      <c r="D196" s="9">
        <f t="shared" si="7"/>
        <v>0</v>
      </c>
      <c r="E196" s="11">
        <f t="shared" si="8"/>
        <v>1</v>
      </c>
      <c r="AA196" t="s">
        <v>1551</v>
      </c>
      <c r="AB196">
        <v>2024</v>
      </c>
      <c r="AC196" t="s">
        <v>33</v>
      </c>
    </row>
    <row r="197" spans="1:29">
      <c r="A197" s="9">
        <v>193</v>
      </c>
      <c r="B197" s="10" t="s">
        <v>2989</v>
      </c>
      <c r="C197" s="9">
        <f t="shared" ref="C197:C260" si="9">COUNTIFS($AA:$AA,$B197,$AB:$AB,2024)</f>
        <v>1</v>
      </c>
      <c r="D197" s="9">
        <f t="shared" ref="D197:D260" si="10">COUNTIFS($AA:$AA,$B197,$AB:$AB,2025)</f>
        <v>0</v>
      </c>
      <c r="E197" s="11">
        <f t="shared" ref="E197:E260" si="11">C197+D197</f>
        <v>1</v>
      </c>
      <c r="AA197" t="s">
        <v>1559</v>
      </c>
      <c r="AB197">
        <v>2024</v>
      </c>
      <c r="AC197" t="s">
        <v>33</v>
      </c>
    </row>
    <row r="198" spans="1:29">
      <c r="A198" s="9">
        <v>194</v>
      </c>
      <c r="B198" s="10" t="s">
        <v>2997</v>
      </c>
      <c r="C198" s="9">
        <f t="shared" si="9"/>
        <v>1</v>
      </c>
      <c r="D198" s="9">
        <f t="shared" si="10"/>
        <v>0</v>
      </c>
      <c r="E198" s="11">
        <f t="shared" si="11"/>
        <v>1</v>
      </c>
      <c r="AA198" t="s">
        <v>113</v>
      </c>
      <c r="AB198">
        <v>2024</v>
      </c>
      <c r="AC198" t="s">
        <v>33</v>
      </c>
    </row>
    <row r="199" spans="1:29">
      <c r="A199" s="9">
        <v>195</v>
      </c>
      <c r="B199" s="10" t="s">
        <v>3103</v>
      </c>
      <c r="C199" s="9">
        <f t="shared" si="9"/>
        <v>1</v>
      </c>
      <c r="D199" s="9">
        <f t="shared" si="10"/>
        <v>0</v>
      </c>
      <c r="E199" s="11">
        <f t="shared" si="11"/>
        <v>1</v>
      </c>
      <c r="AA199" t="s">
        <v>493</v>
      </c>
      <c r="AB199">
        <v>2025</v>
      </c>
      <c r="AC199" t="s">
        <v>49</v>
      </c>
    </row>
    <row r="200" spans="1:29">
      <c r="A200" s="9">
        <v>196</v>
      </c>
      <c r="B200" s="10" t="s">
        <v>3179</v>
      </c>
      <c r="C200" s="9">
        <f t="shared" si="9"/>
        <v>1</v>
      </c>
      <c r="D200" s="9">
        <f t="shared" si="10"/>
        <v>0</v>
      </c>
      <c r="E200" s="11">
        <f t="shared" si="11"/>
        <v>1</v>
      </c>
      <c r="AA200" t="s">
        <v>276</v>
      </c>
      <c r="AB200">
        <v>2024</v>
      </c>
      <c r="AC200" t="s">
        <v>49</v>
      </c>
    </row>
    <row r="201" spans="1:29">
      <c r="A201" s="9">
        <v>197</v>
      </c>
      <c r="B201" s="10" t="s">
        <v>3180</v>
      </c>
      <c r="C201" s="9">
        <f t="shared" si="9"/>
        <v>1</v>
      </c>
      <c r="D201" s="9">
        <f t="shared" si="10"/>
        <v>0</v>
      </c>
      <c r="E201" s="11">
        <f t="shared" si="11"/>
        <v>1</v>
      </c>
      <c r="AA201" t="s">
        <v>83</v>
      </c>
      <c r="AB201">
        <v>2025</v>
      </c>
      <c r="AC201" t="s">
        <v>33</v>
      </c>
    </row>
    <row r="202" spans="1:29">
      <c r="A202" s="9">
        <v>198</v>
      </c>
      <c r="B202" s="10" t="s">
        <v>3187</v>
      </c>
      <c r="C202" s="9">
        <f t="shared" si="9"/>
        <v>1</v>
      </c>
      <c r="D202" s="9">
        <f t="shared" si="10"/>
        <v>0</v>
      </c>
      <c r="E202" s="11">
        <f t="shared" si="11"/>
        <v>1</v>
      </c>
      <c r="AA202" t="s">
        <v>82</v>
      </c>
      <c r="AB202">
        <v>2025</v>
      </c>
      <c r="AC202" t="s">
        <v>33</v>
      </c>
    </row>
    <row r="203" spans="1:29">
      <c r="A203" s="9">
        <v>199</v>
      </c>
      <c r="B203" s="10" t="s">
        <v>3195</v>
      </c>
      <c r="C203" s="9">
        <f t="shared" si="9"/>
        <v>1</v>
      </c>
      <c r="D203" s="9">
        <f t="shared" si="10"/>
        <v>0</v>
      </c>
      <c r="E203" s="11">
        <f t="shared" si="11"/>
        <v>1</v>
      </c>
      <c r="AA203" t="s">
        <v>276</v>
      </c>
      <c r="AB203">
        <v>2024</v>
      </c>
      <c r="AC203" t="s">
        <v>49</v>
      </c>
    </row>
    <row r="204" spans="1:29">
      <c r="A204" s="9">
        <v>200</v>
      </c>
      <c r="B204" s="10" t="s">
        <v>3251</v>
      </c>
      <c r="C204" s="9">
        <f t="shared" si="9"/>
        <v>1</v>
      </c>
      <c r="D204" s="9">
        <f t="shared" si="10"/>
        <v>0</v>
      </c>
      <c r="E204" s="11">
        <f t="shared" si="11"/>
        <v>1</v>
      </c>
      <c r="AA204" t="s">
        <v>128</v>
      </c>
      <c r="AB204">
        <v>2025</v>
      </c>
      <c r="AC204" t="s">
        <v>33</v>
      </c>
    </row>
    <row r="205" spans="1:29">
      <c r="A205" s="9">
        <v>201</v>
      </c>
      <c r="B205" s="10" t="s">
        <v>3329</v>
      </c>
      <c r="C205" s="9">
        <f t="shared" si="9"/>
        <v>1</v>
      </c>
      <c r="D205" s="9">
        <f t="shared" si="10"/>
        <v>0</v>
      </c>
      <c r="E205" s="11">
        <f t="shared" si="11"/>
        <v>1</v>
      </c>
      <c r="AA205" t="s">
        <v>128</v>
      </c>
      <c r="AB205">
        <v>2024</v>
      </c>
      <c r="AC205" t="s">
        <v>1125</v>
      </c>
    </row>
    <row r="206" spans="1:29">
      <c r="A206" s="9">
        <v>202</v>
      </c>
      <c r="B206" s="10" t="s">
        <v>3350</v>
      </c>
      <c r="C206" s="9">
        <f t="shared" si="9"/>
        <v>1</v>
      </c>
      <c r="D206" s="9">
        <f t="shared" si="10"/>
        <v>0</v>
      </c>
      <c r="E206" s="11">
        <f t="shared" si="11"/>
        <v>1</v>
      </c>
      <c r="AA206" t="s">
        <v>276</v>
      </c>
      <c r="AB206">
        <v>2024</v>
      </c>
      <c r="AC206" t="s">
        <v>49</v>
      </c>
    </row>
    <row r="207" spans="1:29">
      <c r="A207" s="9">
        <v>203</v>
      </c>
      <c r="B207" s="10" t="s">
        <v>3421</v>
      </c>
      <c r="C207" s="9">
        <f t="shared" si="9"/>
        <v>1</v>
      </c>
      <c r="D207" s="9">
        <f t="shared" si="10"/>
        <v>0</v>
      </c>
      <c r="E207" s="11">
        <f t="shared" si="11"/>
        <v>1</v>
      </c>
      <c r="AA207" t="s">
        <v>1619</v>
      </c>
      <c r="AB207">
        <v>2024</v>
      </c>
      <c r="AC207" t="s">
        <v>49</v>
      </c>
    </row>
    <row r="208" spans="1:29">
      <c r="A208" s="9">
        <v>204</v>
      </c>
      <c r="B208" s="10" t="s">
        <v>3433</v>
      </c>
      <c r="C208" s="9">
        <f t="shared" si="9"/>
        <v>1</v>
      </c>
      <c r="D208" s="9">
        <f t="shared" si="10"/>
        <v>0</v>
      </c>
      <c r="E208" s="11">
        <f t="shared" si="11"/>
        <v>1</v>
      </c>
      <c r="AA208" t="s">
        <v>514</v>
      </c>
      <c r="AB208">
        <v>2024</v>
      </c>
      <c r="AC208" t="s">
        <v>33</v>
      </c>
    </row>
    <row r="209" spans="1:29">
      <c r="A209" s="9">
        <v>205</v>
      </c>
      <c r="B209" s="10" t="s">
        <v>3470</v>
      </c>
      <c r="C209" s="9">
        <f t="shared" si="9"/>
        <v>1</v>
      </c>
      <c r="D209" s="9">
        <f t="shared" si="10"/>
        <v>0</v>
      </c>
      <c r="E209" s="11">
        <f t="shared" si="11"/>
        <v>1</v>
      </c>
      <c r="AA209" t="s">
        <v>1644</v>
      </c>
      <c r="AB209">
        <v>2024</v>
      </c>
      <c r="AC209" t="s">
        <v>33</v>
      </c>
    </row>
    <row r="210" spans="1:29">
      <c r="A210" s="9">
        <v>206</v>
      </c>
      <c r="B210" s="10" t="s">
        <v>3482</v>
      </c>
      <c r="C210" s="9">
        <f t="shared" si="9"/>
        <v>1</v>
      </c>
      <c r="D210" s="9">
        <f t="shared" si="10"/>
        <v>0</v>
      </c>
      <c r="E210" s="11">
        <f t="shared" si="11"/>
        <v>1</v>
      </c>
      <c r="AA210" t="s">
        <v>178</v>
      </c>
      <c r="AB210">
        <v>2025</v>
      </c>
      <c r="AC210" t="s">
        <v>33</v>
      </c>
    </row>
    <row r="211" spans="1:29">
      <c r="A211" s="9">
        <v>207</v>
      </c>
      <c r="B211" s="10" t="s">
        <v>3525</v>
      </c>
      <c r="C211" s="9">
        <f t="shared" si="9"/>
        <v>1</v>
      </c>
      <c r="D211" s="9">
        <f t="shared" si="10"/>
        <v>0</v>
      </c>
      <c r="E211" s="11">
        <f t="shared" si="11"/>
        <v>1</v>
      </c>
      <c r="AA211" t="s">
        <v>897</v>
      </c>
      <c r="AB211">
        <v>2024</v>
      </c>
      <c r="AC211" t="s">
        <v>33</v>
      </c>
    </row>
    <row r="212" spans="1:29">
      <c r="A212" s="9">
        <v>208</v>
      </c>
      <c r="B212" s="10" t="s">
        <v>3582</v>
      </c>
      <c r="C212" s="9">
        <f t="shared" si="9"/>
        <v>1</v>
      </c>
      <c r="D212" s="9">
        <f t="shared" si="10"/>
        <v>0</v>
      </c>
      <c r="E212" s="11">
        <f t="shared" si="11"/>
        <v>1</v>
      </c>
      <c r="AA212" t="s">
        <v>1673</v>
      </c>
      <c r="AB212">
        <v>2024</v>
      </c>
      <c r="AC212" t="s">
        <v>33</v>
      </c>
    </row>
    <row r="213" spans="1:29">
      <c r="A213" s="9">
        <v>209</v>
      </c>
      <c r="B213" s="10" t="s">
        <v>3606</v>
      </c>
      <c r="C213" s="9">
        <f t="shared" si="9"/>
        <v>1</v>
      </c>
      <c r="D213" s="9">
        <f t="shared" si="10"/>
        <v>0</v>
      </c>
      <c r="E213" s="11">
        <f t="shared" si="11"/>
        <v>1</v>
      </c>
      <c r="AA213" t="s">
        <v>1684</v>
      </c>
      <c r="AB213">
        <v>2024</v>
      </c>
      <c r="AC213" t="s">
        <v>33</v>
      </c>
    </row>
    <row r="214" spans="1:29">
      <c r="A214" s="9">
        <v>210</v>
      </c>
      <c r="B214" s="10" t="s">
        <v>3637</v>
      </c>
      <c r="C214" s="9">
        <f t="shared" si="9"/>
        <v>1</v>
      </c>
      <c r="D214" s="9">
        <f t="shared" si="10"/>
        <v>0</v>
      </c>
      <c r="E214" s="11">
        <f t="shared" si="11"/>
        <v>1</v>
      </c>
      <c r="AA214" t="s">
        <v>1282</v>
      </c>
      <c r="AB214">
        <v>2024</v>
      </c>
      <c r="AC214" t="s">
        <v>33</v>
      </c>
    </row>
    <row r="215" spans="1:29">
      <c r="A215" s="9">
        <v>211</v>
      </c>
      <c r="B215" s="10" t="s">
        <v>3668</v>
      </c>
      <c r="C215" s="9">
        <f t="shared" si="9"/>
        <v>1</v>
      </c>
      <c r="D215" s="9">
        <f t="shared" si="10"/>
        <v>0</v>
      </c>
      <c r="E215" s="11">
        <f t="shared" si="11"/>
        <v>1</v>
      </c>
      <c r="AA215" t="s">
        <v>996</v>
      </c>
      <c r="AB215">
        <v>2025</v>
      </c>
      <c r="AC215" t="s">
        <v>33</v>
      </c>
    </row>
    <row r="216" spans="1:29">
      <c r="A216" s="9">
        <v>212</v>
      </c>
      <c r="B216" s="10" t="s">
        <v>3803</v>
      </c>
      <c r="C216" s="9">
        <f t="shared" si="9"/>
        <v>1</v>
      </c>
      <c r="D216" s="9">
        <f t="shared" si="10"/>
        <v>0</v>
      </c>
      <c r="E216" s="11">
        <f t="shared" si="11"/>
        <v>1</v>
      </c>
      <c r="AA216" t="s">
        <v>22</v>
      </c>
      <c r="AB216">
        <v>2025</v>
      </c>
      <c r="AC216" t="s">
        <v>33</v>
      </c>
    </row>
    <row r="217" spans="1:29">
      <c r="A217" s="9">
        <v>213</v>
      </c>
      <c r="B217" s="10" t="s">
        <v>3826</v>
      </c>
      <c r="C217" s="9">
        <f t="shared" si="9"/>
        <v>1</v>
      </c>
      <c r="D217" s="9">
        <f t="shared" si="10"/>
        <v>0</v>
      </c>
      <c r="E217" s="11">
        <f t="shared" si="11"/>
        <v>1</v>
      </c>
      <c r="AA217" t="s">
        <v>276</v>
      </c>
      <c r="AB217">
        <v>2024</v>
      </c>
      <c r="AC217" t="s">
        <v>33</v>
      </c>
    </row>
    <row r="218" spans="1:29">
      <c r="A218" s="9">
        <v>214</v>
      </c>
      <c r="B218" s="10" t="s">
        <v>3849</v>
      </c>
      <c r="C218" s="9">
        <f t="shared" si="9"/>
        <v>1</v>
      </c>
      <c r="D218" s="9">
        <f t="shared" si="10"/>
        <v>0</v>
      </c>
      <c r="E218" s="11">
        <f t="shared" si="11"/>
        <v>1</v>
      </c>
      <c r="AA218" t="s">
        <v>1714</v>
      </c>
      <c r="AB218">
        <v>2025</v>
      </c>
      <c r="AC218" t="s">
        <v>33</v>
      </c>
    </row>
    <row r="219" spans="1:29">
      <c r="A219" s="9">
        <v>215</v>
      </c>
      <c r="B219" s="10" t="s">
        <v>3880</v>
      </c>
      <c r="C219" s="9">
        <f t="shared" si="9"/>
        <v>1</v>
      </c>
      <c r="D219" s="9">
        <f t="shared" si="10"/>
        <v>0</v>
      </c>
      <c r="E219" s="11">
        <f t="shared" si="11"/>
        <v>1</v>
      </c>
      <c r="AA219" t="s">
        <v>1723</v>
      </c>
      <c r="AB219">
        <v>2025</v>
      </c>
      <c r="AC219" t="s">
        <v>33</v>
      </c>
    </row>
    <row r="220" spans="1:29">
      <c r="A220" s="9">
        <v>216</v>
      </c>
      <c r="B220" s="10" t="s">
        <v>3904</v>
      </c>
      <c r="C220" s="9">
        <f t="shared" si="9"/>
        <v>1</v>
      </c>
      <c r="D220" s="9">
        <f t="shared" si="10"/>
        <v>0</v>
      </c>
      <c r="E220" s="11">
        <f t="shared" si="11"/>
        <v>1</v>
      </c>
      <c r="AA220" t="s">
        <v>1733</v>
      </c>
      <c r="AB220">
        <v>2025</v>
      </c>
      <c r="AC220" t="s">
        <v>33</v>
      </c>
    </row>
    <row r="221" spans="1:29">
      <c r="A221" s="9">
        <v>217</v>
      </c>
      <c r="B221" s="10" t="s">
        <v>4064</v>
      </c>
      <c r="C221" s="9">
        <f t="shared" si="9"/>
        <v>1</v>
      </c>
      <c r="D221" s="9">
        <f t="shared" si="10"/>
        <v>0</v>
      </c>
      <c r="E221" s="11">
        <f t="shared" si="11"/>
        <v>1</v>
      </c>
      <c r="AA221" t="s">
        <v>265</v>
      </c>
      <c r="AB221">
        <v>2025</v>
      </c>
      <c r="AC221" t="s">
        <v>33</v>
      </c>
    </row>
    <row r="222" spans="1:29">
      <c r="A222" s="9">
        <v>218</v>
      </c>
      <c r="B222" s="10" t="s">
        <v>4110</v>
      </c>
      <c r="C222" s="9">
        <f t="shared" si="9"/>
        <v>1</v>
      </c>
      <c r="D222" s="9">
        <f t="shared" si="10"/>
        <v>0</v>
      </c>
      <c r="E222" s="11">
        <f t="shared" si="11"/>
        <v>1</v>
      </c>
      <c r="AA222" t="s">
        <v>164</v>
      </c>
      <c r="AB222">
        <v>2025</v>
      </c>
      <c r="AC222" t="s">
        <v>33</v>
      </c>
    </row>
    <row r="223" spans="1:29">
      <c r="A223" s="9">
        <v>219</v>
      </c>
      <c r="B223" s="10" t="s">
        <v>4146</v>
      </c>
      <c r="C223" s="9">
        <f t="shared" si="9"/>
        <v>1</v>
      </c>
      <c r="D223" s="9">
        <f t="shared" si="10"/>
        <v>0</v>
      </c>
      <c r="E223" s="11">
        <f t="shared" si="11"/>
        <v>1</v>
      </c>
      <c r="AA223" t="s">
        <v>1762</v>
      </c>
      <c r="AB223">
        <v>2024</v>
      </c>
      <c r="AC223" t="s">
        <v>33</v>
      </c>
    </row>
    <row r="224" spans="1:29">
      <c r="A224" s="9">
        <v>220</v>
      </c>
      <c r="B224" s="10" t="s">
        <v>4227</v>
      </c>
      <c r="C224" s="9">
        <f t="shared" si="9"/>
        <v>1</v>
      </c>
      <c r="D224" s="9">
        <f t="shared" si="10"/>
        <v>0</v>
      </c>
      <c r="E224" s="11">
        <f t="shared" si="11"/>
        <v>1</v>
      </c>
      <c r="AA224" t="s">
        <v>1644</v>
      </c>
      <c r="AB224">
        <v>2024</v>
      </c>
      <c r="AC224" t="s">
        <v>33</v>
      </c>
    </row>
    <row r="225" spans="1:29">
      <c r="A225" s="9">
        <v>221</v>
      </c>
      <c r="B225" s="10" t="s">
        <v>4228</v>
      </c>
      <c r="C225" s="9">
        <f t="shared" si="9"/>
        <v>1</v>
      </c>
      <c r="D225" s="9">
        <f t="shared" si="10"/>
        <v>0</v>
      </c>
      <c r="E225" s="11">
        <f t="shared" si="11"/>
        <v>1</v>
      </c>
      <c r="AA225" t="s">
        <v>1781</v>
      </c>
      <c r="AB225">
        <v>2024</v>
      </c>
      <c r="AC225" t="s">
        <v>33</v>
      </c>
    </row>
    <row r="226" spans="1:29">
      <c r="A226" s="9">
        <v>222</v>
      </c>
      <c r="B226" s="10" t="s">
        <v>4229</v>
      </c>
      <c r="C226" s="9">
        <f t="shared" si="9"/>
        <v>1</v>
      </c>
      <c r="D226" s="9">
        <f t="shared" si="10"/>
        <v>0</v>
      </c>
      <c r="E226" s="11">
        <f t="shared" si="11"/>
        <v>1</v>
      </c>
      <c r="AA226" t="s">
        <v>1282</v>
      </c>
      <c r="AB226">
        <v>2025</v>
      </c>
      <c r="AC226" t="s">
        <v>49</v>
      </c>
    </row>
    <row r="227" spans="1:29">
      <c r="A227" s="9">
        <v>223</v>
      </c>
      <c r="B227" s="10" t="s">
        <v>4240</v>
      </c>
      <c r="C227" s="9">
        <f t="shared" si="9"/>
        <v>1</v>
      </c>
      <c r="D227" s="9">
        <f t="shared" si="10"/>
        <v>0</v>
      </c>
      <c r="E227" s="11">
        <f t="shared" si="11"/>
        <v>1</v>
      </c>
      <c r="AA227" t="s">
        <v>276</v>
      </c>
      <c r="AB227">
        <v>2024</v>
      </c>
      <c r="AC227" t="s">
        <v>33</v>
      </c>
    </row>
    <row r="228" spans="1:29">
      <c r="A228" s="9">
        <v>224</v>
      </c>
      <c r="B228" s="10" t="s">
        <v>4426</v>
      </c>
      <c r="C228" s="9">
        <f t="shared" si="9"/>
        <v>1</v>
      </c>
      <c r="D228" s="9">
        <f t="shared" si="10"/>
        <v>0</v>
      </c>
      <c r="E228" s="11">
        <f t="shared" si="11"/>
        <v>1</v>
      </c>
      <c r="AA228" t="s">
        <v>128</v>
      </c>
      <c r="AB228">
        <v>2024</v>
      </c>
      <c r="AC228" t="s">
        <v>1125</v>
      </c>
    </row>
    <row r="229" spans="1:29">
      <c r="A229" s="9">
        <v>225</v>
      </c>
      <c r="B229" s="10" t="s">
        <v>4436</v>
      </c>
      <c r="C229" s="9">
        <f t="shared" si="9"/>
        <v>1</v>
      </c>
      <c r="D229" s="9">
        <f t="shared" si="10"/>
        <v>0</v>
      </c>
      <c r="E229" s="11">
        <f t="shared" si="11"/>
        <v>1</v>
      </c>
      <c r="AA229" t="s">
        <v>1480</v>
      </c>
      <c r="AB229">
        <v>2024</v>
      </c>
      <c r="AC229" t="s">
        <v>33</v>
      </c>
    </row>
    <row r="230" spans="1:29">
      <c r="A230" s="9">
        <v>226</v>
      </c>
      <c r="B230" s="10" t="s">
        <v>4445</v>
      </c>
      <c r="C230" s="9">
        <f t="shared" si="9"/>
        <v>1</v>
      </c>
      <c r="D230" s="9">
        <f t="shared" si="10"/>
        <v>0</v>
      </c>
      <c r="E230" s="11">
        <f t="shared" si="11"/>
        <v>1</v>
      </c>
      <c r="AA230" t="s">
        <v>685</v>
      </c>
      <c r="AB230">
        <v>2025</v>
      </c>
      <c r="AC230" t="s">
        <v>33</v>
      </c>
    </row>
    <row r="231" spans="1:29">
      <c r="A231" s="9">
        <v>227</v>
      </c>
      <c r="B231" s="10" t="s">
        <v>4459</v>
      </c>
      <c r="C231" s="9">
        <f t="shared" si="9"/>
        <v>1</v>
      </c>
      <c r="D231" s="9">
        <f t="shared" si="10"/>
        <v>0</v>
      </c>
      <c r="E231" s="11">
        <f t="shared" si="11"/>
        <v>1</v>
      </c>
      <c r="AA231" t="s">
        <v>1838</v>
      </c>
      <c r="AB231">
        <v>2024</v>
      </c>
      <c r="AC231" t="s">
        <v>33</v>
      </c>
    </row>
    <row r="232" spans="1:29">
      <c r="A232" s="9">
        <v>228</v>
      </c>
      <c r="B232" s="10" t="s">
        <v>4504</v>
      </c>
      <c r="C232" s="9">
        <f t="shared" si="9"/>
        <v>1</v>
      </c>
      <c r="D232" s="9">
        <f t="shared" si="10"/>
        <v>0</v>
      </c>
      <c r="E232" s="11">
        <f t="shared" si="11"/>
        <v>1</v>
      </c>
      <c r="AA232" t="s">
        <v>1850</v>
      </c>
      <c r="AB232">
        <v>2024</v>
      </c>
      <c r="AC232" t="s">
        <v>33</v>
      </c>
    </row>
    <row r="233" spans="1:29">
      <c r="A233" s="9">
        <v>229</v>
      </c>
      <c r="B233" s="10" t="s">
        <v>4649</v>
      </c>
      <c r="C233" s="9">
        <f t="shared" si="9"/>
        <v>1</v>
      </c>
      <c r="D233" s="9">
        <f t="shared" si="10"/>
        <v>0</v>
      </c>
      <c r="E233" s="11">
        <f t="shared" si="11"/>
        <v>1</v>
      </c>
      <c r="AA233" t="s">
        <v>22</v>
      </c>
      <c r="AB233">
        <v>2025</v>
      </c>
      <c r="AC233" t="s">
        <v>33</v>
      </c>
    </row>
    <row r="234" spans="1:29">
      <c r="A234" s="9">
        <v>230</v>
      </c>
      <c r="B234" s="10" t="s">
        <v>4650</v>
      </c>
      <c r="C234" s="9">
        <f t="shared" si="9"/>
        <v>1</v>
      </c>
      <c r="D234" s="9">
        <f t="shared" si="10"/>
        <v>0</v>
      </c>
      <c r="E234" s="11">
        <f t="shared" si="11"/>
        <v>1</v>
      </c>
      <c r="AA234" t="s">
        <v>1860</v>
      </c>
      <c r="AB234">
        <v>2024</v>
      </c>
      <c r="AC234" t="s">
        <v>33</v>
      </c>
    </row>
    <row r="235" spans="1:29">
      <c r="A235" s="9">
        <v>231</v>
      </c>
      <c r="B235" s="10" t="s">
        <v>4726</v>
      </c>
      <c r="C235" s="9">
        <f t="shared" si="9"/>
        <v>1</v>
      </c>
      <c r="D235" s="9">
        <f t="shared" si="10"/>
        <v>0</v>
      </c>
      <c r="E235" s="11">
        <f t="shared" si="11"/>
        <v>1</v>
      </c>
      <c r="AA235" t="s">
        <v>164</v>
      </c>
      <c r="AB235">
        <v>2025</v>
      </c>
      <c r="AC235" t="s">
        <v>33</v>
      </c>
    </row>
    <row r="236" spans="1:29">
      <c r="A236" s="9">
        <v>232</v>
      </c>
      <c r="B236" s="10" t="s">
        <v>4732</v>
      </c>
      <c r="C236" s="9">
        <f t="shared" si="9"/>
        <v>1</v>
      </c>
      <c r="D236" s="9">
        <f t="shared" si="10"/>
        <v>0</v>
      </c>
      <c r="E236" s="11">
        <f t="shared" si="11"/>
        <v>1</v>
      </c>
      <c r="AA236" t="s">
        <v>342</v>
      </c>
      <c r="AB236">
        <v>2025</v>
      </c>
      <c r="AC236" t="s">
        <v>33</v>
      </c>
    </row>
    <row r="237" spans="1:29">
      <c r="A237" s="9">
        <v>233</v>
      </c>
      <c r="B237" s="10" t="s">
        <v>4859</v>
      </c>
      <c r="C237" s="9">
        <f t="shared" si="9"/>
        <v>1</v>
      </c>
      <c r="D237" s="9">
        <f t="shared" si="10"/>
        <v>0</v>
      </c>
      <c r="E237" s="11">
        <f t="shared" si="11"/>
        <v>1</v>
      </c>
      <c r="AA237" t="s">
        <v>1396</v>
      </c>
      <c r="AB237">
        <v>2025</v>
      </c>
      <c r="AC237" t="s">
        <v>33</v>
      </c>
    </row>
    <row r="238" spans="1:29">
      <c r="A238" s="9">
        <v>234</v>
      </c>
      <c r="B238" s="10" t="s">
        <v>4878</v>
      </c>
      <c r="C238" s="9">
        <f t="shared" si="9"/>
        <v>1</v>
      </c>
      <c r="D238" s="9">
        <f t="shared" si="10"/>
        <v>0</v>
      </c>
      <c r="E238" s="11">
        <f t="shared" si="11"/>
        <v>1</v>
      </c>
      <c r="AA238" t="s">
        <v>1908</v>
      </c>
      <c r="AB238">
        <v>2025</v>
      </c>
      <c r="AC238" t="s">
        <v>33</v>
      </c>
    </row>
    <row r="239" spans="1:29">
      <c r="A239" s="9">
        <v>235</v>
      </c>
      <c r="B239" s="10" t="s">
        <v>4886</v>
      </c>
      <c r="C239" s="9">
        <f t="shared" si="9"/>
        <v>1</v>
      </c>
      <c r="D239" s="9">
        <f t="shared" si="10"/>
        <v>0</v>
      </c>
      <c r="E239" s="11">
        <f t="shared" si="11"/>
        <v>1</v>
      </c>
      <c r="AA239" t="s">
        <v>2815</v>
      </c>
      <c r="AB239">
        <v>2025</v>
      </c>
      <c r="AC239" t="s">
        <v>33</v>
      </c>
    </row>
    <row r="240" spans="1:29">
      <c r="A240" s="9">
        <v>236</v>
      </c>
      <c r="B240" s="10" t="s">
        <v>4895</v>
      </c>
      <c r="C240" s="9">
        <f t="shared" si="9"/>
        <v>1</v>
      </c>
      <c r="D240" s="9">
        <f t="shared" si="10"/>
        <v>0</v>
      </c>
      <c r="E240" s="11">
        <f t="shared" si="11"/>
        <v>1</v>
      </c>
      <c r="AA240" t="s">
        <v>178</v>
      </c>
      <c r="AB240">
        <v>2024</v>
      </c>
      <c r="AC240" t="s">
        <v>33</v>
      </c>
    </row>
    <row r="241" spans="1:29">
      <c r="A241" s="9">
        <v>237</v>
      </c>
      <c r="B241" s="10" t="s">
        <v>4917</v>
      </c>
      <c r="C241" s="9">
        <f t="shared" si="9"/>
        <v>1</v>
      </c>
      <c r="D241" s="9">
        <f t="shared" si="10"/>
        <v>0</v>
      </c>
      <c r="E241" s="11">
        <f t="shared" si="11"/>
        <v>1</v>
      </c>
      <c r="AA241" t="s">
        <v>1916</v>
      </c>
      <c r="AB241">
        <v>2025</v>
      </c>
      <c r="AC241" t="s">
        <v>33</v>
      </c>
    </row>
    <row r="242" spans="1:29">
      <c r="A242" s="9">
        <v>238</v>
      </c>
      <c r="B242" s="10" t="s">
        <v>5004</v>
      </c>
      <c r="C242" s="9">
        <f t="shared" si="9"/>
        <v>1</v>
      </c>
      <c r="D242" s="9">
        <f t="shared" si="10"/>
        <v>0</v>
      </c>
      <c r="E242" s="11">
        <f t="shared" si="11"/>
        <v>1</v>
      </c>
      <c r="AA242" t="s">
        <v>3141</v>
      </c>
      <c r="AB242">
        <v>2025</v>
      </c>
      <c r="AC242" t="s">
        <v>49</v>
      </c>
    </row>
    <row r="243" spans="1:29">
      <c r="A243" s="9">
        <v>239</v>
      </c>
      <c r="B243" s="10" t="s">
        <v>5036</v>
      </c>
      <c r="C243" s="9">
        <f t="shared" si="9"/>
        <v>1</v>
      </c>
      <c r="D243" s="9">
        <f t="shared" si="10"/>
        <v>0</v>
      </c>
      <c r="E243" s="11">
        <f t="shared" si="11"/>
        <v>1</v>
      </c>
      <c r="AA243" t="s">
        <v>265</v>
      </c>
      <c r="AB243">
        <v>2025</v>
      </c>
      <c r="AC243" t="s">
        <v>33</v>
      </c>
    </row>
    <row r="244" spans="1:29">
      <c r="A244" s="9">
        <v>240</v>
      </c>
      <c r="B244" s="10" t="s">
        <v>5053</v>
      </c>
      <c r="C244" s="9">
        <f t="shared" si="9"/>
        <v>1</v>
      </c>
      <c r="D244" s="9">
        <f t="shared" si="10"/>
        <v>0</v>
      </c>
      <c r="E244" s="11">
        <f t="shared" si="11"/>
        <v>1</v>
      </c>
      <c r="AA244" t="s">
        <v>113</v>
      </c>
      <c r="AB244">
        <v>2025</v>
      </c>
      <c r="AC244" t="s">
        <v>33</v>
      </c>
    </row>
    <row r="245" spans="1:29">
      <c r="A245" s="9">
        <v>241</v>
      </c>
      <c r="B245" s="10" t="s">
        <v>5062</v>
      </c>
      <c r="C245" s="9">
        <f t="shared" si="9"/>
        <v>1</v>
      </c>
      <c r="D245" s="9">
        <f t="shared" si="10"/>
        <v>0</v>
      </c>
      <c r="E245" s="11">
        <f t="shared" si="11"/>
        <v>1</v>
      </c>
      <c r="AA245" t="s">
        <v>1344</v>
      </c>
      <c r="AB245">
        <v>2025</v>
      </c>
      <c r="AC245" t="s">
        <v>33</v>
      </c>
    </row>
    <row r="246" spans="1:29">
      <c r="A246" s="9">
        <v>242</v>
      </c>
      <c r="B246" s="10" t="s">
        <v>5132</v>
      </c>
      <c r="C246" s="9">
        <f t="shared" si="9"/>
        <v>1</v>
      </c>
      <c r="D246" s="9">
        <f t="shared" si="10"/>
        <v>0</v>
      </c>
      <c r="E246" s="11">
        <f t="shared" si="11"/>
        <v>1</v>
      </c>
      <c r="AA246" t="s">
        <v>1916</v>
      </c>
      <c r="AB246">
        <v>2025</v>
      </c>
      <c r="AC246" t="s">
        <v>33</v>
      </c>
    </row>
    <row r="247" spans="1:29">
      <c r="A247" s="9">
        <v>243</v>
      </c>
      <c r="B247" s="10" t="s">
        <v>5207</v>
      </c>
      <c r="C247" s="9">
        <f t="shared" si="9"/>
        <v>1</v>
      </c>
      <c r="D247" s="9">
        <f t="shared" si="10"/>
        <v>0</v>
      </c>
      <c r="E247" s="11">
        <f t="shared" si="11"/>
        <v>1</v>
      </c>
      <c r="AA247" t="s">
        <v>1967</v>
      </c>
      <c r="AB247">
        <v>2025</v>
      </c>
      <c r="AC247" t="s">
        <v>33</v>
      </c>
    </row>
    <row r="248" spans="1:29">
      <c r="A248" s="9">
        <v>244</v>
      </c>
      <c r="B248" s="10" t="s">
        <v>5215</v>
      </c>
      <c r="C248" s="9">
        <f t="shared" si="9"/>
        <v>1</v>
      </c>
      <c r="D248" s="9">
        <f t="shared" si="10"/>
        <v>0</v>
      </c>
      <c r="E248" s="11">
        <f t="shared" si="11"/>
        <v>1</v>
      </c>
      <c r="AA248" t="s">
        <v>228</v>
      </c>
      <c r="AB248">
        <v>2025</v>
      </c>
      <c r="AC248" t="s">
        <v>33</v>
      </c>
    </row>
    <row r="249" spans="1:29">
      <c r="A249" s="9">
        <v>245</v>
      </c>
      <c r="B249" s="10" t="s">
        <v>5227</v>
      </c>
      <c r="C249" s="9">
        <f t="shared" si="9"/>
        <v>1</v>
      </c>
      <c r="D249" s="9">
        <f t="shared" si="10"/>
        <v>0</v>
      </c>
      <c r="E249" s="11">
        <f t="shared" si="11"/>
        <v>1</v>
      </c>
      <c r="AA249" t="s">
        <v>433</v>
      </c>
      <c r="AB249">
        <v>2025</v>
      </c>
      <c r="AC249" t="s">
        <v>33</v>
      </c>
    </row>
    <row r="250" spans="1:29">
      <c r="A250" s="9">
        <v>246</v>
      </c>
      <c r="B250" s="10" t="s">
        <v>5232</v>
      </c>
      <c r="C250" s="9">
        <f t="shared" si="9"/>
        <v>1</v>
      </c>
      <c r="D250" s="9">
        <f t="shared" si="10"/>
        <v>0</v>
      </c>
      <c r="E250" s="11">
        <f t="shared" si="11"/>
        <v>1</v>
      </c>
      <c r="AA250" t="s">
        <v>1969</v>
      </c>
      <c r="AB250">
        <v>2025</v>
      </c>
      <c r="AC250" t="s">
        <v>33</v>
      </c>
    </row>
    <row r="251" spans="1:29">
      <c r="A251" s="9">
        <v>247</v>
      </c>
      <c r="B251" s="10" t="s">
        <v>5254</v>
      </c>
      <c r="C251" s="9">
        <f t="shared" si="9"/>
        <v>1</v>
      </c>
      <c r="D251" s="9">
        <f t="shared" si="10"/>
        <v>0</v>
      </c>
      <c r="E251" s="11">
        <f t="shared" si="11"/>
        <v>1</v>
      </c>
      <c r="AA251" t="s">
        <v>113</v>
      </c>
      <c r="AB251">
        <v>2024</v>
      </c>
      <c r="AC251" t="s">
        <v>33</v>
      </c>
    </row>
    <row r="252" spans="1:29">
      <c r="A252" s="9">
        <v>248</v>
      </c>
      <c r="B252" s="10" t="s">
        <v>5266</v>
      </c>
      <c r="C252" s="9">
        <f t="shared" si="9"/>
        <v>1</v>
      </c>
      <c r="D252" s="9">
        <f t="shared" si="10"/>
        <v>0</v>
      </c>
      <c r="E252" s="11">
        <f t="shared" si="11"/>
        <v>1</v>
      </c>
      <c r="AA252" t="s">
        <v>1983</v>
      </c>
      <c r="AB252">
        <v>2024</v>
      </c>
      <c r="AC252" t="s">
        <v>33</v>
      </c>
    </row>
    <row r="253" spans="1:29">
      <c r="A253" s="9">
        <v>249</v>
      </c>
      <c r="B253" s="10" t="s">
        <v>5274</v>
      </c>
      <c r="C253" s="9">
        <f t="shared" si="9"/>
        <v>1</v>
      </c>
      <c r="D253" s="9">
        <f t="shared" si="10"/>
        <v>0</v>
      </c>
      <c r="E253" s="11">
        <f t="shared" si="11"/>
        <v>1</v>
      </c>
      <c r="AA253" t="s">
        <v>113</v>
      </c>
      <c r="AB253">
        <v>2024</v>
      </c>
      <c r="AC253" t="s">
        <v>33</v>
      </c>
    </row>
    <row r="254" spans="1:29">
      <c r="A254" s="9">
        <v>250</v>
      </c>
      <c r="B254" s="10" t="s">
        <v>5275</v>
      </c>
      <c r="C254" s="9">
        <f t="shared" si="9"/>
        <v>1</v>
      </c>
      <c r="D254" s="9">
        <f t="shared" si="10"/>
        <v>0</v>
      </c>
      <c r="E254" s="11">
        <f t="shared" si="11"/>
        <v>1</v>
      </c>
      <c r="AA254" t="s">
        <v>1282</v>
      </c>
      <c r="AB254">
        <v>2024</v>
      </c>
      <c r="AC254" t="s">
        <v>49</v>
      </c>
    </row>
    <row r="255" spans="1:29">
      <c r="A255" s="9">
        <v>251</v>
      </c>
      <c r="B255" s="10" t="s">
        <v>5424</v>
      </c>
      <c r="C255" s="9">
        <f t="shared" si="9"/>
        <v>1</v>
      </c>
      <c r="D255" s="9">
        <f t="shared" si="10"/>
        <v>0</v>
      </c>
      <c r="E255" s="11">
        <f t="shared" si="11"/>
        <v>1</v>
      </c>
      <c r="AA255" t="s">
        <v>2006</v>
      </c>
      <c r="AB255">
        <v>2024</v>
      </c>
      <c r="AC255" t="s">
        <v>33</v>
      </c>
    </row>
    <row r="256" spans="1:29">
      <c r="A256" s="9">
        <v>252</v>
      </c>
      <c r="B256" s="10" t="s">
        <v>5479</v>
      </c>
      <c r="C256" s="9">
        <f t="shared" si="9"/>
        <v>1</v>
      </c>
      <c r="D256" s="9">
        <f t="shared" si="10"/>
        <v>0</v>
      </c>
      <c r="E256" s="11">
        <f t="shared" si="11"/>
        <v>1</v>
      </c>
      <c r="AA256" t="s">
        <v>2018</v>
      </c>
      <c r="AB256">
        <v>2025</v>
      </c>
      <c r="AC256" t="s">
        <v>33</v>
      </c>
    </row>
    <row r="257" spans="1:29">
      <c r="A257" s="9">
        <v>253</v>
      </c>
      <c r="B257" s="10" t="s">
        <v>5579</v>
      </c>
      <c r="C257" s="9">
        <f t="shared" si="9"/>
        <v>1</v>
      </c>
      <c r="D257" s="9">
        <f t="shared" si="10"/>
        <v>0</v>
      </c>
      <c r="E257" s="11">
        <f t="shared" si="11"/>
        <v>1</v>
      </c>
      <c r="AA257" t="s">
        <v>164</v>
      </c>
      <c r="AB257">
        <v>2025</v>
      </c>
      <c r="AC257" t="s">
        <v>33</v>
      </c>
    </row>
    <row r="258" spans="1:29">
      <c r="A258" s="9">
        <v>254</v>
      </c>
      <c r="B258" s="10" t="s">
        <v>5670</v>
      </c>
      <c r="C258" s="9">
        <f t="shared" si="9"/>
        <v>1</v>
      </c>
      <c r="D258" s="9">
        <f t="shared" si="10"/>
        <v>0</v>
      </c>
      <c r="E258" s="11">
        <f t="shared" si="11"/>
        <v>1</v>
      </c>
      <c r="AA258" t="s">
        <v>635</v>
      </c>
      <c r="AB258">
        <v>2025</v>
      </c>
      <c r="AC258" t="s">
        <v>33</v>
      </c>
    </row>
    <row r="259" spans="1:29">
      <c r="A259" s="9">
        <v>255</v>
      </c>
      <c r="B259" s="10" t="s">
        <v>5813</v>
      </c>
      <c r="C259" s="9">
        <f t="shared" si="9"/>
        <v>1</v>
      </c>
      <c r="D259" s="9">
        <f t="shared" si="10"/>
        <v>0</v>
      </c>
      <c r="E259" s="11">
        <f t="shared" si="11"/>
        <v>1</v>
      </c>
      <c r="AA259" t="s">
        <v>2046</v>
      </c>
      <c r="AB259">
        <v>2024</v>
      </c>
      <c r="AC259" t="s">
        <v>33</v>
      </c>
    </row>
    <row r="260" spans="1:29">
      <c r="A260" s="9">
        <v>256</v>
      </c>
      <c r="B260" s="10" t="s">
        <v>5827</v>
      </c>
      <c r="C260" s="9">
        <f t="shared" si="9"/>
        <v>1</v>
      </c>
      <c r="D260" s="9">
        <f t="shared" si="10"/>
        <v>0</v>
      </c>
      <c r="E260" s="11">
        <f t="shared" si="11"/>
        <v>1</v>
      </c>
      <c r="AA260" t="s">
        <v>2060</v>
      </c>
      <c r="AB260">
        <v>2024</v>
      </c>
      <c r="AC260" t="s">
        <v>33</v>
      </c>
    </row>
    <row r="261" spans="1:29">
      <c r="A261" s="9">
        <v>257</v>
      </c>
      <c r="B261" s="10" t="s">
        <v>5850</v>
      </c>
      <c r="C261" s="9">
        <f t="shared" ref="C261:C324" si="12">COUNTIFS($AA:$AA,$B261,$AB:$AB,2024)</f>
        <v>1</v>
      </c>
      <c r="D261" s="9">
        <f t="shared" ref="D261:D324" si="13">COUNTIFS($AA:$AA,$B261,$AB:$AB,2025)</f>
        <v>0</v>
      </c>
      <c r="E261" s="11">
        <f t="shared" ref="E261:E324" si="14">C261+D261</f>
        <v>1</v>
      </c>
      <c r="AA261" t="s">
        <v>276</v>
      </c>
      <c r="AB261">
        <v>2024</v>
      </c>
      <c r="AC261" t="s">
        <v>33</v>
      </c>
    </row>
    <row r="262" spans="1:29">
      <c r="A262" s="9">
        <v>258</v>
      </c>
      <c r="B262" s="10" t="s">
        <v>84</v>
      </c>
      <c r="C262" s="9">
        <f t="shared" si="12"/>
        <v>0</v>
      </c>
      <c r="D262" s="9">
        <f t="shared" si="13"/>
        <v>1</v>
      </c>
      <c r="E262" s="11">
        <f t="shared" si="14"/>
        <v>1</v>
      </c>
      <c r="AA262" t="s">
        <v>422</v>
      </c>
      <c r="AB262">
        <v>2024</v>
      </c>
      <c r="AC262" t="s">
        <v>1125</v>
      </c>
    </row>
    <row r="263" spans="1:29">
      <c r="A263" s="9">
        <v>259</v>
      </c>
      <c r="B263" s="10" t="s">
        <v>470</v>
      </c>
      <c r="C263" s="9">
        <f t="shared" si="12"/>
        <v>0</v>
      </c>
      <c r="D263" s="9">
        <f t="shared" si="13"/>
        <v>1</v>
      </c>
      <c r="E263" s="11">
        <f t="shared" si="14"/>
        <v>1</v>
      </c>
      <c r="AA263" t="s">
        <v>1619</v>
      </c>
      <c r="AB263">
        <v>2025</v>
      </c>
      <c r="AC263" t="s">
        <v>33</v>
      </c>
    </row>
    <row r="264" spans="1:29">
      <c r="A264" s="9">
        <v>260</v>
      </c>
      <c r="B264" s="10" t="s">
        <v>586</v>
      </c>
      <c r="C264" s="9">
        <f t="shared" si="12"/>
        <v>0</v>
      </c>
      <c r="D264" s="9">
        <f t="shared" si="13"/>
        <v>1</v>
      </c>
      <c r="E264" s="11">
        <f t="shared" si="14"/>
        <v>1</v>
      </c>
      <c r="AA264" t="s">
        <v>128</v>
      </c>
      <c r="AB264">
        <v>2025</v>
      </c>
      <c r="AC264" t="s">
        <v>33</v>
      </c>
    </row>
    <row r="265" spans="1:29">
      <c r="A265" s="9">
        <v>261</v>
      </c>
      <c r="B265" s="10" t="s">
        <v>1168</v>
      </c>
      <c r="C265" s="9">
        <f t="shared" si="12"/>
        <v>0</v>
      </c>
      <c r="D265" s="9">
        <f t="shared" si="13"/>
        <v>1</v>
      </c>
      <c r="E265" s="11">
        <f t="shared" si="14"/>
        <v>1</v>
      </c>
      <c r="AA265" t="s">
        <v>2100</v>
      </c>
      <c r="AB265">
        <v>2025</v>
      </c>
      <c r="AC265" t="s">
        <v>33</v>
      </c>
    </row>
    <row r="266" spans="1:29">
      <c r="A266" s="9">
        <v>262</v>
      </c>
      <c r="B266" s="10" t="s">
        <v>1250</v>
      </c>
      <c r="C266" s="9">
        <f t="shared" si="12"/>
        <v>0</v>
      </c>
      <c r="D266" s="9">
        <f t="shared" si="13"/>
        <v>1</v>
      </c>
      <c r="E266" s="11">
        <f t="shared" si="14"/>
        <v>1</v>
      </c>
      <c r="AA266" t="s">
        <v>276</v>
      </c>
      <c r="AB266">
        <v>2024</v>
      </c>
      <c r="AC266" t="s">
        <v>49</v>
      </c>
    </row>
    <row r="267" spans="1:29">
      <c r="A267" s="9">
        <v>263</v>
      </c>
      <c r="B267" s="10" t="s">
        <v>1251</v>
      </c>
      <c r="C267" s="9">
        <f t="shared" si="12"/>
        <v>0</v>
      </c>
      <c r="D267" s="9">
        <f t="shared" si="13"/>
        <v>1</v>
      </c>
      <c r="E267" s="11">
        <f t="shared" si="14"/>
        <v>1</v>
      </c>
      <c r="AA267" t="s">
        <v>128</v>
      </c>
      <c r="AB267">
        <v>2024</v>
      </c>
      <c r="AC267" t="s">
        <v>2112</v>
      </c>
    </row>
    <row r="268" spans="1:29">
      <c r="A268" s="9">
        <v>264</v>
      </c>
      <c r="B268" s="10" t="s">
        <v>1345</v>
      </c>
      <c r="C268" s="9">
        <f t="shared" si="12"/>
        <v>0</v>
      </c>
      <c r="D268" s="9">
        <f t="shared" si="13"/>
        <v>1</v>
      </c>
      <c r="E268" s="11">
        <f t="shared" si="14"/>
        <v>1</v>
      </c>
      <c r="AA268" t="s">
        <v>22</v>
      </c>
      <c r="AB268">
        <v>2025</v>
      </c>
      <c r="AC268" t="s">
        <v>49</v>
      </c>
    </row>
    <row r="269" spans="1:29">
      <c r="A269" s="9">
        <v>265</v>
      </c>
      <c r="B269" s="10" t="s">
        <v>1353</v>
      </c>
      <c r="C269" s="9">
        <f t="shared" si="12"/>
        <v>0</v>
      </c>
      <c r="D269" s="9">
        <f t="shared" si="13"/>
        <v>1</v>
      </c>
      <c r="E269" s="11">
        <f t="shared" si="14"/>
        <v>1</v>
      </c>
      <c r="AA269" t="s">
        <v>276</v>
      </c>
      <c r="AB269">
        <v>2025</v>
      </c>
      <c r="AC269" t="s">
        <v>49</v>
      </c>
    </row>
    <row r="270" spans="1:29">
      <c r="A270" s="9">
        <v>266</v>
      </c>
      <c r="B270" s="10" t="s">
        <v>1354</v>
      </c>
      <c r="C270" s="9">
        <f t="shared" si="12"/>
        <v>0</v>
      </c>
      <c r="D270" s="9">
        <f t="shared" si="13"/>
        <v>1</v>
      </c>
      <c r="E270" s="11">
        <f t="shared" si="14"/>
        <v>1</v>
      </c>
      <c r="AA270" t="s">
        <v>1644</v>
      </c>
      <c r="AB270">
        <v>2024</v>
      </c>
      <c r="AC270" t="s">
        <v>33</v>
      </c>
    </row>
    <row r="271" spans="1:29">
      <c r="A271" s="9">
        <v>267</v>
      </c>
      <c r="B271" s="10" t="s">
        <v>1391</v>
      </c>
      <c r="C271" s="9">
        <f t="shared" si="12"/>
        <v>0</v>
      </c>
      <c r="D271" s="9">
        <f t="shared" si="13"/>
        <v>1</v>
      </c>
      <c r="E271" s="11">
        <f t="shared" si="14"/>
        <v>1</v>
      </c>
      <c r="AA271" t="s">
        <v>622</v>
      </c>
      <c r="AB271">
        <v>2025</v>
      </c>
      <c r="AC271" t="s">
        <v>49</v>
      </c>
    </row>
    <row r="272" spans="1:29">
      <c r="A272" s="9">
        <v>268</v>
      </c>
      <c r="B272" s="10" t="s">
        <v>1513</v>
      </c>
      <c r="C272" s="9">
        <f t="shared" si="12"/>
        <v>0</v>
      </c>
      <c r="D272" s="9">
        <f t="shared" si="13"/>
        <v>1</v>
      </c>
      <c r="E272" s="11">
        <f t="shared" si="14"/>
        <v>1</v>
      </c>
      <c r="AA272" t="s">
        <v>383</v>
      </c>
      <c r="AB272">
        <v>2025</v>
      </c>
      <c r="AC272" t="s">
        <v>33</v>
      </c>
    </row>
    <row r="273" spans="1:29">
      <c r="A273" s="9">
        <v>269</v>
      </c>
      <c r="B273" s="10" t="s">
        <v>1514</v>
      </c>
      <c r="C273" s="9">
        <f t="shared" si="12"/>
        <v>0</v>
      </c>
      <c r="D273" s="9">
        <f t="shared" si="13"/>
        <v>1</v>
      </c>
      <c r="E273" s="11">
        <f t="shared" si="14"/>
        <v>1</v>
      </c>
      <c r="AA273" t="s">
        <v>2172</v>
      </c>
      <c r="AB273">
        <v>2025</v>
      </c>
      <c r="AC273" t="s">
        <v>33</v>
      </c>
    </row>
    <row r="274" spans="1:29">
      <c r="A274" s="9">
        <v>270</v>
      </c>
      <c r="B274" s="10" t="s">
        <v>1714</v>
      </c>
      <c r="C274" s="9">
        <f t="shared" si="12"/>
        <v>0</v>
      </c>
      <c r="D274" s="9">
        <f t="shared" si="13"/>
        <v>1</v>
      </c>
      <c r="E274" s="11">
        <f t="shared" si="14"/>
        <v>1</v>
      </c>
      <c r="AA274" t="s">
        <v>965</v>
      </c>
      <c r="AB274">
        <v>2025</v>
      </c>
      <c r="AC274" t="s">
        <v>33</v>
      </c>
    </row>
    <row r="275" spans="1:29">
      <c r="A275" s="9">
        <v>271</v>
      </c>
      <c r="B275" s="10" t="s">
        <v>1733</v>
      </c>
      <c r="C275" s="9">
        <f t="shared" si="12"/>
        <v>0</v>
      </c>
      <c r="D275" s="9">
        <f t="shared" si="13"/>
        <v>1</v>
      </c>
      <c r="E275" s="11">
        <f t="shared" si="14"/>
        <v>1</v>
      </c>
      <c r="AA275" t="s">
        <v>385</v>
      </c>
      <c r="AB275">
        <v>2025</v>
      </c>
      <c r="AC275" t="s">
        <v>33</v>
      </c>
    </row>
    <row r="276" spans="1:29">
      <c r="A276" s="9">
        <v>272</v>
      </c>
      <c r="B276" s="10" t="s">
        <v>2210</v>
      </c>
      <c r="C276" s="9">
        <f t="shared" si="12"/>
        <v>0</v>
      </c>
      <c r="D276" s="9">
        <f t="shared" si="13"/>
        <v>1</v>
      </c>
      <c r="E276" s="11">
        <f t="shared" si="14"/>
        <v>1</v>
      </c>
      <c r="AA276" t="s">
        <v>622</v>
      </c>
      <c r="AB276">
        <v>2025</v>
      </c>
      <c r="AC276" t="s">
        <v>49</v>
      </c>
    </row>
    <row r="277" spans="1:29">
      <c r="A277" s="9">
        <v>273</v>
      </c>
      <c r="B277" s="10" t="s">
        <v>2242</v>
      </c>
      <c r="C277" s="9">
        <f t="shared" si="12"/>
        <v>0</v>
      </c>
      <c r="D277" s="9">
        <f t="shared" si="13"/>
        <v>1</v>
      </c>
      <c r="E277" s="11">
        <f t="shared" si="14"/>
        <v>1</v>
      </c>
      <c r="AA277" t="s">
        <v>164</v>
      </c>
      <c r="AB277">
        <v>2025</v>
      </c>
      <c r="AC277" t="s">
        <v>33</v>
      </c>
    </row>
    <row r="278" spans="1:29">
      <c r="A278" s="9">
        <v>274</v>
      </c>
      <c r="B278" s="10" t="s">
        <v>2445</v>
      </c>
      <c r="C278" s="9">
        <f t="shared" si="12"/>
        <v>0</v>
      </c>
      <c r="D278" s="9">
        <f t="shared" si="13"/>
        <v>1</v>
      </c>
      <c r="E278" s="11">
        <f t="shared" si="14"/>
        <v>1</v>
      </c>
      <c r="AA278" t="s">
        <v>790</v>
      </c>
      <c r="AB278">
        <v>2024</v>
      </c>
      <c r="AC278" t="s">
        <v>33</v>
      </c>
    </row>
    <row r="279" spans="1:29">
      <c r="A279" s="9">
        <v>275</v>
      </c>
      <c r="B279" s="10" t="s">
        <v>2553</v>
      </c>
      <c r="C279" s="9">
        <f t="shared" si="12"/>
        <v>0</v>
      </c>
      <c r="D279" s="9">
        <f t="shared" si="13"/>
        <v>1</v>
      </c>
      <c r="E279" s="11">
        <f t="shared" si="14"/>
        <v>1</v>
      </c>
      <c r="AA279" t="s">
        <v>2210</v>
      </c>
      <c r="AB279">
        <v>2025</v>
      </c>
      <c r="AC279" t="s">
        <v>33</v>
      </c>
    </row>
    <row r="280" spans="1:29">
      <c r="A280" s="9">
        <v>276</v>
      </c>
      <c r="B280" s="10" t="s">
        <v>2564</v>
      </c>
      <c r="C280" s="9">
        <f t="shared" si="12"/>
        <v>0</v>
      </c>
      <c r="D280" s="9">
        <f t="shared" si="13"/>
        <v>1</v>
      </c>
      <c r="E280" s="11">
        <f t="shared" si="14"/>
        <v>1</v>
      </c>
      <c r="AA280" t="s">
        <v>789</v>
      </c>
      <c r="AB280">
        <v>2025</v>
      </c>
      <c r="AC280" t="s">
        <v>33</v>
      </c>
    </row>
    <row r="281" spans="1:29">
      <c r="A281" s="9">
        <v>277</v>
      </c>
      <c r="B281" s="10" t="s">
        <v>2580</v>
      </c>
      <c r="C281" s="9">
        <f t="shared" si="12"/>
        <v>0</v>
      </c>
      <c r="D281" s="9">
        <f t="shared" si="13"/>
        <v>1</v>
      </c>
      <c r="E281" s="11">
        <f t="shared" si="14"/>
        <v>1</v>
      </c>
      <c r="AA281" t="s">
        <v>1916</v>
      </c>
      <c r="AB281">
        <v>2025</v>
      </c>
      <c r="AC281" t="s">
        <v>49</v>
      </c>
    </row>
    <row r="282" spans="1:29">
      <c r="A282" s="9">
        <v>278</v>
      </c>
      <c r="B282" s="10" t="s">
        <v>2607</v>
      </c>
      <c r="C282" s="9">
        <f t="shared" si="12"/>
        <v>0</v>
      </c>
      <c r="D282" s="9">
        <f t="shared" si="13"/>
        <v>1</v>
      </c>
      <c r="E282" s="11">
        <f t="shared" si="14"/>
        <v>1</v>
      </c>
      <c r="AA282" t="s">
        <v>1344</v>
      </c>
      <c r="AB282">
        <v>2025</v>
      </c>
      <c r="AC282" t="s">
        <v>49</v>
      </c>
    </row>
    <row r="283" spans="1:29">
      <c r="A283" s="9">
        <v>279</v>
      </c>
      <c r="B283" s="10" t="s">
        <v>2640</v>
      </c>
      <c r="C283" s="9">
        <f t="shared" si="12"/>
        <v>0</v>
      </c>
      <c r="D283" s="9">
        <f t="shared" si="13"/>
        <v>1</v>
      </c>
      <c r="E283" s="11">
        <f t="shared" si="14"/>
        <v>1</v>
      </c>
      <c r="AA283" t="s">
        <v>2242</v>
      </c>
      <c r="AB283">
        <v>2025</v>
      </c>
      <c r="AC283" t="s">
        <v>49</v>
      </c>
    </row>
    <row r="284" spans="1:29">
      <c r="A284" s="9">
        <v>280</v>
      </c>
      <c r="B284" s="10" t="s">
        <v>2727</v>
      </c>
      <c r="C284" s="9">
        <f t="shared" si="12"/>
        <v>0</v>
      </c>
      <c r="D284" s="9">
        <f t="shared" si="13"/>
        <v>1</v>
      </c>
      <c r="E284" s="11">
        <f t="shared" si="14"/>
        <v>1</v>
      </c>
      <c r="AA284" t="s">
        <v>2255</v>
      </c>
      <c r="AB284">
        <v>2024</v>
      </c>
      <c r="AC284" t="s">
        <v>33</v>
      </c>
    </row>
    <row r="285" spans="1:29">
      <c r="A285" s="9">
        <v>281</v>
      </c>
      <c r="B285" s="10" t="s">
        <v>2774</v>
      </c>
      <c r="C285" s="9">
        <f t="shared" si="12"/>
        <v>0</v>
      </c>
      <c r="D285" s="9">
        <f t="shared" si="13"/>
        <v>1</v>
      </c>
      <c r="E285" s="11">
        <f t="shared" si="14"/>
        <v>1</v>
      </c>
      <c r="AA285" t="s">
        <v>2266</v>
      </c>
      <c r="AB285">
        <v>2024</v>
      </c>
      <c r="AC285" t="s">
        <v>49</v>
      </c>
    </row>
    <row r="286" spans="1:29">
      <c r="A286" s="9">
        <v>282</v>
      </c>
      <c r="B286" s="10" t="s">
        <v>2792</v>
      </c>
      <c r="C286" s="9">
        <f t="shared" si="12"/>
        <v>0</v>
      </c>
      <c r="D286" s="9">
        <f t="shared" si="13"/>
        <v>1</v>
      </c>
      <c r="E286" s="11">
        <f t="shared" si="14"/>
        <v>1</v>
      </c>
      <c r="AA286" t="s">
        <v>822</v>
      </c>
      <c r="AB286">
        <v>2025</v>
      </c>
      <c r="AC286" t="s">
        <v>33</v>
      </c>
    </row>
    <row r="287" spans="1:29">
      <c r="A287" s="9">
        <v>283</v>
      </c>
      <c r="B287" s="10" t="s">
        <v>2864</v>
      </c>
      <c r="C287" s="9">
        <f t="shared" si="12"/>
        <v>0</v>
      </c>
      <c r="D287" s="9">
        <f t="shared" si="13"/>
        <v>1</v>
      </c>
      <c r="E287" s="11">
        <f t="shared" si="14"/>
        <v>1</v>
      </c>
      <c r="AA287" t="s">
        <v>1252</v>
      </c>
      <c r="AB287">
        <v>2024</v>
      </c>
      <c r="AC287" t="s">
        <v>33</v>
      </c>
    </row>
    <row r="288" spans="1:29">
      <c r="A288" s="9">
        <v>284</v>
      </c>
      <c r="B288" s="10" t="s">
        <v>2943</v>
      </c>
      <c r="C288" s="9">
        <f t="shared" si="12"/>
        <v>0</v>
      </c>
      <c r="D288" s="9">
        <f t="shared" si="13"/>
        <v>1</v>
      </c>
      <c r="E288" s="11">
        <f t="shared" si="14"/>
        <v>1</v>
      </c>
      <c r="AA288" t="s">
        <v>2293</v>
      </c>
      <c r="AB288">
        <v>2024</v>
      </c>
      <c r="AC288" t="s">
        <v>33</v>
      </c>
    </row>
    <row r="289" spans="1:29">
      <c r="A289" s="9">
        <v>285</v>
      </c>
      <c r="B289" s="10" t="s">
        <v>2954</v>
      </c>
      <c r="C289" s="9">
        <f t="shared" si="12"/>
        <v>0</v>
      </c>
      <c r="D289" s="9">
        <f t="shared" si="13"/>
        <v>1</v>
      </c>
      <c r="E289" s="11">
        <f t="shared" si="14"/>
        <v>1</v>
      </c>
      <c r="AA289" t="s">
        <v>265</v>
      </c>
      <c r="AB289">
        <v>2024</v>
      </c>
      <c r="AC289" t="s">
        <v>33</v>
      </c>
    </row>
    <row r="290" spans="1:29">
      <c r="A290" s="9">
        <v>286</v>
      </c>
      <c r="B290" s="10" t="s">
        <v>3014</v>
      </c>
      <c r="C290" s="9">
        <f t="shared" si="12"/>
        <v>0</v>
      </c>
      <c r="D290" s="9">
        <f t="shared" si="13"/>
        <v>1</v>
      </c>
      <c r="E290" s="11">
        <f t="shared" si="14"/>
        <v>1</v>
      </c>
      <c r="AA290" t="s">
        <v>965</v>
      </c>
      <c r="AB290">
        <v>2025</v>
      </c>
      <c r="AC290" t="s">
        <v>49</v>
      </c>
    </row>
    <row r="291" spans="1:29">
      <c r="A291" s="9">
        <v>287</v>
      </c>
      <c r="B291" s="10" t="s">
        <v>3128</v>
      </c>
      <c r="C291" s="9">
        <f t="shared" si="12"/>
        <v>0</v>
      </c>
      <c r="D291" s="9">
        <f t="shared" si="13"/>
        <v>1</v>
      </c>
      <c r="E291" s="11">
        <f t="shared" si="14"/>
        <v>1</v>
      </c>
      <c r="AA291" t="s">
        <v>2172</v>
      </c>
      <c r="AB291">
        <v>2025</v>
      </c>
      <c r="AC291" t="s">
        <v>49</v>
      </c>
    </row>
    <row r="292" spans="1:29">
      <c r="A292" s="9">
        <v>288</v>
      </c>
      <c r="B292" s="10" t="s">
        <v>3196</v>
      </c>
      <c r="C292" s="9">
        <f t="shared" si="12"/>
        <v>0</v>
      </c>
      <c r="D292" s="9">
        <f t="shared" si="13"/>
        <v>1</v>
      </c>
      <c r="E292" s="11">
        <f t="shared" si="14"/>
        <v>1</v>
      </c>
      <c r="AA292" t="s">
        <v>385</v>
      </c>
      <c r="AB292">
        <v>2025</v>
      </c>
      <c r="AC292" t="s">
        <v>49</v>
      </c>
    </row>
    <row r="293" spans="1:29">
      <c r="A293" s="9">
        <v>289</v>
      </c>
      <c r="B293" s="10" t="s">
        <v>3271</v>
      </c>
      <c r="C293" s="9">
        <f t="shared" si="12"/>
        <v>0</v>
      </c>
      <c r="D293" s="9">
        <f t="shared" si="13"/>
        <v>1</v>
      </c>
      <c r="E293" s="11">
        <f t="shared" si="14"/>
        <v>1</v>
      </c>
      <c r="AA293" t="s">
        <v>164</v>
      </c>
      <c r="AB293">
        <v>2024</v>
      </c>
      <c r="AC293" t="s">
        <v>33</v>
      </c>
    </row>
    <row r="294" spans="1:29">
      <c r="A294" s="9">
        <v>290</v>
      </c>
      <c r="B294" s="10" t="s">
        <v>3410</v>
      </c>
      <c r="C294" s="9">
        <f t="shared" si="12"/>
        <v>0</v>
      </c>
      <c r="D294" s="9">
        <f t="shared" si="13"/>
        <v>1</v>
      </c>
      <c r="E294" s="11">
        <f t="shared" si="14"/>
        <v>1</v>
      </c>
      <c r="AA294" t="s">
        <v>2322</v>
      </c>
      <c r="AB294">
        <v>2025</v>
      </c>
      <c r="AC294" t="s">
        <v>33</v>
      </c>
    </row>
    <row r="295" spans="1:29">
      <c r="A295" s="9">
        <v>291</v>
      </c>
      <c r="B295" s="10" t="s">
        <v>3420</v>
      </c>
      <c r="C295" s="9">
        <f t="shared" si="12"/>
        <v>0</v>
      </c>
      <c r="D295" s="9">
        <f t="shared" si="13"/>
        <v>1</v>
      </c>
      <c r="E295" s="11">
        <f t="shared" si="14"/>
        <v>1</v>
      </c>
      <c r="AA295" t="s">
        <v>276</v>
      </c>
      <c r="AB295">
        <v>2025</v>
      </c>
      <c r="AC295" t="s">
        <v>49</v>
      </c>
    </row>
    <row r="296" spans="1:29">
      <c r="A296" s="9">
        <v>292</v>
      </c>
      <c r="B296" s="10" t="s">
        <v>3441</v>
      </c>
      <c r="C296" s="9">
        <f t="shared" si="12"/>
        <v>0</v>
      </c>
      <c r="D296" s="9">
        <f t="shared" si="13"/>
        <v>1</v>
      </c>
      <c r="E296" s="11">
        <f t="shared" si="14"/>
        <v>1</v>
      </c>
      <c r="AA296" t="s">
        <v>2342</v>
      </c>
      <c r="AB296">
        <v>2024</v>
      </c>
      <c r="AC296" t="s">
        <v>33</v>
      </c>
    </row>
    <row r="297" spans="1:29">
      <c r="A297" s="9">
        <v>293</v>
      </c>
      <c r="B297" s="10" t="s">
        <v>3515</v>
      </c>
      <c r="C297" s="9">
        <f t="shared" si="12"/>
        <v>0</v>
      </c>
      <c r="D297" s="9">
        <f t="shared" si="13"/>
        <v>1</v>
      </c>
      <c r="E297" s="11">
        <f t="shared" si="14"/>
        <v>1</v>
      </c>
      <c r="AA297" t="s">
        <v>385</v>
      </c>
      <c r="AB297">
        <v>2025</v>
      </c>
      <c r="AC297" t="s">
        <v>33</v>
      </c>
    </row>
    <row r="298" spans="1:29">
      <c r="A298" s="9">
        <v>294</v>
      </c>
      <c r="B298" s="10" t="s">
        <v>3544</v>
      </c>
      <c r="C298" s="9">
        <f t="shared" si="12"/>
        <v>0</v>
      </c>
      <c r="D298" s="9">
        <f t="shared" si="13"/>
        <v>1</v>
      </c>
      <c r="E298" s="11">
        <f t="shared" si="14"/>
        <v>1</v>
      </c>
      <c r="AA298" t="s">
        <v>2358</v>
      </c>
      <c r="AB298">
        <v>2025</v>
      </c>
      <c r="AC298" t="s">
        <v>33</v>
      </c>
    </row>
    <row r="299" spans="1:29">
      <c r="A299" s="9">
        <v>295</v>
      </c>
      <c r="B299" s="10" t="s">
        <v>3545</v>
      </c>
      <c r="C299" s="9">
        <f t="shared" si="12"/>
        <v>0</v>
      </c>
      <c r="D299" s="9">
        <f t="shared" si="13"/>
        <v>1</v>
      </c>
      <c r="E299" s="11">
        <f t="shared" si="14"/>
        <v>1</v>
      </c>
      <c r="AA299" t="s">
        <v>897</v>
      </c>
      <c r="AB299">
        <v>2024</v>
      </c>
      <c r="AC299" t="s">
        <v>33</v>
      </c>
    </row>
    <row r="300" spans="1:29">
      <c r="A300" s="9">
        <v>296</v>
      </c>
      <c r="B300" s="10" t="s">
        <v>3562</v>
      </c>
      <c r="C300" s="9">
        <f t="shared" si="12"/>
        <v>0</v>
      </c>
      <c r="D300" s="9">
        <f t="shared" si="13"/>
        <v>1</v>
      </c>
      <c r="E300" s="11">
        <f t="shared" si="14"/>
        <v>1</v>
      </c>
      <c r="AA300" t="s">
        <v>897</v>
      </c>
      <c r="AB300">
        <v>2024</v>
      </c>
      <c r="AC300" t="s">
        <v>49</v>
      </c>
    </row>
    <row r="301" spans="1:29">
      <c r="A301" s="9">
        <v>297</v>
      </c>
      <c r="B301" s="10" t="s">
        <v>3590</v>
      </c>
      <c r="C301" s="9">
        <f t="shared" si="12"/>
        <v>0</v>
      </c>
      <c r="D301" s="9">
        <f t="shared" si="13"/>
        <v>1</v>
      </c>
      <c r="E301" s="11">
        <f t="shared" si="14"/>
        <v>1</v>
      </c>
      <c r="AA301" t="s">
        <v>2389</v>
      </c>
      <c r="AB301">
        <v>2024</v>
      </c>
      <c r="AC301" t="s">
        <v>33</v>
      </c>
    </row>
    <row r="302" spans="1:29">
      <c r="A302" s="9">
        <v>298</v>
      </c>
      <c r="B302" s="10" t="s">
        <v>3647</v>
      </c>
      <c r="C302" s="9">
        <f t="shared" si="12"/>
        <v>0</v>
      </c>
      <c r="D302" s="9">
        <f t="shared" si="13"/>
        <v>1</v>
      </c>
      <c r="E302" s="11">
        <f t="shared" si="14"/>
        <v>1</v>
      </c>
      <c r="AA302" t="s">
        <v>1344</v>
      </c>
      <c r="AB302">
        <v>2024</v>
      </c>
      <c r="AC302" t="s">
        <v>33</v>
      </c>
    </row>
    <row r="303" spans="1:29">
      <c r="A303" s="9">
        <v>299</v>
      </c>
      <c r="B303" s="10" t="s">
        <v>3900</v>
      </c>
      <c r="C303" s="9">
        <f t="shared" si="12"/>
        <v>0</v>
      </c>
      <c r="D303" s="9">
        <f t="shared" si="13"/>
        <v>1</v>
      </c>
      <c r="E303" s="11">
        <f t="shared" si="14"/>
        <v>1</v>
      </c>
      <c r="AA303" t="s">
        <v>2402</v>
      </c>
      <c r="AB303">
        <v>2024</v>
      </c>
      <c r="AC303" t="s">
        <v>33</v>
      </c>
    </row>
    <row r="304" spans="1:29">
      <c r="A304" s="9">
        <v>300</v>
      </c>
      <c r="B304" s="10" t="s">
        <v>3901</v>
      </c>
      <c r="C304" s="9">
        <f t="shared" si="12"/>
        <v>0</v>
      </c>
      <c r="D304" s="9">
        <f t="shared" si="13"/>
        <v>1</v>
      </c>
      <c r="E304" s="11">
        <f t="shared" si="14"/>
        <v>1</v>
      </c>
      <c r="AA304" t="s">
        <v>2414</v>
      </c>
      <c r="AB304">
        <v>2024</v>
      </c>
      <c r="AC304" t="s">
        <v>33</v>
      </c>
    </row>
    <row r="305" spans="1:29">
      <c r="A305" s="9">
        <v>301</v>
      </c>
      <c r="B305" s="10" t="s">
        <v>3902</v>
      </c>
      <c r="C305" s="9">
        <f t="shared" si="12"/>
        <v>0</v>
      </c>
      <c r="D305" s="9">
        <f t="shared" si="13"/>
        <v>1</v>
      </c>
      <c r="E305" s="11">
        <f t="shared" si="14"/>
        <v>1</v>
      </c>
      <c r="AA305" t="s">
        <v>2415</v>
      </c>
      <c r="AB305">
        <v>2024</v>
      </c>
      <c r="AC305" t="s">
        <v>33</v>
      </c>
    </row>
    <row r="306" spans="1:29">
      <c r="A306" s="9">
        <v>302</v>
      </c>
      <c r="B306" s="10" t="s">
        <v>3911</v>
      </c>
      <c r="C306" s="9">
        <f t="shared" si="12"/>
        <v>0</v>
      </c>
      <c r="D306" s="9">
        <f t="shared" si="13"/>
        <v>1</v>
      </c>
      <c r="E306" s="11">
        <f t="shared" si="14"/>
        <v>1</v>
      </c>
      <c r="AA306" t="s">
        <v>2416</v>
      </c>
      <c r="AB306">
        <v>2024</v>
      </c>
      <c r="AC306" t="s">
        <v>33</v>
      </c>
    </row>
    <row r="307" spans="1:29">
      <c r="A307" s="9">
        <v>303</v>
      </c>
      <c r="B307" s="10" t="s">
        <v>3944</v>
      </c>
      <c r="C307" s="9">
        <f t="shared" si="12"/>
        <v>0</v>
      </c>
      <c r="D307" s="9">
        <f t="shared" si="13"/>
        <v>1</v>
      </c>
      <c r="E307" s="11">
        <f t="shared" si="14"/>
        <v>1</v>
      </c>
      <c r="AA307" t="s">
        <v>1282</v>
      </c>
      <c r="AB307">
        <v>2025</v>
      </c>
      <c r="AC307" t="s">
        <v>33</v>
      </c>
    </row>
    <row r="308" spans="1:29">
      <c r="A308" s="9">
        <v>304</v>
      </c>
      <c r="B308" s="10" t="s">
        <v>3969</v>
      </c>
      <c r="C308" s="9">
        <f t="shared" si="12"/>
        <v>0</v>
      </c>
      <c r="D308" s="9">
        <f t="shared" si="13"/>
        <v>1</v>
      </c>
      <c r="E308" s="11">
        <f t="shared" si="14"/>
        <v>1</v>
      </c>
      <c r="AA308" t="s">
        <v>22</v>
      </c>
      <c r="AB308">
        <v>2025</v>
      </c>
      <c r="AC308" t="s">
        <v>33</v>
      </c>
    </row>
    <row r="309" spans="1:29">
      <c r="A309" s="9">
        <v>305</v>
      </c>
      <c r="B309" s="10" t="s">
        <v>4017</v>
      </c>
      <c r="C309" s="9">
        <f t="shared" si="12"/>
        <v>0</v>
      </c>
      <c r="D309" s="9">
        <f t="shared" si="13"/>
        <v>1</v>
      </c>
      <c r="E309" s="11">
        <f t="shared" si="14"/>
        <v>1</v>
      </c>
      <c r="AA309" t="s">
        <v>2445</v>
      </c>
      <c r="AB309">
        <v>2025</v>
      </c>
      <c r="AC309" t="s">
        <v>33</v>
      </c>
    </row>
    <row r="310" spans="1:29">
      <c r="A310" s="9">
        <v>306</v>
      </c>
      <c r="B310" s="10" t="s">
        <v>4028</v>
      </c>
      <c r="C310" s="9">
        <f t="shared" si="12"/>
        <v>0</v>
      </c>
      <c r="D310" s="9">
        <f t="shared" si="13"/>
        <v>1</v>
      </c>
      <c r="E310" s="11">
        <f t="shared" si="14"/>
        <v>1</v>
      </c>
      <c r="AA310" t="s">
        <v>2455</v>
      </c>
      <c r="AB310">
        <v>2024</v>
      </c>
      <c r="AC310" t="s">
        <v>33</v>
      </c>
    </row>
    <row r="311" spans="1:29">
      <c r="A311" s="9">
        <v>307</v>
      </c>
      <c r="B311" s="10" t="s">
        <v>4084</v>
      </c>
      <c r="C311" s="9">
        <f t="shared" si="12"/>
        <v>0</v>
      </c>
      <c r="D311" s="9">
        <f t="shared" si="13"/>
        <v>1</v>
      </c>
      <c r="E311" s="11">
        <f t="shared" si="14"/>
        <v>1</v>
      </c>
      <c r="AA311" t="s">
        <v>2467</v>
      </c>
      <c r="AB311">
        <v>2024</v>
      </c>
      <c r="AC311" t="s">
        <v>33</v>
      </c>
    </row>
    <row r="312" spans="1:29">
      <c r="A312" s="9">
        <v>308</v>
      </c>
      <c r="B312" s="10" t="s">
        <v>4171</v>
      </c>
      <c r="C312" s="9">
        <f t="shared" si="12"/>
        <v>0</v>
      </c>
      <c r="D312" s="9">
        <f t="shared" si="13"/>
        <v>1</v>
      </c>
      <c r="E312" s="11">
        <f t="shared" si="14"/>
        <v>1</v>
      </c>
      <c r="AA312" t="s">
        <v>2478</v>
      </c>
      <c r="AB312">
        <v>2024</v>
      </c>
      <c r="AC312" t="s">
        <v>33</v>
      </c>
    </row>
    <row r="313" spans="1:29">
      <c r="A313" s="9">
        <v>309</v>
      </c>
      <c r="B313" s="10" t="s">
        <v>4190</v>
      </c>
      <c r="C313" s="9">
        <f t="shared" si="12"/>
        <v>0</v>
      </c>
      <c r="D313" s="9">
        <f t="shared" si="13"/>
        <v>1</v>
      </c>
      <c r="E313" s="11">
        <f t="shared" si="14"/>
        <v>1</v>
      </c>
      <c r="AA313" t="s">
        <v>113</v>
      </c>
      <c r="AB313">
        <v>2025</v>
      </c>
      <c r="AC313" t="s">
        <v>33</v>
      </c>
    </row>
    <row r="314" spans="1:29">
      <c r="A314" s="9">
        <v>310</v>
      </c>
      <c r="B314" s="10" t="s">
        <v>4250</v>
      </c>
      <c r="C314" s="9">
        <f t="shared" si="12"/>
        <v>0</v>
      </c>
      <c r="D314" s="9">
        <f t="shared" si="13"/>
        <v>1</v>
      </c>
      <c r="E314" s="11">
        <f t="shared" si="14"/>
        <v>1</v>
      </c>
      <c r="AA314" t="s">
        <v>39</v>
      </c>
      <c r="AB314">
        <v>2024</v>
      </c>
      <c r="AC314" t="s">
        <v>33</v>
      </c>
    </row>
    <row r="315" spans="1:29">
      <c r="A315" s="9">
        <v>311</v>
      </c>
      <c r="B315" s="10" t="s">
        <v>4283</v>
      </c>
      <c r="C315" s="9">
        <f t="shared" si="12"/>
        <v>0</v>
      </c>
      <c r="D315" s="9">
        <f t="shared" si="13"/>
        <v>1</v>
      </c>
      <c r="E315" s="11">
        <f t="shared" si="14"/>
        <v>1</v>
      </c>
      <c r="AA315" t="s">
        <v>897</v>
      </c>
      <c r="AB315">
        <v>2024</v>
      </c>
      <c r="AC315" t="s">
        <v>33</v>
      </c>
    </row>
    <row r="316" spans="1:29">
      <c r="A316" s="9">
        <v>312</v>
      </c>
      <c r="B316" s="10" t="s">
        <v>4312</v>
      </c>
      <c r="C316" s="9">
        <f t="shared" si="12"/>
        <v>0</v>
      </c>
      <c r="D316" s="9">
        <f t="shared" si="13"/>
        <v>1</v>
      </c>
      <c r="E316" s="11">
        <f t="shared" si="14"/>
        <v>1</v>
      </c>
      <c r="AA316" t="s">
        <v>622</v>
      </c>
      <c r="AB316">
        <v>2024</v>
      </c>
      <c r="AC316" t="s">
        <v>33</v>
      </c>
    </row>
    <row r="317" spans="1:29">
      <c r="A317" s="9">
        <v>313</v>
      </c>
      <c r="B317" s="10" t="s">
        <v>4344</v>
      </c>
      <c r="C317" s="9">
        <f t="shared" si="12"/>
        <v>0</v>
      </c>
      <c r="D317" s="9">
        <f t="shared" si="13"/>
        <v>1</v>
      </c>
      <c r="E317" s="11">
        <f t="shared" si="14"/>
        <v>1</v>
      </c>
      <c r="AA317" t="s">
        <v>276</v>
      </c>
      <c r="AB317">
        <v>2025</v>
      </c>
      <c r="AC317" t="s">
        <v>49</v>
      </c>
    </row>
    <row r="318" spans="1:29">
      <c r="A318" s="9">
        <v>314</v>
      </c>
      <c r="B318" s="10" t="s">
        <v>4376</v>
      </c>
      <c r="C318" s="9">
        <f t="shared" si="12"/>
        <v>0</v>
      </c>
      <c r="D318" s="9">
        <f t="shared" si="13"/>
        <v>1</v>
      </c>
      <c r="E318" s="11">
        <f t="shared" si="14"/>
        <v>1</v>
      </c>
      <c r="AA318" t="s">
        <v>1024</v>
      </c>
      <c r="AB318">
        <v>2025</v>
      </c>
      <c r="AC318" t="s">
        <v>33</v>
      </c>
    </row>
    <row r="319" spans="1:29">
      <c r="A319" s="9">
        <v>315</v>
      </c>
      <c r="B319" s="10" t="s">
        <v>4388</v>
      </c>
      <c r="C319" s="9">
        <f t="shared" si="12"/>
        <v>0</v>
      </c>
      <c r="D319" s="9">
        <f t="shared" si="13"/>
        <v>1</v>
      </c>
      <c r="E319" s="11">
        <f t="shared" si="14"/>
        <v>1</v>
      </c>
      <c r="AA319" t="s">
        <v>1013</v>
      </c>
      <c r="AB319">
        <v>2025</v>
      </c>
      <c r="AC319" t="s">
        <v>33</v>
      </c>
    </row>
    <row r="320" spans="1:29">
      <c r="A320" s="9">
        <v>316</v>
      </c>
      <c r="B320" s="10" t="s">
        <v>4389</v>
      </c>
      <c r="C320" s="9">
        <f t="shared" si="12"/>
        <v>0</v>
      </c>
      <c r="D320" s="9">
        <f t="shared" si="13"/>
        <v>1</v>
      </c>
      <c r="E320" s="11">
        <f t="shared" si="14"/>
        <v>1</v>
      </c>
      <c r="AA320" t="s">
        <v>276</v>
      </c>
      <c r="AB320">
        <v>2025</v>
      </c>
      <c r="AC320" t="s">
        <v>49</v>
      </c>
    </row>
    <row r="321" spans="1:29">
      <c r="A321" s="9">
        <v>317</v>
      </c>
      <c r="B321" s="10" t="s">
        <v>4396</v>
      </c>
      <c r="C321" s="9">
        <f t="shared" si="12"/>
        <v>0</v>
      </c>
      <c r="D321" s="9">
        <f t="shared" si="13"/>
        <v>1</v>
      </c>
      <c r="E321" s="11">
        <f t="shared" si="14"/>
        <v>1</v>
      </c>
      <c r="AA321" t="s">
        <v>2553</v>
      </c>
      <c r="AB321">
        <v>2025</v>
      </c>
      <c r="AC321" t="s">
        <v>33</v>
      </c>
    </row>
    <row r="322" spans="1:29">
      <c r="A322" s="9">
        <v>318</v>
      </c>
      <c r="B322" s="10" t="s">
        <v>4397</v>
      </c>
      <c r="C322" s="9">
        <f t="shared" si="12"/>
        <v>0</v>
      </c>
      <c r="D322" s="9">
        <f t="shared" si="13"/>
        <v>1</v>
      </c>
      <c r="E322" s="11">
        <f t="shared" si="14"/>
        <v>1</v>
      </c>
      <c r="AA322" t="s">
        <v>2563</v>
      </c>
      <c r="AB322">
        <v>2025</v>
      </c>
      <c r="AC322" t="s">
        <v>33</v>
      </c>
    </row>
    <row r="323" spans="1:29">
      <c r="A323" s="9">
        <v>319</v>
      </c>
      <c r="B323" s="10" t="s">
        <v>4412</v>
      </c>
      <c r="C323" s="9">
        <f t="shared" si="12"/>
        <v>0</v>
      </c>
      <c r="D323" s="9">
        <f t="shared" si="13"/>
        <v>1</v>
      </c>
      <c r="E323" s="11">
        <f t="shared" si="14"/>
        <v>1</v>
      </c>
      <c r="AA323" t="s">
        <v>1916</v>
      </c>
      <c r="AB323">
        <v>2025</v>
      </c>
      <c r="AC323" t="s">
        <v>33</v>
      </c>
    </row>
    <row r="324" spans="1:29">
      <c r="A324" s="9">
        <v>320</v>
      </c>
      <c r="B324" s="10" t="s">
        <v>4478</v>
      </c>
      <c r="C324" s="9">
        <f t="shared" si="12"/>
        <v>0</v>
      </c>
      <c r="D324" s="9">
        <f t="shared" si="13"/>
        <v>1</v>
      </c>
      <c r="E324" s="11">
        <f t="shared" si="14"/>
        <v>1</v>
      </c>
      <c r="AA324" t="s">
        <v>1344</v>
      </c>
      <c r="AB324">
        <v>2025</v>
      </c>
      <c r="AC324" t="s">
        <v>33</v>
      </c>
    </row>
    <row r="325" spans="1:29">
      <c r="A325" s="9">
        <v>321</v>
      </c>
      <c r="B325" s="10" t="s">
        <v>4491</v>
      </c>
      <c r="C325" s="9">
        <f t="shared" ref="C325:C388" si="15">COUNTIFS($AA:$AA,$B325,$AB:$AB,2024)</f>
        <v>0</v>
      </c>
      <c r="D325" s="9">
        <f t="shared" ref="D325:D388" si="16">COUNTIFS($AA:$AA,$B325,$AB:$AB,2025)</f>
        <v>1</v>
      </c>
      <c r="E325" s="11">
        <f t="shared" ref="E325:E388" si="17">C325+D325</f>
        <v>1</v>
      </c>
      <c r="AA325" t="s">
        <v>2564</v>
      </c>
      <c r="AB325">
        <v>2025</v>
      </c>
      <c r="AC325" t="s">
        <v>33</v>
      </c>
    </row>
    <row r="326" spans="1:29">
      <c r="A326" s="9">
        <v>322</v>
      </c>
      <c r="B326" s="10" t="s">
        <v>4503</v>
      </c>
      <c r="C326" s="9">
        <f t="shared" si="15"/>
        <v>0</v>
      </c>
      <c r="D326" s="9">
        <f t="shared" si="16"/>
        <v>1</v>
      </c>
      <c r="E326" s="11">
        <f t="shared" si="17"/>
        <v>1</v>
      </c>
      <c r="AA326" t="s">
        <v>2572</v>
      </c>
      <c r="AB326">
        <v>2024</v>
      </c>
      <c r="AC326" t="s">
        <v>1125</v>
      </c>
    </row>
    <row r="327" spans="1:29">
      <c r="A327" s="9">
        <v>323</v>
      </c>
      <c r="B327" s="10" t="s">
        <v>4521</v>
      </c>
      <c r="C327" s="9">
        <f t="shared" si="15"/>
        <v>0</v>
      </c>
      <c r="D327" s="9">
        <f t="shared" si="16"/>
        <v>1</v>
      </c>
      <c r="E327" s="11">
        <f t="shared" si="17"/>
        <v>1</v>
      </c>
      <c r="AA327" t="s">
        <v>2580</v>
      </c>
      <c r="AB327">
        <v>2025</v>
      </c>
      <c r="AC327" t="s">
        <v>33</v>
      </c>
    </row>
    <row r="328" spans="1:29">
      <c r="A328" s="9">
        <v>324</v>
      </c>
      <c r="B328" s="10" t="s">
        <v>4531</v>
      </c>
      <c r="C328" s="9">
        <f t="shared" si="15"/>
        <v>0</v>
      </c>
      <c r="D328" s="9">
        <f t="shared" si="16"/>
        <v>1</v>
      </c>
      <c r="E328" s="11">
        <f t="shared" si="17"/>
        <v>1</v>
      </c>
      <c r="AA328" t="s">
        <v>789</v>
      </c>
      <c r="AB328">
        <v>2025</v>
      </c>
      <c r="AC328" t="s">
        <v>49</v>
      </c>
    </row>
    <row r="329" spans="1:29">
      <c r="A329" s="9">
        <v>325</v>
      </c>
      <c r="B329" s="10" t="s">
        <v>4554</v>
      </c>
      <c r="C329" s="9">
        <f t="shared" si="15"/>
        <v>0</v>
      </c>
      <c r="D329" s="9">
        <f t="shared" si="16"/>
        <v>1</v>
      </c>
      <c r="E329" s="11">
        <f t="shared" si="17"/>
        <v>1</v>
      </c>
      <c r="AA329" t="s">
        <v>4644</v>
      </c>
      <c r="AB329">
        <v>2025</v>
      </c>
      <c r="AC329" t="s">
        <v>644</v>
      </c>
    </row>
    <row r="330" spans="1:29">
      <c r="A330" s="9">
        <v>326</v>
      </c>
      <c r="B330" s="10" t="s">
        <v>4559</v>
      </c>
      <c r="C330" s="9">
        <f t="shared" si="15"/>
        <v>0</v>
      </c>
      <c r="D330" s="9">
        <f t="shared" si="16"/>
        <v>1</v>
      </c>
      <c r="E330" s="11">
        <f t="shared" si="17"/>
        <v>1</v>
      </c>
      <c r="AA330" t="s">
        <v>2607</v>
      </c>
      <c r="AB330">
        <v>2025</v>
      </c>
      <c r="AC330" t="s">
        <v>644</v>
      </c>
    </row>
    <row r="331" spans="1:29">
      <c r="A331" s="9">
        <v>327</v>
      </c>
      <c r="B331" s="10" t="s">
        <v>4572</v>
      </c>
      <c r="C331" s="9">
        <f t="shared" si="15"/>
        <v>0</v>
      </c>
      <c r="D331" s="9">
        <f t="shared" si="16"/>
        <v>1</v>
      </c>
      <c r="E331" s="11">
        <f t="shared" si="17"/>
        <v>1</v>
      </c>
      <c r="AA331" t="s">
        <v>2608</v>
      </c>
      <c r="AB331">
        <v>2025</v>
      </c>
      <c r="AC331" t="s">
        <v>644</v>
      </c>
    </row>
    <row r="332" spans="1:29">
      <c r="A332" s="9">
        <v>328</v>
      </c>
      <c r="B332" s="10" t="s">
        <v>4594</v>
      </c>
      <c r="C332" s="9">
        <f t="shared" si="15"/>
        <v>0</v>
      </c>
      <c r="D332" s="9">
        <f t="shared" si="16"/>
        <v>1</v>
      </c>
      <c r="E332" s="11">
        <f t="shared" si="17"/>
        <v>1</v>
      </c>
      <c r="AA332" t="s">
        <v>1344</v>
      </c>
      <c r="AB332">
        <v>2025</v>
      </c>
      <c r="AC332" t="s">
        <v>644</v>
      </c>
    </row>
    <row r="333" spans="1:29">
      <c r="A333" s="9">
        <v>329</v>
      </c>
      <c r="B333" s="10" t="s">
        <v>4607</v>
      </c>
      <c r="C333" s="9">
        <f t="shared" si="15"/>
        <v>0</v>
      </c>
      <c r="D333" s="9">
        <f t="shared" si="16"/>
        <v>1</v>
      </c>
      <c r="E333" s="11">
        <f t="shared" si="17"/>
        <v>1</v>
      </c>
      <c r="AA333" t="s">
        <v>1282</v>
      </c>
      <c r="AB333">
        <v>2024</v>
      </c>
      <c r="AC333" t="s">
        <v>33</v>
      </c>
    </row>
    <row r="334" spans="1:29">
      <c r="A334" s="9">
        <v>330</v>
      </c>
      <c r="B334" s="10" t="s">
        <v>4618</v>
      </c>
      <c r="C334" s="9">
        <f t="shared" si="15"/>
        <v>0</v>
      </c>
      <c r="D334" s="9">
        <f t="shared" si="16"/>
        <v>1</v>
      </c>
      <c r="E334" s="11">
        <f t="shared" si="17"/>
        <v>1</v>
      </c>
      <c r="AA334" t="s">
        <v>1344</v>
      </c>
      <c r="AB334">
        <v>2024</v>
      </c>
      <c r="AC334" t="s">
        <v>33</v>
      </c>
    </row>
    <row r="335" spans="1:29">
      <c r="A335" s="9">
        <v>331</v>
      </c>
      <c r="B335" s="10" t="s">
        <v>4628</v>
      </c>
      <c r="C335" s="9">
        <f t="shared" si="15"/>
        <v>0</v>
      </c>
      <c r="D335" s="9">
        <f t="shared" si="16"/>
        <v>1</v>
      </c>
      <c r="E335" s="11">
        <f t="shared" si="17"/>
        <v>1</v>
      </c>
      <c r="AA335" t="s">
        <v>1916</v>
      </c>
      <c r="AB335">
        <v>2024</v>
      </c>
      <c r="AC335" t="s">
        <v>33</v>
      </c>
    </row>
    <row r="336" spans="1:29">
      <c r="A336" s="9">
        <v>332</v>
      </c>
      <c r="B336" s="10" t="s">
        <v>4655</v>
      </c>
      <c r="C336" s="9">
        <f t="shared" si="15"/>
        <v>0</v>
      </c>
      <c r="D336" s="9">
        <f t="shared" si="16"/>
        <v>1</v>
      </c>
      <c r="E336" s="11">
        <f t="shared" si="17"/>
        <v>1</v>
      </c>
      <c r="AA336" t="s">
        <v>1967</v>
      </c>
      <c r="AB336">
        <v>2024</v>
      </c>
      <c r="AC336" t="s">
        <v>33</v>
      </c>
    </row>
    <row r="337" spans="1:29">
      <c r="A337" s="9">
        <v>333</v>
      </c>
      <c r="B337" s="10" t="s">
        <v>4667</v>
      </c>
      <c r="C337" s="9">
        <f t="shared" si="15"/>
        <v>0</v>
      </c>
      <c r="D337" s="9">
        <f t="shared" si="16"/>
        <v>1</v>
      </c>
      <c r="E337" s="11">
        <f t="shared" si="17"/>
        <v>1</v>
      </c>
      <c r="AA337" t="s">
        <v>2629</v>
      </c>
      <c r="AB337">
        <v>2024</v>
      </c>
      <c r="AC337" t="s">
        <v>33</v>
      </c>
    </row>
    <row r="338" spans="1:29">
      <c r="A338" s="9">
        <v>334</v>
      </c>
      <c r="B338" s="10" t="s">
        <v>4701</v>
      </c>
      <c r="C338" s="9">
        <f t="shared" si="15"/>
        <v>0</v>
      </c>
      <c r="D338" s="9">
        <f t="shared" si="16"/>
        <v>1</v>
      </c>
      <c r="E338" s="11">
        <f t="shared" si="17"/>
        <v>1</v>
      </c>
      <c r="AA338" t="s">
        <v>433</v>
      </c>
      <c r="AB338">
        <v>2024</v>
      </c>
      <c r="AC338" t="s">
        <v>33</v>
      </c>
    </row>
    <row r="339" spans="1:29">
      <c r="A339" s="9">
        <v>335</v>
      </c>
      <c r="B339" s="10" t="s">
        <v>4743</v>
      </c>
      <c r="C339" s="9">
        <f t="shared" si="15"/>
        <v>0</v>
      </c>
      <c r="D339" s="9">
        <f t="shared" si="16"/>
        <v>1</v>
      </c>
      <c r="E339" s="11">
        <f t="shared" si="17"/>
        <v>1</v>
      </c>
      <c r="AA339" t="s">
        <v>1969</v>
      </c>
      <c r="AB339">
        <v>2024</v>
      </c>
      <c r="AC339" t="s">
        <v>33</v>
      </c>
    </row>
    <row r="340" spans="1:29">
      <c r="A340" s="9">
        <v>336</v>
      </c>
      <c r="B340" s="10" t="s">
        <v>4756</v>
      </c>
      <c r="C340" s="9">
        <f t="shared" si="15"/>
        <v>0</v>
      </c>
      <c r="D340" s="9">
        <f t="shared" si="16"/>
        <v>1</v>
      </c>
      <c r="E340" s="11">
        <f t="shared" si="17"/>
        <v>1</v>
      </c>
      <c r="AA340" t="s">
        <v>2630</v>
      </c>
      <c r="AB340">
        <v>2024</v>
      </c>
      <c r="AC340" t="s">
        <v>33</v>
      </c>
    </row>
    <row r="341" spans="1:29">
      <c r="A341" s="9">
        <v>337</v>
      </c>
      <c r="B341" s="10" t="s">
        <v>4768</v>
      </c>
      <c r="C341" s="9">
        <f t="shared" si="15"/>
        <v>0</v>
      </c>
      <c r="D341" s="9">
        <f t="shared" si="16"/>
        <v>1</v>
      </c>
      <c r="E341" s="11">
        <f t="shared" si="17"/>
        <v>1</v>
      </c>
      <c r="AA341" t="s">
        <v>2640</v>
      </c>
      <c r="AB341">
        <v>2025</v>
      </c>
      <c r="AC341" t="s">
        <v>33</v>
      </c>
    </row>
    <row r="342" spans="1:29">
      <c r="A342" s="9">
        <v>338</v>
      </c>
      <c r="B342" s="10" t="s">
        <v>4789</v>
      </c>
      <c r="C342" s="9">
        <f t="shared" si="15"/>
        <v>0</v>
      </c>
      <c r="D342" s="9">
        <f t="shared" si="16"/>
        <v>1</v>
      </c>
      <c r="E342" s="11">
        <f t="shared" si="17"/>
        <v>1</v>
      </c>
      <c r="AA342" t="s">
        <v>39</v>
      </c>
      <c r="AB342">
        <v>2025</v>
      </c>
      <c r="AC342" t="s">
        <v>33</v>
      </c>
    </row>
    <row r="343" spans="1:29">
      <c r="A343" s="9">
        <v>339</v>
      </c>
      <c r="B343" s="10" t="s">
        <v>4907</v>
      </c>
      <c r="C343" s="9">
        <f t="shared" si="15"/>
        <v>0</v>
      </c>
      <c r="D343" s="9">
        <f t="shared" si="16"/>
        <v>1</v>
      </c>
      <c r="E343" s="11">
        <f t="shared" si="17"/>
        <v>1</v>
      </c>
      <c r="AA343" t="s">
        <v>1983</v>
      </c>
      <c r="AB343">
        <v>2025</v>
      </c>
      <c r="AC343" t="s">
        <v>33</v>
      </c>
    </row>
    <row r="344" spans="1:29">
      <c r="A344" s="9">
        <v>340</v>
      </c>
      <c r="B344" s="10" t="s">
        <v>4916</v>
      </c>
      <c r="C344" s="9">
        <f t="shared" si="15"/>
        <v>0</v>
      </c>
      <c r="D344" s="9">
        <f t="shared" si="16"/>
        <v>1</v>
      </c>
      <c r="E344" s="11">
        <f t="shared" si="17"/>
        <v>1</v>
      </c>
      <c r="AA344" t="s">
        <v>2672</v>
      </c>
      <c r="AB344">
        <v>2024</v>
      </c>
      <c r="AC344" t="s">
        <v>33</v>
      </c>
    </row>
    <row r="345" spans="1:29">
      <c r="A345" s="9">
        <v>341</v>
      </c>
      <c r="B345" s="10" t="s">
        <v>4923</v>
      </c>
      <c r="C345" s="9">
        <f t="shared" si="15"/>
        <v>0</v>
      </c>
      <c r="D345" s="9">
        <f t="shared" si="16"/>
        <v>1</v>
      </c>
      <c r="E345" s="11">
        <f t="shared" si="17"/>
        <v>1</v>
      </c>
      <c r="AA345" t="s">
        <v>2683</v>
      </c>
      <c r="AB345">
        <v>2024</v>
      </c>
      <c r="AC345" t="s">
        <v>33</v>
      </c>
    </row>
    <row r="346" spans="1:29">
      <c r="A346" s="9">
        <v>342</v>
      </c>
      <c r="B346" s="10" t="s">
        <v>4935</v>
      </c>
      <c r="C346" s="9">
        <f t="shared" si="15"/>
        <v>0</v>
      </c>
      <c r="D346" s="9">
        <f t="shared" si="16"/>
        <v>1</v>
      </c>
      <c r="E346" s="11">
        <f t="shared" si="17"/>
        <v>1</v>
      </c>
      <c r="AA346" t="s">
        <v>39</v>
      </c>
      <c r="AB346">
        <v>2024</v>
      </c>
      <c r="AC346" t="s">
        <v>33</v>
      </c>
    </row>
    <row r="347" spans="1:29">
      <c r="A347" s="9">
        <v>343</v>
      </c>
      <c r="B347" s="10" t="s">
        <v>4936</v>
      </c>
      <c r="C347" s="9">
        <f t="shared" si="15"/>
        <v>0</v>
      </c>
      <c r="D347" s="9">
        <f t="shared" si="16"/>
        <v>1</v>
      </c>
      <c r="E347" s="11">
        <f t="shared" si="17"/>
        <v>1</v>
      </c>
      <c r="AA347" t="s">
        <v>921</v>
      </c>
      <c r="AB347">
        <v>2025</v>
      </c>
      <c r="AC347" t="s">
        <v>33</v>
      </c>
    </row>
    <row r="348" spans="1:29">
      <c r="A348" s="9">
        <v>344</v>
      </c>
      <c r="B348" s="10" t="s">
        <v>4937</v>
      </c>
      <c r="C348" s="9">
        <f t="shared" si="15"/>
        <v>0</v>
      </c>
      <c r="D348" s="9">
        <f t="shared" si="16"/>
        <v>1</v>
      </c>
      <c r="E348" s="11">
        <f t="shared" si="17"/>
        <v>1</v>
      </c>
      <c r="AA348" t="s">
        <v>996</v>
      </c>
      <c r="AB348">
        <v>2025</v>
      </c>
      <c r="AC348" t="s">
        <v>33</v>
      </c>
    </row>
    <row r="349" spans="1:29">
      <c r="A349" s="9">
        <v>345</v>
      </c>
      <c r="B349" s="10" t="s">
        <v>4938</v>
      </c>
      <c r="C349" s="9">
        <f t="shared" si="15"/>
        <v>0</v>
      </c>
      <c r="D349" s="9">
        <f t="shared" si="16"/>
        <v>1</v>
      </c>
      <c r="E349" s="11">
        <f t="shared" si="17"/>
        <v>1</v>
      </c>
      <c r="AA349" t="s">
        <v>2018</v>
      </c>
      <c r="AB349">
        <v>2025</v>
      </c>
      <c r="AC349" t="s">
        <v>33</v>
      </c>
    </row>
    <row r="350" spans="1:29">
      <c r="A350" s="9">
        <v>346</v>
      </c>
      <c r="B350" s="10" t="s">
        <v>4939</v>
      </c>
      <c r="C350" s="9">
        <f t="shared" si="15"/>
        <v>0</v>
      </c>
      <c r="D350" s="9">
        <f t="shared" si="16"/>
        <v>1</v>
      </c>
      <c r="E350" s="11">
        <f t="shared" si="17"/>
        <v>1</v>
      </c>
      <c r="AA350" t="s">
        <v>2727</v>
      </c>
      <c r="AB350">
        <v>2025</v>
      </c>
      <c r="AC350" t="s">
        <v>33</v>
      </c>
    </row>
    <row r="351" spans="1:29">
      <c r="A351" s="9">
        <v>347</v>
      </c>
      <c r="B351" s="10" t="s">
        <v>4948</v>
      </c>
      <c r="C351" s="9">
        <f t="shared" si="15"/>
        <v>0</v>
      </c>
      <c r="D351" s="9">
        <f t="shared" si="16"/>
        <v>1</v>
      </c>
      <c r="E351" s="11">
        <f t="shared" si="17"/>
        <v>1</v>
      </c>
      <c r="AA351" t="s">
        <v>2728</v>
      </c>
      <c r="AB351">
        <v>2024</v>
      </c>
      <c r="AC351" t="s">
        <v>33</v>
      </c>
    </row>
    <row r="352" spans="1:29">
      <c r="A352" s="9">
        <v>348</v>
      </c>
      <c r="B352" s="10" t="s">
        <v>4971</v>
      </c>
      <c r="C352" s="9">
        <f t="shared" si="15"/>
        <v>0</v>
      </c>
      <c r="D352" s="9">
        <f t="shared" si="16"/>
        <v>1</v>
      </c>
      <c r="E352" s="11">
        <f t="shared" si="17"/>
        <v>1</v>
      </c>
      <c r="AA352" t="s">
        <v>276</v>
      </c>
      <c r="AB352">
        <v>2025</v>
      </c>
      <c r="AC352" t="s">
        <v>49</v>
      </c>
    </row>
    <row r="353" spans="1:29">
      <c r="A353" s="9">
        <v>349</v>
      </c>
      <c r="B353" s="10" t="s">
        <v>5027</v>
      </c>
      <c r="C353" s="9">
        <f t="shared" si="15"/>
        <v>0</v>
      </c>
      <c r="D353" s="9">
        <f t="shared" si="16"/>
        <v>1</v>
      </c>
      <c r="E353" s="11">
        <f t="shared" si="17"/>
        <v>1</v>
      </c>
      <c r="AA353" t="s">
        <v>2749</v>
      </c>
      <c r="AB353">
        <v>2024</v>
      </c>
      <c r="AC353" t="s">
        <v>33</v>
      </c>
    </row>
    <row r="354" spans="1:29">
      <c r="A354" s="9">
        <v>350</v>
      </c>
      <c r="B354" s="10" t="s">
        <v>5052</v>
      </c>
      <c r="C354" s="9">
        <f t="shared" si="15"/>
        <v>0</v>
      </c>
      <c r="D354" s="9">
        <f t="shared" si="16"/>
        <v>1</v>
      </c>
      <c r="E354" s="11">
        <f t="shared" si="17"/>
        <v>1</v>
      </c>
      <c r="AA354" t="s">
        <v>385</v>
      </c>
      <c r="AB354">
        <v>2024</v>
      </c>
      <c r="AC354" t="s">
        <v>33</v>
      </c>
    </row>
    <row r="355" spans="1:29">
      <c r="A355" s="9">
        <v>351</v>
      </c>
      <c r="B355" s="10" t="s">
        <v>5093</v>
      </c>
      <c r="C355" s="9">
        <f t="shared" si="15"/>
        <v>0</v>
      </c>
      <c r="D355" s="9">
        <f t="shared" si="16"/>
        <v>1</v>
      </c>
      <c r="E355" s="11">
        <f t="shared" si="17"/>
        <v>1</v>
      </c>
      <c r="AA355" t="s">
        <v>384</v>
      </c>
      <c r="AB355">
        <v>2024</v>
      </c>
      <c r="AC355" t="s">
        <v>33</v>
      </c>
    </row>
    <row r="356" spans="1:29">
      <c r="A356" s="9">
        <v>352</v>
      </c>
      <c r="B356" s="10" t="s">
        <v>5154</v>
      </c>
      <c r="C356" s="9">
        <f t="shared" si="15"/>
        <v>0</v>
      </c>
      <c r="D356" s="9">
        <f t="shared" si="16"/>
        <v>1</v>
      </c>
      <c r="E356" s="11">
        <f t="shared" si="17"/>
        <v>1</v>
      </c>
      <c r="AA356" t="s">
        <v>422</v>
      </c>
      <c r="AB356">
        <v>2025</v>
      </c>
      <c r="AC356" t="s">
        <v>49</v>
      </c>
    </row>
    <row r="357" spans="1:29">
      <c r="A357" s="9">
        <v>353</v>
      </c>
      <c r="B357" s="10" t="s">
        <v>5173</v>
      </c>
      <c r="C357" s="9">
        <f t="shared" si="15"/>
        <v>0</v>
      </c>
      <c r="D357" s="9">
        <f t="shared" si="16"/>
        <v>1</v>
      </c>
      <c r="E357" s="11">
        <f t="shared" si="17"/>
        <v>1</v>
      </c>
      <c r="AA357" t="s">
        <v>2763</v>
      </c>
      <c r="AB357">
        <v>2025</v>
      </c>
      <c r="AC357" t="s">
        <v>33</v>
      </c>
    </row>
    <row r="358" spans="1:29">
      <c r="A358" s="9">
        <v>354</v>
      </c>
      <c r="B358" s="10" t="s">
        <v>5190</v>
      </c>
      <c r="C358" s="9">
        <f t="shared" si="15"/>
        <v>0</v>
      </c>
      <c r="D358" s="9">
        <f t="shared" si="16"/>
        <v>1</v>
      </c>
      <c r="E358" s="11">
        <f t="shared" si="17"/>
        <v>1</v>
      </c>
      <c r="AA358" t="s">
        <v>2774</v>
      </c>
      <c r="AB358">
        <v>2025</v>
      </c>
      <c r="AC358" t="s">
        <v>33</v>
      </c>
    </row>
    <row r="359" spans="1:29">
      <c r="A359" s="9">
        <v>355</v>
      </c>
      <c r="B359" s="10" t="s">
        <v>5243</v>
      </c>
      <c r="C359" s="9">
        <f t="shared" si="15"/>
        <v>0</v>
      </c>
      <c r="D359" s="9">
        <f t="shared" si="16"/>
        <v>1</v>
      </c>
      <c r="E359" s="11">
        <f t="shared" si="17"/>
        <v>1</v>
      </c>
      <c r="AA359" t="s">
        <v>1551</v>
      </c>
      <c r="AB359">
        <v>2024</v>
      </c>
      <c r="AC359" t="s">
        <v>33</v>
      </c>
    </row>
    <row r="360" spans="1:29">
      <c r="A360" s="9">
        <v>356</v>
      </c>
      <c r="B360" s="10" t="s">
        <v>5316</v>
      </c>
      <c r="C360" s="9">
        <f t="shared" si="15"/>
        <v>0</v>
      </c>
      <c r="D360" s="9">
        <f t="shared" si="16"/>
        <v>1</v>
      </c>
      <c r="E360" s="11">
        <f t="shared" si="17"/>
        <v>1</v>
      </c>
      <c r="AA360" t="s">
        <v>1559</v>
      </c>
      <c r="AB360">
        <v>2024</v>
      </c>
      <c r="AC360" t="s">
        <v>33</v>
      </c>
    </row>
    <row r="361" spans="1:29">
      <c r="A361" s="9">
        <v>357</v>
      </c>
      <c r="B361" s="10" t="s">
        <v>5325</v>
      </c>
      <c r="C361" s="9">
        <f t="shared" si="15"/>
        <v>0</v>
      </c>
      <c r="D361" s="9">
        <f t="shared" si="16"/>
        <v>1</v>
      </c>
      <c r="E361" s="11">
        <f t="shared" si="17"/>
        <v>1</v>
      </c>
      <c r="AA361" t="s">
        <v>2792</v>
      </c>
      <c r="AB361">
        <v>2025</v>
      </c>
      <c r="AC361" t="s">
        <v>33</v>
      </c>
    </row>
    <row r="362" spans="1:29">
      <c r="A362" s="9">
        <v>358</v>
      </c>
      <c r="B362" s="10" t="s">
        <v>5326</v>
      </c>
      <c r="C362" s="9">
        <f t="shared" si="15"/>
        <v>0</v>
      </c>
      <c r="D362" s="9">
        <f t="shared" si="16"/>
        <v>1</v>
      </c>
      <c r="E362" s="11">
        <f t="shared" si="17"/>
        <v>1</v>
      </c>
      <c r="AA362" t="s">
        <v>1916</v>
      </c>
      <c r="AB362">
        <v>2024</v>
      </c>
      <c r="AC362" t="s">
        <v>33</v>
      </c>
    </row>
    <row r="363" spans="1:29">
      <c r="A363" s="9">
        <v>359</v>
      </c>
      <c r="B363" s="10" t="s">
        <v>5327</v>
      </c>
      <c r="C363" s="9">
        <f t="shared" si="15"/>
        <v>0</v>
      </c>
      <c r="D363" s="9">
        <f t="shared" si="16"/>
        <v>1</v>
      </c>
      <c r="E363" s="11">
        <f t="shared" si="17"/>
        <v>1</v>
      </c>
      <c r="AA363" t="s">
        <v>2629</v>
      </c>
      <c r="AB363">
        <v>2024</v>
      </c>
      <c r="AC363" t="s">
        <v>33</v>
      </c>
    </row>
    <row r="364" spans="1:29">
      <c r="A364" s="9">
        <v>360</v>
      </c>
      <c r="B364" s="10" t="s">
        <v>5328</v>
      </c>
      <c r="C364" s="9">
        <f t="shared" si="15"/>
        <v>0</v>
      </c>
      <c r="D364" s="9">
        <f t="shared" si="16"/>
        <v>1</v>
      </c>
      <c r="E364" s="11">
        <f t="shared" si="17"/>
        <v>1</v>
      </c>
      <c r="AA364" t="s">
        <v>1369</v>
      </c>
      <c r="AB364">
        <v>2024</v>
      </c>
      <c r="AC364" t="s">
        <v>33</v>
      </c>
    </row>
    <row r="365" spans="1:29">
      <c r="A365" s="9">
        <v>361</v>
      </c>
      <c r="B365" s="10" t="s">
        <v>5329</v>
      </c>
      <c r="C365" s="9">
        <f t="shared" si="15"/>
        <v>0</v>
      </c>
      <c r="D365" s="9">
        <f t="shared" si="16"/>
        <v>1</v>
      </c>
      <c r="E365" s="11">
        <f t="shared" si="17"/>
        <v>1</v>
      </c>
      <c r="AA365" t="s">
        <v>2608</v>
      </c>
      <c r="AB365">
        <v>2024</v>
      </c>
      <c r="AC365" t="s">
        <v>33</v>
      </c>
    </row>
    <row r="366" spans="1:29">
      <c r="A366" s="9">
        <v>362</v>
      </c>
      <c r="B366" s="10" t="s">
        <v>5355</v>
      </c>
      <c r="C366" s="9">
        <f t="shared" si="15"/>
        <v>0</v>
      </c>
      <c r="D366" s="9">
        <f t="shared" si="16"/>
        <v>1</v>
      </c>
      <c r="E366" s="11">
        <f t="shared" si="17"/>
        <v>1</v>
      </c>
      <c r="AA366" t="s">
        <v>1344</v>
      </c>
      <c r="AB366">
        <v>2024</v>
      </c>
      <c r="AC366" t="s">
        <v>33</v>
      </c>
    </row>
    <row r="367" spans="1:29">
      <c r="A367" s="9">
        <v>363</v>
      </c>
      <c r="B367" s="10" t="s">
        <v>5403</v>
      </c>
      <c r="C367" s="9">
        <f t="shared" si="15"/>
        <v>0</v>
      </c>
      <c r="D367" s="9">
        <f t="shared" si="16"/>
        <v>1</v>
      </c>
      <c r="E367" s="11">
        <f t="shared" si="17"/>
        <v>1</v>
      </c>
      <c r="AA367" t="s">
        <v>2815</v>
      </c>
      <c r="AB367">
        <v>2025</v>
      </c>
      <c r="AC367" t="s">
        <v>33</v>
      </c>
    </row>
    <row r="368" spans="1:29">
      <c r="A368" s="9">
        <v>364</v>
      </c>
      <c r="B368" s="10" t="s">
        <v>5414</v>
      </c>
      <c r="C368" s="9">
        <f t="shared" si="15"/>
        <v>0</v>
      </c>
      <c r="D368" s="9">
        <f t="shared" si="16"/>
        <v>1</v>
      </c>
      <c r="E368" s="11">
        <f t="shared" si="17"/>
        <v>1</v>
      </c>
      <c r="AA368" t="s">
        <v>39</v>
      </c>
      <c r="AB368">
        <v>2024</v>
      </c>
      <c r="AC368" t="s">
        <v>33</v>
      </c>
    </row>
    <row r="369" spans="1:29">
      <c r="A369" s="9">
        <v>365</v>
      </c>
      <c r="B369" s="10" t="s">
        <v>5432</v>
      </c>
      <c r="C369" s="9">
        <f t="shared" si="15"/>
        <v>0</v>
      </c>
      <c r="D369" s="9">
        <f t="shared" si="16"/>
        <v>1</v>
      </c>
      <c r="E369" s="11">
        <f t="shared" si="17"/>
        <v>1</v>
      </c>
      <c r="AA369" t="s">
        <v>964</v>
      </c>
      <c r="AB369">
        <v>2024</v>
      </c>
      <c r="AC369" t="s">
        <v>33</v>
      </c>
    </row>
    <row r="370" spans="1:29">
      <c r="A370" s="9">
        <v>366</v>
      </c>
      <c r="B370" s="10" t="s">
        <v>5449</v>
      </c>
      <c r="C370" s="9">
        <f t="shared" si="15"/>
        <v>0</v>
      </c>
      <c r="D370" s="9">
        <f t="shared" si="16"/>
        <v>1</v>
      </c>
      <c r="E370" s="11">
        <f t="shared" si="17"/>
        <v>1</v>
      </c>
      <c r="AA370" t="s">
        <v>2833</v>
      </c>
      <c r="AB370">
        <v>2024</v>
      </c>
      <c r="AC370" t="s">
        <v>33</v>
      </c>
    </row>
    <row r="371" spans="1:29">
      <c r="A371" s="9">
        <v>367</v>
      </c>
      <c r="B371" s="10" t="s">
        <v>5471</v>
      </c>
      <c r="C371" s="9">
        <f t="shared" si="15"/>
        <v>0</v>
      </c>
      <c r="D371" s="9">
        <f t="shared" si="16"/>
        <v>1</v>
      </c>
      <c r="E371" s="11">
        <f t="shared" si="17"/>
        <v>1</v>
      </c>
      <c r="AA371" t="s">
        <v>384</v>
      </c>
      <c r="AB371">
        <v>2024</v>
      </c>
      <c r="AC371" t="s">
        <v>33</v>
      </c>
    </row>
    <row r="372" spans="1:29">
      <c r="A372" s="9">
        <v>368</v>
      </c>
      <c r="B372" s="10" t="s">
        <v>5491</v>
      </c>
      <c r="C372" s="9">
        <f t="shared" si="15"/>
        <v>0</v>
      </c>
      <c r="D372" s="9">
        <f t="shared" si="16"/>
        <v>1</v>
      </c>
      <c r="E372" s="11">
        <f t="shared" si="17"/>
        <v>1</v>
      </c>
      <c r="AA372" t="s">
        <v>55</v>
      </c>
      <c r="AB372">
        <v>2024</v>
      </c>
      <c r="AC372" t="s">
        <v>33</v>
      </c>
    </row>
    <row r="373" spans="1:29">
      <c r="A373" s="9">
        <v>369</v>
      </c>
      <c r="B373" s="10" t="s">
        <v>5500</v>
      </c>
      <c r="C373" s="9">
        <f t="shared" si="15"/>
        <v>0</v>
      </c>
      <c r="D373" s="9">
        <f t="shared" si="16"/>
        <v>1</v>
      </c>
      <c r="E373" s="11">
        <f t="shared" si="17"/>
        <v>1</v>
      </c>
      <c r="AA373" t="s">
        <v>2834</v>
      </c>
      <c r="AB373">
        <v>2024</v>
      </c>
      <c r="AC373" t="s">
        <v>33</v>
      </c>
    </row>
    <row r="374" spans="1:29">
      <c r="A374" s="9">
        <v>370</v>
      </c>
      <c r="B374" s="10" t="s">
        <v>5501</v>
      </c>
      <c r="C374" s="9">
        <f t="shared" si="15"/>
        <v>0</v>
      </c>
      <c r="D374" s="9">
        <f t="shared" si="16"/>
        <v>1</v>
      </c>
      <c r="E374" s="11">
        <f t="shared" si="17"/>
        <v>1</v>
      </c>
      <c r="AA374" t="s">
        <v>1282</v>
      </c>
      <c r="AB374">
        <v>2025</v>
      </c>
      <c r="AC374" t="s">
        <v>33</v>
      </c>
    </row>
    <row r="375" spans="1:29">
      <c r="A375" s="9">
        <v>371</v>
      </c>
      <c r="B375" s="10" t="s">
        <v>5550</v>
      </c>
      <c r="C375" s="9">
        <f t="shared" si="15"/>
        <v>0</v>
      </c>
      <c r="D375" s="9">
        <f t="shared" si="16"/>
        <v>1</v>
      </c>
      <c r="E375" s="11">
        <f t="shared" si="17"/>
        <v>1</v>
      </c>
      <c r="AA375" t="s">
        <v>1176</v>
      </c>
      <c r="AB375">
        <v>2024</v>
      </c>
      <c r="AC375" t="s">
        <v>33</v>
      </c>
    </row>
    <row r="376" spans="1:29">
      <c r="A376" s="9">
        <v>372</v>
      </c>
      <c r="B376" s="10" t="s">
        <v>5565</v>
      </c>
      <c r="C376" s="9">
        <f t="shared" si="15"/>
        <v>0</v>
      </c>
      <c r="D376" s="9">
        <f t="shared" si="16"/>
        <v>1</v>
      </c>
      <c r="E376" s="11">
        <f t="shared" si="17"/>
        <v>1</v>
      </c>
      <c r="AA376" t="s">
        <v>265</v>
      </c>
      <c r="AB376">
        <v>2024</v>
      </c>
      <c r="AC376" t="s">
        <v>33</v>
      </c>
    </row>
    <row r="377" spans="1:29">
      <c r="A377" s="9">
        <v>373</v>
      </c>
      <c r="B377" s="10" t="s">
        <v>5596</v>
      </c>
      <c r="C377" s="9">
        <f t="shared" si="15"/>
        <v>0</v>
      </c>
      <c r="D377" s="9">
        <f t="shared" si="16"/>
        <v>1</v>
      </c>
      <c r="E377" s="11">
        <f t="shared" si="17"/>
        <v>1</v>
      </c>
      <c r="AA377" t="s">
        <v>228</v>
      </c>
      <c r="AB377">
        <v>2025</v>
      </c>
      <c r="AC377" t="s">
        <v>644</v>
      </c>
    </row>
    <row r="378" spans="1:29">
      <c r="A378" s="9">
        <v>374</v>
      </c>
      <c r="B378" s="10" t="s">
        <v>5602</v>
      </c>
      <c r="C378" s="9">
        <f t="shared" si="15"/>
        <v>0</v>
      </c>
      <c r="D378" s="9">
        <f t="shared" si="16"/>
        <v>1</v>
      </c>
      <c r="E378" s="11">
        <f t="shared" si="17"/>
        <v>1</v>
      </c>
      <c r="AA378" t="s">
        <v>2864</v>
      </c>
      <c r="AB378">
        <v>2025</v>
      </c>
      <c r="AC378" t="s">
        <v>33</v>
      </c>
    </row>
    <row r="379" spans="1:29">
      <c r="A379" s="9">
        <v>375</v>
      </c>
      <c r="B379" s="10" t="s">
        <v>5607</v>
      </c>
      <c r="C379" s="9">
        <f t="shared" si="15"/>
        <v>0</v>
      </c>
      <c r="D379" s="9">
        <f t="shared" si="16"/>
        <v>1</v>
      </c>
      <c r="E379" s="11">
        <f t="shared" si="17"/>
        <v>1</v>
      </c>
      <c r="AA379" t="s">
        <v>2877</v>
      </c>
      <c r="AB379">
        <v>2024</v>
      </c>
      <c r="AC379" t="s">
        <v>33</v>
      </c>
    </row>
    <row r="380" spans="1:29">
      <c r="A380" s="9">
        <v>376</v>
      </c>
      <c r="B380" s="10" t="s">
        <v>5629</v>
      </c>
      <c r="C380" s="9">
        <f t="shared" si="15"/>
        <v>0</v>
      </c>
      <c r="D380" s="9">
        <f t="shared" si="16"/>
        <v>1</v>
      </c>
      <c r="E380" s="11">
        <f t="shared" si="17"/>
        <v>1</v>
      </c>
      <c r="AA380" t="s">
        <v>2889</v>
      </c>
      <c r="AB380">
        <v>2024</v>
      </c>
      <c r="AC380" t="s">
        <v>33</v>
      </c>
    </row>
    <row r="381" spans="1:29">
      <c r="A381" s="9">
        <v>377</v>
      </c>
      <c r="B381" s="10" t="s">
        <v>5636</v>
      </c>
      <c r="C381" s="9">
        <f t="shared" si="15"/>
        <v>0</v>
      </c>
      <c r="D381" s="9">
        <f t="shared" si="16"/>
        <v>1</v>
      </c>
      <c r="E381" s="11">
        <f t="shared" si="17"/>
        <v>1</v>
      </c>
      <c r="AA381" t="s">
        <v>1619</v>
      </c>
      <c r="AB381">
        <v>2024</v>
      </c>
      <c r="AC381" t="s">
        <v>2112</v>
      </c>
    </row>
    <row r="382" spans="1:29">
      <c r="A382" s="9">
        <v>378</v>
      </c>
      <c r="B382" s="10" t="s">
        <v>5637</v>
      </c>
      <c r="C382" s="9">
        <f t="shared" si="15"/>
        <v>0</v>
      </c>
      <c r="D382" s="9">
        <f t="shared" si="16"/>
        <v>1</v>
      </c>
      <c r="E382" s="11">
        <f t="shared" si="17"/>
        <v>1</v>
      </c>
      <c r="AA382" t="s">
        <v>22</v>
      </c>
      <c r="AB382">
        <v>2024</v>
      </c>
      <c r="AC382" t="s">
        <v>2904</v>
      </c>
    </row>
    <row r="383" spans="1:29">
      <c r="A383" s="9">
        <v>379</v>
      </c>
      <c r="B383" s="10" t="s">
        <v>5646</v>
      </c>
      <c r="C383" s="9">
        <f t="shared" si="15"/>
        <v>0</v>
      </c>
      <c r="D383" s="9">
        <f t="shared" si="16"/>
        <v>1</v>
      </c>
      <c r="E383" s="11">
        <f t="shared" si="17"/>
        <v>1</v>
      </c>
      <c r="AA383" t="s">
        <v>974</v>
      </c>
      <c r="AB383">
        <v>2025</v>
      </c>
      <c r="AC383" t="s">
        <v>49</v>
      </c>
    </row>
    <row r="384" spans="1:29">
      <c r="A384" s="9">
        <v>380</v>
      </c>
      <c r="B384" s="10" t="s">
        <v>5690</v>
      </c>
      <c r="C384" s="9">
        <f t="shared" si="15"/>
        <v>0</v>
      </c>
      <c r="D384" s="9">
        <f t="shared" si="16"/>
        <v>1</v>
      </c>
      <c r="E384" s="11">
        <f t="shared" si="17"/>
        <v>1</v>
      </c>
      <c r="AA384" t="s">
        <v>967</v>
      </c>
      <c r="AB384">
        <v>2025</v>
      </c>
      <c r="AC384" t="s">
        <v>49</v>
      </c>
    </row>
    <row r="385" spans="1:29">
      <c r="A385" s="9">
        <v>381</v>
      </c>
      <c r="B385" s="10" t="s">
        <v>5702</v>
      </c>
      <c r="C385" s="9">
        <f t="shared" si="15"/>
        <v>0</v>
      </c>
      <c r="D385" s="9">
        <f t="shared" si="16"/>
        <v>1</v>
      </c>
      <c r="E385" s="11">
        <f t="shared" si="17"/>
        <v>1</v>
      </c>
      <c r="AA385" t="s">
        <v>1916</v>
      </c>
      <c r="AB385">
        <v>2025</v>
      </c>
      <c r="AC385" t="s">
        <v>49</v>
      </c>
    </row>
    <row r="386" spans="1:29">
      <c r="A386" s="9">
        <v>382</v>
      </c>
      <c r="B386" s="10" t="s">
        <v>5734</v>
      </c>
      <c r="C386" s="9">
        <f t="shared" si="15"/>
        <v>0</v>
      </c>
      <c r="D386" s="9">
        <f t="shared" si="16"/>
        <v>1</v>
      </c>
      <c r="E386" s="11">
        <f t="shared" si="17"/>
        <v>1</v>
      </c>
      <c r="AA386" t="s">
        <v>1344</v>
      </c>
      <c r="AB386">
        <v>2025</v>
      </c>
      <c r="AC386" t="s">
        <v>49</v>
      </c>
    </row>
    <row r="387" spans="1:29">
      <c r="A387" s="9">
        <v>383</v>
      </c>
      <c r="B387" s="10" t="s">
        <v>5742</v>
      </c>
      <c r="C387" s="9">
        <f t="shared" si="15"/>
        <v>0</v>
      </c>
      <c r="D387" s="9">
        <f t="shared" si="16"/>
        <v>1</v>
      </c>
      <c r="E387" s="11">
        <f t="shared" si="17"/>
        <v>1</v>
      </c>
      <c r="AA387" t="s">
        <v>1969</v>
      </c>
      <c r="AB387">
        <v>2025</v>
      </c>
      <c r="AC387" t="s">
        <v>49</v>
      </c>
    </row>
    <row r="388" spans="1:29">
      <c r="A388" s="9">
        <v>384</v>
      </c>
      <c r="B388" s="10" t="s">
        <v>5750</v>
      </c>
      <c r="C388" s="9">
        <f t="shared" si="15"/>
        <v>0</v>
      </c>
      <c r="D388" s="9">
        <f t="shared" si="16"/>
        <v>1</v>
      </c>
      <c r="E388" s="11">
        <f t="shared" si="17"/>
        <v>1</v>
      </c>
      <c r="AA388" t="s">
        <v>2629</v>
      </c>
      <c r="AB388">
        <v>2025</v>
      </c>
      <c r="AC388" t="s">
        <v>49</v>
      </c>
    </row>
    <row r="389" spans="1:29">
      <c r="A389" s="9">
        <v>385</v>
      </c>
      <c r="B389" s="10" t="s">
        <v>5761</v>
      </c>
      <c r="C389" s="9">
        <f t="shared" ref="C389:C400" si="18">COUNTIFS($AA:$AA,$B389,$AB:$AB,2024)</f>
        <v>0</v>
      </c>
      <c r="D389" s="9">
        <f t="shared" ref="D389:D400" si="19">COUNTIFS($AA:$AA,$B389,$AB:$AB,2025)</f>
        <v>1</v>
      </c>
      <c r="E389" s="11">
        <f t="shared" ref="E389:E400" si="20">C389+D389</f>
        <v>1</v>
      </c>
      <c r="AA389" t="s">
        <v>2935</v>
      </c>
      <c r="AB389">
        <v>2024</v>
      </c>
      <c r="AC389" t="s">
        <v>33</v>
      </c>
    </row>
    <row r="390" spans="1:29">
      <c r="A390" s="9">
        <v>386</v>
      </c>
      <c r="B390" s="10" t="s">
        <v>5762</v>
      </c>
      <c r="C390" s="9">
        <f t="shared" si="18"/>
        <v>0</v>
      </c>
      <c r="D390" s="9">
        <f t="shared" si="19"/>
        <v>1</v>
      </c>
      <c r="E390" s="11">
        <f t="shared" si="20"/>
        <v>1</v>
      </c>
      <c r="AA390" t="s">
        <v>1673</v>
      </c>
      <c r="AB390">
        <v>2024</v>
      </c>
      <c r="AC390" t="s">
        <v>33</v>
      </c>
    </row>
    <row r="391" spans="1:29">
      <c r="A391" s="9">
        <v>387</v>
      </c>
      <c r="B391" s="10" t="s">
        <v>5778</v>
      </c>
      <c r="C391" s="9">
        <f t="shared" si="18"/>
        <v>0</v>
      </c>
      <c r="D391" s="9">
        <f t="shared" si="19"/>
        <v>1</v>
      </c>
      <c r="E391" s="11">
        <f t="shared" si="20"/>
        <v>1</v>
      </c>
      <c r="AA391" t="s">
        <v>1282</v>
      </c>
      <c r="AB391">
        <v>2024</v>
      </c>
      <c r="AC391" t="s">
        <v>33</v>
      </c>
    </row>
    <row r="392" spans="1:29">
      <c r="A392" s="9">
        <v>388</v>
      </c>
      <c r="B392" s="10" t="s">
        <v>5779</v>
      </c>
      <c r="C392" s="9">
        <f t="shared" si="18"/>
        <v>0</v>
      </c>
      <c r="D392" s="9">
        <f t="shared" si="19"/>
        <v>1</v>
      </c>
      <c r="E392" s="11">
        <f t="shared" si="20"/>
        <v>1</v>
      </c>
      <c r="AA392" t="s">
        <v>2943</v>
      </c>
      <c r="AB392">
        <v>2025</v>
      </c>
      <c r="AC392" t="s">
        <v>33</v>
      </c>
    </row>
    <row r="393" spans="1:29">
      <c r="A393" s="9">
        <v>389</v>
      </c>
      <c r="B393" s="10" t="s">
        <v>5780</v>
      </c>
      <c r="C393" s="9">
        <f t="shared" si="18"/>
        <v>0</v>
      </c>
      <c r="D393" s="9">
        <f t="shared" si="19"/>
        <v>1</v>
      </c>
      <c r="E393" s="11">
        <f t="shared" si="20"/>
        <v>1</v>
      </c>
      <c r="AA393" t="s">
        <v>2954</v>
      </c>
      <c r="AB393">
        <v>2025</v>
      </c>
      <c r="AC393" t="s">
        <v>33</v>
      </c>
    </row>
    <row r="394" spans="1:29">
      <c r="A394" s="9">
        <v>390</v>
      </c>
      <c r="B394" s="10" t="s">
        <v>5781</v>
      </c>
      <c r="C394" s="9">
        <f t="shared" si="18"/>
        <v>0</v>
      </c>
      <c r="D394" s="9">
        <f t="shared" si="19"/>
        <v>1</v>
      </c>
      <c r="E394" s="11">
        <f t="shared" si="20"/>
        <v>1</v>
      </c>
      <c r="AA394" t="s">
        <v>2963</v>
      </c>
      <c r="AB394">
        <v>2024</v>
      </c>
      <c r="AC394" t="s">
        <v>33</v>
      </c>
    </row>
    <row r="395" spans="1:29">
      <c r="A395" s="9">
        <v>391</v>
      </c>
      <c r="B395" s="10" t="s">
        <v>5782</v>
      </c>
      <c r="C395" s="9">
        <f t="shared" si="18"/>
        <v>0</v>
      </c>
      <c r="D395" s="9">
        <f t="shared" si="19"/>
        <v>1</v>
      </c>
      <c r="E395" s="11">
        <f t="shared" si="20"/>
        <v>1</v>
      </c>
      <c r="AA395" t="s">
        <v>2342</v>
      </c>
      <c r="AB395">
        <v>2024</v>
      </c>
      <c r="AC395" t="s">
        <v>33</v>
      </c>
    </row>
    <row r="396" spans="1:29">
      <c r="A396" s="9">
        <v>392</v>
      </c>
      <c r="B396" s="10" t="s">
        <v>5790</v>
      </c>
      <c r="C396" s="9">
        <f t="shared" si="18"/>
        <v>0</v>
      </c>
      <c r="D396" s="9">
        <f t="shared" si="19"/>
        <v>1</v>
      </c>
      <c r="E396" s="11">
        <f t="shared" si="20"/>
        <v>1</v>
      </c>
      <c r="AA396" t="s">
        <v>2980</v>
      </c>
      <c r="AB396">
        <v>2024</v>
      </c>
      <c r="AC396" t="s">
        <v>33</v>
      </c>
    </row>
    <row r="397" spans="1:29">
      <c r="A397" s="9">
        <v>393</v>
      </c>
      <c r="B397" s="10" t="s">
        <v>5802</v>
      </c>
      <c r="C397" s="9">
        <f t="shared" si="18"/>
        <v>0</v>
      </c>
      <c r="D397" s="9">
        <f t="shared" si="19"/>
        <v>1</v>
      </c>
      <c r="E397" s="11">
        <f t="shared" si="20"/>
        <v>1</v>
      </c>
      <c r="AA397" t="s">
        <v>2989</v>
      </c>
      <c r="AB397">
        <v>2024</v>
      </c>
      <c r="AC397" t="s">
        <v>33</v>
      </c>
    </row>
    <row r="398" spans="1:29">
      <c r="A398" s="9">
        <v>394</v>
      </c>
      <c r="B398" s="10" t="s">
        <v>5803</v>
      </c>
      <c r="C398" s="9">
        <f t="shared" si="18"/>
        <v>0</v>
      </c>
      <c r="D398" s="9">
        <f t="shared" si="19"/>
        <v>1</v>
      </c>
      <c r="E398" s="11">
        <f t="shared" si="20"/>
        <v>1</v>
      </c>
      <c r="AA398" t="s">
        <v>276</v>
      </c>
      <c r="AB398">
        <v>2025</v>
      </c>
      <c r="AC398" t="s">
        <v>49</v>
      </c>
    </row>
    <row r="399" spans="1:29">
      <c r="A399" s="9">
        <v>395</v>
      </c>
      <c r="B399" s="10" t="s">
        <v>5804</v>
      </c>
      <c r="C399" s="9">
        <f t="shared" si="18"/>
        <v>0</v>
      </c>
      <c r="D399" s="9">
        <f t="shared" si="19"/>
        <v>1</v>
      </c>
      <c r="E399" s="11">
        <f t="shared" si="20"/>
        <v>1</v>
      </c>
      <c r="AA399" t="s">
        <v>2997</v>
      </c>
      <c r="AB399">
        <v>2024</v>
      </c>
      <c r="AC399" t="s">
        <v>33</v>
      </c>
    </row>
    <row r="400" spans="1:29">
      <c r="A400" s="9">
        <v>396</v>
      </c>
      <c r="B400" s="10" t="s">
        <v>5805</v>
      </c>
      <c r="C400" s="9">
        <f t="shared" si="18"/>
        <v>0</v>
      </c>
      <c r="D400" s="9">
        <f t="shared" si="19"/>
        <v>1</v>
      </c>
      <c r="E400" s="11">
        <f t="shared" si="20"/>
        <v>1</v>
      </c>
      <c r="AA400" t="s">
        <v>1916</v>
      </c>
      <c r="AB400">
        <v>2025</v>
      </c>
      <c r="AC400" t="s">
        <v>644</v>
      </c>
    </row>
    <row r="401" spans="27:29">
      <c r="AA401" t="s">
        <v>1344</v>
      </c>
      <c r="AB401">
        <v>2025</v>
      </c>
      <c r="AC401" t="s">
        <v>644</v>
      </c>
    </row>
    <row r="402" spans="27:29">
      <c r="AA402" t="s">
        <v>3013</v>
      </c>
      <c r="AB402">
        <v>2025</v>
      </c>
      <c r="AC402" t="s">
        <v>644</v>
      </c>
    </row>
    <row r="403" spans="27:29">
      <c r="AA403" t="s">
        <v>3014</v>
      </c>
      <c r="AB403">
        <v>2025</v>
      </c>
      <c r="AC403" t="s">
        <v>33</v>
      </c>
    </row>
    <row r="404" spans="27:29">
      <c r="AA404" t="s">
        <v>3023</v>
      </c>
      <c r="AB404">
        <v>2025</v>
      </c>
      <c r="AC404" t="s">
        <v>33</v>
      </c>
    </row>
    <row r="405" spans="27:29">
      <c r="AA405" t="s">
        <v>228</v>
      </c>
      <c r="AB405">
        <v>2025</v>
      </c>
      <c r="AC405" t="s">
        <v>33</v>
      </c>
    </row>
    <row r="406" spans="27:29">
      <c r="AA406" t="s">
        <v>3032</v>
      </c>
      <c r="AB406">
        <v>2025</v>
      </c>
      <c r="AC406" t="s">
        <v>33</v>
      </c>
    </row>
    <row r="407" spans="27:29">
      <c r="AA407" t="s">
        <v>433</v>
      </c>
      <c r="AB407">
        <v>2025</v>
      </c>
      <c r="AC407" t="s">
        <v>33</v>
      </c>
    </row>
    <row r="408" spans="27:29">
      <c r="AA408" t="s">
        <v>1916</v>
      </c>
      <c r="AB408">
        <v>2025</v>
      </c>
      <c r="AC408" t="s">
        <v>33</v>
      </c>
    </row>
    <row r="409" spans="27:29">
      <c r="AA409" t="s">
        <v>635</v>
      </c>
      <c r="AB409">
        <v>2025</v>
      </c>
      <c r="AC409" t="s">
        <v>33</v>
      </c>
    </row>
    <row r="410" spans="27:29">
      <c r="AA410" t="s">
        <v>1369</v>
      </c>
      <c r="AB410">
        <v>2025</v>
      </c>
      <c r="AC410" t="s">
        <v>33</v>
      </c>
    </row>
    <row r="411" spans="27:29">
      <c r="AA411" t="s">
        <v>276</v>
      </c>
      <c r="AB411">
        <v>2024</v>
      </c>
      <c r="AC411" t="s">
        <v>49</v>
      </c>
    </row>
    <row r="412" spans="27:29">
      <c r="AA412" t="s">
        <v>276</v>
      </c>
      <c r="AB412">
        <v>2024</v>
      </c>
      <c r="AC412" t="s">
        <v>49</v>
      </c>
    </row>
    <row r="413" spans="27:29">
      <c r="AA413" t="s">
        <v>3074</v>
      </c>
      <c r="AB413">
        <v>2025</v>
      </c>
      <c r="AC413" t="s">
        <v>33</v>
      </c>
    </row>
    <row r="414" spans="27:29">
      <c r="AA414" t="s">
        <v>1916</v>
      </c>
      <c r="AB414">
        <v>2025</v>
      </c>
      <c r="AC414" t="s">
        <v>33</v>
      </c>
    </row>
    <row r="415" spans="27:29">
      <c r="AA415" t="s">
        <v>276</v>
      </c>
      <c r="AB415">
        <v>2025</v>
      </c>
      <c r="AC415" t="s">
        <v>49</v>
      </c>
    </row>
    <row r="416" spans="27:29">
      <c r="AA416" t="s">
        <v>3093</v>
      </c>
      <c r="AB416">
        <v>2024</v>
      </c>
      <c r="AC416" t="s">
        <v>33</v>
      </c>
    </row>
    <row r="417" spans="27:29">
      <c r="AA417" t="s">
        <v>3103</v>
      </c>
      <c r="AB417">
        <v>2024</v>
      </c>
      <c r="AC417" t="s">
        <v>33</v>
      </c>
    </row>
    <row r="418" spans="27:29">
      <c r="AA418" t="s">
        <v>164</v>
      </c>
      <c r="AB418">
        <v>2025</v>
      </c>
      <c r="AC418" t="s">
        <v>33</v>
      </c>
    </row>
    <row r="419" spans="27:29">
      <c r="AA419" t="s">
        <v>1619</v>
      </c>
      <c r="AB419">
        <v>2025</v>
      </c>
      <c r="AC419" t="s">
        <v>2112</v>
      </c>
    </row>
    <row r="420" spans="27:29">
      <c r="AA420" t="s">
        <v>1908</v>
      </c>
      <c r="AB420">
        <v>2025</v>
      </c>
      <c r="AC420" t="s">
        <v>33</v>
      </c>
    </row>
    <row r="421" spans="27:29">
      <c r="AA421" t="s">
        <v>1396</v>
      </c>
      <c r="AB421">
        <v>2025</v>
      </c>
      <c r="AC421" t="s">
        <v>33</v>
      </c>
    </row>
    <row r="422" spans="27:29">
      <c r="AA422" t="s">
        <v>2815</v>
      </c>
      <c r="AB422">
        <v>2025</v>
      </c>
      <c r="AC422" t="s">
        <v>33</v>
      </c>
    </row>
    <row r="423" spans="27:29">
      <c r="AA423" t="s">
        <v>3128</v>
      </c>
      <c r="AB423">
        <v>2025</v>
      </c>
      <c r="AC423" t="s">
        <v>33</v>
      </c>
    </row>
    <row r="424" spans="27:29">
      <c r="AA424" t="s">
        <v>3141</v>
      </c>
      <c r="AB424">
        <v>2025</v>
      </c>
      <c r="AC424" t="s">
        <v>33</v>
      </c>
    </row>
    <row r="425" spans="27:29">
      <c r="AA425" t="s">
        <v>3152</v>
      </c>
      <c r="AB425">
        <v>2025</v>
      </c>
      <c r="AC425" t="s">
        <v>49</v>
      </c>
    </row>
    <row r="426" spans="27:29">
      <c r="AA426" t="s">
        <v>1061</v>
      </c>
      <c r="AB426">
        <v>2025</v>
      </c>
      <c r="AC426" t="s">
        <v>49</v>
      </c>
    </row>
    <row r="427" spans="27:29">
      <c r="AA427" t="s">
        <v>622</v>
      </c>
      <c r="AB427">
        <v>2025</v>
      </c>
      <c r="AC427" t="s">
        <v>49</v>
      </c>
    </row>
    <row r="428" spans="27:29">
      <c r="AA428" t="s">
        <v>635</v>
      </c>
      <c r="AB428">
        <v>2025</v>
      </c>
      <c r="AC428" t="s">
        <v>644</v>
      </c>
    </row>
    <row r="429" spans="27:29">
      <c r="AA429" t="s">
        <v>1551</v>
      </c>
      <c r="AB429">
        <v>2024</v>
      </c>
      <c r="AC429" t="s">
        <v>33</v>
      </c>
    </row>
    <row r="430" spans="27:29">
      <c r="AA430" t="s">
        <v>3179</v>
      </c>
      <c r="AB430">
        <v>2024</v>
      </c>
      <c r="AC430" t="s">
        <v>33</v>
      </c>
    </row>
    <row r="431" spans="27:29">
      <c r="AA431" t="s">
        <v>3180</v>
      </c>
      <c r="AB431">
        <v>2024</v>
      </c>
      <c r="AC431" t="s">
        <v>33</v>
      </c>
    </row>
    <row r="432" spans="27:29">
      <c r="AA432" t="s">
        <v>3181</v>
      </c>
      <c r="AB432">
        <v>2024</v>
      </c>
      <c r="AC432" t="s">
        <v>33</v>
      </c>
    </row>
    <row r="433" spans="27:29">
      <c r="AA433" t="s">
        <v>3187</v>
      </c>
      <c r="AB433">
        <v>2024</v>
      </c>
      <c r="AC433" t="s">
        <v>33</v>
      </c>
    </row>
    <row r="434" spans="27:29">
      <c r="AA434" t="s">
        <v>3195</v>
      </c>
      <c r="AB434">
        <v>2024</v>
      </c>
      <c r="AC434" t="s">
        <v>33</v>
      </c>
    </row>
    <row r="435" spans="27:29">
      <c r="AA435" t="s">
        <v>3196</v>
      </c>
      <c r="AB435">
        <v>2025</v>
      </c>
      <c r="AC435" t="s">
        <v>33</v>
      </c>
    </row>
    <row r="436" spans="27:29">
      <c r="AA436" t="s">
        <v>3141</v>
      </c>
      <c r="AB436">
        <v>2025</v>
      </c>
      <c r="AC436" t="s">
        <v>33</v>
      </c>
    </row>
    <row r="437" spans="27:29">
      <c r="AA437" t="s">
        <v>1012</v>
      </c>
      <c r="AB437">
        <v>2025</v>
      </c>
      <c r="AC437" t="s">
        <v>33</v>
      </c>
    </row>
    <row r="438" spans="27:29">
      <c r="AA438" t="s">
        <v>3229</v>
      </c>
      <c r="AB438">
        <v>2025</v>
      </c>
      <c r="AC438" t="s">
        <v>33</v>
      </c>
    </row>
    <row r="439" spans="27:29">
      <c r="AA439" t="s">
        <v>22</v>
      </c>
      <c r="AB439">
        <v>2024</v>
      </c>
      <c r="AC439" t="s">
        <v>33</v>
      </c>
    </row>
    <row r="440" spans="27:29">
      <c r="AA440" t="s">
        <v>3251</v>
      </c>
      <c r="AB440">
        <v>2024</v>
      </c>
      <c r="AC440" t="s">
        <v>3257</v>
      </c>
    </row>
    <row r="441" spans="27:29">
      <c r="AA441" t="s">
        <v>1916</v>
      </c>
      <c r="AB441">
        <v>2025</v>
      </c>
      <c r="AC441" t="s">
        <v>49</v>
      </c>
    </row>
    <row r="442" spans="27:29">
      <c r="AA442" t="s">
        <v>3271</v>
      </c>
      <c r="AB442">
        <v>2025</v>
      </c>
      <c r="AC442" t="s">
        <v>49</v>
      </c>
    </row>
    <row r="443" spans="27:29">
      <c r="AA443" t="s">
        <v>1344</v>
      </c>
      <c r="AB443">
        <v>2025</v>
      </c>
      <c r="AC443" t="s">
        <v>49</v>
      </c>
    </row>
    <row r="444" spans="27:29">
      <c r="AA444" t="s">
        <v>276</v>
      </c>
      <c r="AB444">
        <v>2025</v>
      </c>
      <c r="AC444" t="s">
        <v>33</v>
      </c>
    </row>
    <row r="445" spans="27:29">
      <c r="AA445" t="s">
        <v>3280</v>
      </c>
      <c r="AB445">
        <v>2025</v>
      </c>
      <c r="AC445" t="s">
        <v>33</v>
      </c>
    </row>
    <row r="446" spans="27:29">
      <c r="AA446" t="s">
        <v>1109</v>
      </c>
      <c r="AB446">
        <v>2024</v>
      </c>
      <c r="AC446" t="s">
        <v>33</v>
      </c>
    </row>
    <row r="447" spans="27:29">
      <c r="AA447" t="s">
        <v>1282</v>
      </c>
      <c r="AB447">
        <v>2025</v>
      </c>
      <c r="AC447" t="s">
        <v>33</v>
      </c>
    </row>
    <row r="448" spans="27:29">
      <c r="AA448" t="s">
        <v>2322</v>
      </c>
      <c r="AB448">
        <v>2024</v>
      </c>
      <c r="AC448" t="s">
        <v>33</v>
      </c>
    </row>
    <row r="449" spans="27:29">
      <c r="AA449" t="s">
        <v>790</v>
      </c>
      <c r="AB449">
        <v>2024</v>
      </c>
      <c r="AC449" t="s">
        <v>33</v>
      </c>
    </row>
    <row r="450" spans="27:29">
      <c r="AA450" t="s">
        <v>2608</v>
      </c>
      <c r="AB450">
        <v>2025</v>
      </c>
      <c r="AC450" t="s">
        <v>644</v>
      </c>
    </row>
    <row r="451" spans="27:29">
      <c r="AA451" t="s">
        <v>3032</v>
      </c>
      <c r="AB451">
        <v>2025</v>
      </c>
      <c r="AC451" t="s">
        <v>644</v>
      </c>
    </row>
    <row r="452" spans="27:29">
      <c r="AA452" t="s">
        <v>1344</v>
      </c>
      <c r="AB452">
        <v>2025</v>
      </c>
      <c r="AC452" t="s">
        <v>644</v>
      </c>
    </row>
    <row r="453" spans="27:29">
      <c r="AA453" t="s">
        <v>1916</v>
      </c>
      <c r="AB453">
        <v>2025</v>
      </c>
      <c r="AC453" t="s">
        <v>644</v>
      </c>
    </row>
    <row r="454" spans="27:29">
      <c r="AA454" t="s">
        <v>3329</v>
      </c>
      <c r="AB454">
        <v>2024</v>
      </c>
      <c r="AC454" t="s">
        <v>33</v>
      </c>
    </row>
    <row r="455" spans="27:29">
      <c r="AA455" t="s">
        <v>1355</v>
      </c>
      <c r="AB455">
        <v>2024</v>
      </c>
      <c r="AC455" t="s">
        <v>33</v>
      </c>
    </row>
    <row r="456" spans="27:29">
      <c r="AA456" t="s">
        <v>1619</v>
      </c>
      <c r="AB456">
        <v>2025</v>
      </c>
      <c r="AC456" t="s">
        <v>2112</v>
      </c>
    </row>
    <row r="457" spans="27:29">
      <c r="AA457" t="s">
        <v>3350</v>
      </c>
      <c r="AB457">
        <v>2024</v>
      </c>
      <c r="AC457" t="s">
        <v>49</v>
      </c>
    </row>
    <row r="458" spans="27:29">
      <c r="AA458" t="s">
        <v>3365</v>
      </c>
      <c r="AB458">
        <v>2024</v>
      </c>
      <c r="AC458" t="s">
        <v>49</v>
      </c>
    </row>
    <row r="459" spans="27:29">
      <c r="AA459" t="s">
        <v>1916</v>
      </c>
      <c r="AB459">
        <v>2024</v>
      </c>
      <c r="AC459" t="s">
        <v>33</v>
      </c>
    </row>
    <row r="460" spans="27:29">
      <c r="AA460" t="s">
        <v>2629</v>
      </c>
      <c r="AB460">
        <v>2024</v>
      </c>
      <c r="AC460" t="s">
        <v>33</v>
      </c>
    </row>
    <row r="461" spans="27:29">
      <c r="AA461" t="s">
        <v>1344</v>
      </c>
      <c r="AB461">
        <v>2024</v>
      </c>
      <c r="AC461" t="s">
        <v>33</v>
      </c>
    </row>
    <row r="462" spans="27:29">
      <c r="AA462" t="s">
        <v>433</v>
      </c>
      <c r="AB462">
        <v>2024</v>
      </c>
      <c r="AC462" t="s">
        <v>33</v>
      </c>
    </row>
    <row r="463" spans="27:29">
      <c r="AA463" t="s">
        <v>3141</v>
      </c>
      <c r="AB463">
        <v>2025</v>
      </c>
      <c r="AC463" t="s">
        <v>33</v>
      </c>
    </row>
    <row r="464" spans="27:29">
      <c r="AA464" t="s">
        <v>1024</v>
      </c>
      <c r="AB464">
        <v>2025</v>
      </c>
      <c r="AC464" t="s">
        <v>33</v>
      </c>
    </row>
    <row r="465" spans="27:29">
      <c r="AA465" t="s">
        <v>2100</v>
      </c>
      <c r="AB465">
        <v>2024</v>
      </c>
      <c r="AC465" t="s">
        <v>33</v>
      </c>
    </row>
    <row r="466" spans="27:29">
      <c r="AA466" t="s">
        <v>3386</v>
      </c>
      <c r="AB466">
        <v>2025</v>
      </c>
      <c r="AC466" t="s">
        <v>33</v>
      </c>
    </row>
    <row r="467" spans="27:29">
      <c r="AA467" t="s">
        <v>1024</v>
      </c>
      <c r="AB467">
        <v>2025</v>
      </c>
      <c r="AC467" t="s">
        <v>33</v>
      </c>
    </row>
    <row r="468" spans="27:29">
      <c r="AA468" t="s">
        <v>967</v>
      </c>
      <c r="AB468">
        <v>2025</v>
      </c>
      <c r="AC468" t="s">
        <v>33</v>
      </c>
    </row>
    <row r="469" spans="27:29">
      <c r="AA469" t="s">
        <v>1013</v>
      </c>
      <c r="AB469">
        <v>2025</v>
      </c>
      <c r="AC469" t="s">
        <v>33</v>
      </c>
    </row>
    <row r="470" spans="27:29">
      <c r="AA470" t="s">
        <v>3141</v>
      </c>
      <c r="AB470">
        <v>2025</v>
      </c>
      <c r="AC470" t="s">
        <v>33</v>
      </c>
    </row>
    <row r="471" spans="27:29">
      <c r="AA471" t="s">
        <v>39</v>
      </c>
      <c r="AB471">
        <v>2024</v>
      </c>
      <c r="AC471" t="s">
        <v>2904</v>
      </c>
    </row>
    <row r="472" spans="27:29">
      <c r="AA472" t="s">
        <v>3410</v>
      </c>
      <c r="AB472">
        <v>2025</v>
      </c>
      <c r="AC472" t="s">
        <v>33</v>
      </c>
    </row>
    <row r="473" spans="27:29">
      <c r="AA473" t="s">
        <v>3420</v>
      </c>
      <c r="AB473">
        <v>2025</v>
      </c>
      <c r="AC473" t="s">
        <v>33</v>
      </c>
    </row>
    <row r="474" spans="27:29">
      <c r="AA474" t="s">
        <v>3421</v>
      </c>
      <c r="AB474">
        <v>2024</v>
      </c>
      <c r="AC474" t="s">
        <v>1125</v>
      </c>
    </row>
    <row r="475" spans="27:29">
      <c r="AA475" t="s">
        <v>3433</v>
      </c>
      <c r="AB475">
        <v>2024</v>
      </c>
      <c r="AC475" t="s">
        <v>1125</v>
      </c>
    </row>
    <row r="476" spans="27:29">
      <c r="AA476" t="s">
        <v>3434</v>
      </c>
      <c r="AB476">
        <v>2025</v>
      </c>
      <c r="AC476" t="s">
        <v>33</v>
      </c>
    </row>
    <row r="477" spans="27:29">
      <c r="AA477" t="s">
        <v>3441</v>
      </c>
      <c r="AB477">
        <v>2025</v>
      </c>
      <c r="AC477" t="s">
        <v>33</v>
      </c>
    </row>
    <row r="478" spans="27:29">
      <c r="AA478" t="s">
        <v>635</v>
      </c>
      <c r="AB478">
        <v>2024</v>
      </c>
      <c r="AC478" t="s">
        <v>644</v>
      </c>
    </row>
    <row r="479" spans="27:29">
      <c r="AA479" t="s">
        <v>3141</v>
      </c>
      <c r="AB479">
        <v>2024</v>
      </c>
      <c r="AC479" t="s">
        <v>33</v>
      </c>
    </row>
    <row r="480" spans="27:29">
      <c r="AA480" t="s">
        <v>3152</v>
      </c>
      <c r="AB480">
        <v>2025</v>
      </c>
      <c r="AC480" t="s">
        <v>208</v>
      </c>
    </row>
    <row r="481" spans="27:29">
      <c r="AA481" t="s">
        <v>3470</v>
      </c>
      <c r="AB481">
        <v>2024</v>
      </c>
      <c r="AC481" t="s">
        <v>33</v>
      </c>
    </row>
    <row r="482" spans="27:29">
      <c r="AA482" t="s">
        <v>3482</v>
      </c>
      <c r="AB482">
        <v>2024</v>
      </c>
      <c r="AC482" t="s">
        <v>33</v>
      </c>
    </row>
    <row r="483" spans="27:29">
      <c r="AA483" t="s">
        <v>967</v>
      </c>
      <c r="AB483">
        <v>2025</v>
      </c>
      <c r="AC483" t="s">
        <v>33</v>
      </c>
    </row>
    <row r="484" spans="27:29">
      <c r="AA484" t="s">
        <v>254</v>
      </c>
      <c r="AB484">
        <v>2025</v>
      </c>
      <c r="AC484" t="s">
        <v>49</v>
      </c>
    </row>
    <row r="485" spans="27:29">
      <c r="AA485" t="s">
        <v>1916</v>
      </c>
      <c r="AB485">
        <v>2024</v>
      </c>
      <c r="AC485" t="s">
        <v>644</v>
      </c>
    </row>
    <row r="486" spans="27:29">
      <c r="AA486" t="s">
        <v>1344</v>
      </c>
      <c r="AB486">
        <v>2024</v>
      </c>
      <c r="AC486" t="s">
        <v>644</v>
      </c>
    </row>
    <row r="487" spans="27:29">
      <c r="AA487" t="s">
        <v>2629</v>
      </c>
      <c r="AB487">
        <v>2024</v>
      </c>
      <c r="AC487" t="s">
        <v>644</v>
      </c>
    </row>
    <row r="488" spans="27:29">
      <c r="AA488" t="s">
        <v>3503</v>
      </c>
      <c r="AB488">
        <v>2024</v>
      </c>
      <c r="AC488" t="s">
        <v>33</v>
      </c>
    </row>
    <row r="489" spans="27:29">
      <c r="AA489" t="s">
        <v>3515</v>
      </c>
      <c r="AB489">
        <v>2025</v>
      </c>
      <c r="AC489" t="s">
        <v>33</v>
      </c>
    </row>
    <row r="490" spans="27:29">
      <c r="AA490" t="s">
        <v>3525</v>
      </c>
      <c r="AB490">
        <v>2024</v>
      </c>
      <c r="AC490" t="s">
        <v>33</v>
      </c>
    </row>
    <row r="491" spans="27:29">
      <c r="AA491" t="s">
        <v>1527</v>
      </c>
      <c r="AB491">
        <v>2025</v>
      </c>
      <c r="AC491" t="s">
        <v>33</v>
      </c>
    </row>
    <row r="492" spans="27:29">
      <c r="AA492" t="s">
        <v>3544</v>
      </c>
      <c r="AB492">
        <v>2025</v>
      </c>
      <c r="AC492" t="s">
        <v>33</v>
      </c>
    </row>
    <row r="493" spans="27:29">
      <c r="AA493" t="s">
        <v>3545</v>
      </c>
      <c r="AB493">
        <v>2025</v>
      </c>
      <c r="AC493" t="s">
        <v>33</v>
      </c>
    </row>
    <row r="494" spans="27:29">
      <c r="AA494" t="s">
        <v>1619</v>
      </c>
      <c r="AB494">
        <v>2025</v>
      </c>
      <c r="AC494" t="s">
        <v>33</v>
      </c>
    </row>
    <row r="495" spans="27:29">
      <c r="AA495" t="s">
        <v>128</v>
      </c>
      <c r="AB495">
        <v>2025</v>
      </c>
      <c r="AC495" t="s">
        <v>33</v>
      </c>
    </row>
    <row r="496" spans="27:29">
      <c r="AA496" t="s">
        <v>3553</v>
      </c>
      <c r="AB496">
        <v>2025</v>
      </c>
      <c r="AC496" t="s">
        <v>33</v>
      </c>
    </row>
    <row r="497" spans="27:29">
      <c r="AA497" t="s">
        <v>2100</v>
      </c>
      <c r="AB497">
        <v>2025</v>
      </c>
      <c r="AC497" t="s">
        <v>33</v>
      </c>
    </row>
    <row r="498" spans="27:29">
      <c r="AA498" t="s">
        <v>2046</v>
      </c>
      <c r="AB498">
        <v>2024</v>
      </c>
      <c r="AC498" t="s">
        <v>49</v>
      </c>
    </row>
    <row r="499" spans="27:29">
      <c r="AA499" t="s">
        <v>3562</v>
      </c>
      <c r="AB499">
        <v>2025</v>
      </c>
      <c r="AC499" t="s">
        <v>49</v>
      </c>
    </row>
    <row r="500" spans="27:29">
      <c r="AA500" t="s">
        <v>3141</v>
      </c>
      <c r="AB500">
        <v>2025</v>
      </c>
      <c r="AC500" t="s">
        <v>33</v>
      </c>
    </row>
    <row r="501" spans="27:29">
      <c r="AA501" t="s">
        <v>3582</v>
      </c>
      <c r="AB501">
        <v>2024</v>
      </c>
      <c r="AC501" t="s">
        <v>33</v>
      </c>
    </row>
    <row r="502" spans="27:29">
      <c r="AA502" t="s">
        <v>1916</v>
      </c>
      <c r="AB502">
        <v>2024</v>
      </c>
      <c r="AC502" t="s">
        <v>33</v>
      </c>
    </row>
    <row r="503" spans="27:29">
      <c r="AA503" t="s">
        <v>3588</v>
      </c>
      <c r="AB503">
        <v>2024</v>
      </c>
      <c r="AC503" t="s">
        <v>33</v>
      </c>
    </row>
    <row r="504" spans="27:29">
      <c r="AA504" t="s">
        <v>3589</v>
      </c>
      <c r="AB504">
        <v>2024</v>
      </c>
      <c r="AC504" t="s">
        <v>33</v>
      </c>
    </row>
    <row r="505" spans="27:29">
      <c r="AA505" t="s">
        <v>2608</v>
      </c>
      <c r="AB505">
        <v>2024</v>
      </c>
      <c r="AC505" t="s">
        <v>33</v>
      </c>
    </row>
    <row r="506" spans="27:29">
      <c r="AA506" t="s">
        <v>1344</v>
      </c>
      <c r="AB506">
        <v>2024</v>
      </c>
      <c r="AC506" t="s">
        <v>33</v>
      </c>
    </row>
    <row r="507" spans="27:29">
      <c r="AA507" t="s">
        <v>3590</v>
      </c>
      <c r="AB507">
        <v>2025</v>
      </c>
      <c r="AC507" t="s">
        <v>33</v>
      </c>
    </row>
    <row r="508" spans="27:29">
      <c r="AA508" t="s">
        <v>2563</v>
      </c>
      <c r="AB508">
        <v>2025</v>
      </c>
      <c r="AC508" t="s">
        <v>33</v>
      </c>
    </row>
    <row r="509" spans="27:29">
      <c r="AA509" t="s">
        <v>2100</v>
      </c>
      <c r="AB509">
        <v>2025</v>
      </c>
      <c r="AC509" t="s">
        <v>33</v>
      </c>
    </row>
    <row r="510" spans="27:29">
      <c r="AA510" t="s">
        <v>3606</v>
      </c>
      <c r="AB510">
        <v>2024</v>
      </c>
      <c r="AC510" t="s">
        <v>33</v>
      </c>
    </row>
    <row r="511" spans="27:29">
      <c r="AA511" t="s">
        <v>22</v>
      </c>
      <c r="AB511">
        <v>2025</v>
      </c>
      <c r="AC511" t="s">
        <v>33</v>
      </c>
    </row>
    <row r="512" spans="27:29">
      <c r="AA512" t="s">
        <v>97</v>
      </c>
      <c r="AB512">
        <v>2024</v>
      </c>
      <c r="AC512" t="s">
        <v>33</v>
      </c>
    </row>
    <row r="513" spans="27:29">
      <c r="AA513" t="s">
        <v>3637</v>
      </c>
      <c r="AB513">
        <v>2024</v>
      </c>
      <c r="AC513" t="s">
        <v>33</v>
      </c>
    </row>
    <row r="514" spans="27:29">
      <c r="AA514" t="s">
        <v>3647</v>
      </c>
      <c r="AB514">
        <v>2025</v>
      </c>
      <c r="AC514" t="s">
        <v>49</v>
      </c>
    </row>
    <row r="515" spans="27:29">
      <c r="AA515" t="s">
        <v>164</v>
      </c>
      <c r="AB515">
        <v>2025</v>
      </c>
      <c r="AC515" t="s">
        <v>49</v>
      </c>
    </row>
    <row r="516" spans="27:29">
      <c r="AA516" t="s">
        <v>2763</v>
      </c>
      <c r="AB516">
        <v>2025</v>
      </c>
      <c r="AC516" t="s">
        <v>33</v>
      </c>
    </row>
    <row r="517" spans="27:29">
      <c r="AA517" t="s">
        <v>3668</v>
      </c>
      <c r="AB517">
        <v>2024</v>
      </c>
      <c r="AC517" t="s">
        <v>3676</v>
      </c>
    </row>
    <row r="518" spans="27:29">
      <c r="AA518" t="s">
        <v>3141</v>
      </c>
      <c r="AB518">
        <v>2024</v>
      </c>
      <c r="AC518" t="s">
        <v>644</v>
      </c>
    </row>
    <row r="519" spans="27:29">
      <c r="AA519" t="s">
        <v>1024</v>
      </c>
      <c r="AB519">
        <v>2024</v>
      </c>
      <c r="AC519" t="s">
        <v>644</v>
      </c>
    </row>
    <row r="520" spans="27:29">
      <c r="AA520" t="s">
        <v>3688</v>
      </c>
      <c r="AB520">
        <v>2024</v>
      </c>
      <c r="AC520" t="s">
        <v>644</v>
      </c>
    </row>
    <row r="521" spans="27:29">
      <c r="AA521" t="s">
        <v>3689</v>
      </c>
      <c r="AB521">
        <v>2025</v>
      </c>
      <c r="AC521" t="s">
        <v>33</v>
      </c>
    </row>
    <row r="522" spans="27:29">
      <c r="AA522" t="s">
        <v>3700</v>
      </c>
      <c r="AB522">
        <v>2024</v>
      </c>
      <c r="AC522" t="s">
        <v>2112</v>
      </c>
    </row>
    <row r="523" spans="27:29">
      <c r="AA523" t="s">
        <v>1983</v>
      </c>
      <c r="AB523">
        <v>2025</v>
      </c>
      <c r="AC523" t="s">
        <v>33</v>
      </c>
    </row>
    <row r="524" spans="27:29">
      <c r="AA524" t="s">
        <v>2672</v>
      </c>
      <c r="AB524">
        <v>2025</v>
      </c>
      <c r="AC524" t="s">
        <v>33</v>
      </c>
    </row>
    <row r="525" spans="27:29">
      <c r="AA525" t="s">
        <v>200</v>
      </c>
      <c r="AB525">
        <v>2024</v>
      </c>
      <c r="AC525" t="s">
        <v>33</v>
      </c>
    </row>
    <row r="526" spans="27:29">
      <c r="AA526" t="s">
        <v>1109</v>
      </c>
      <c r="AB526">
        <v>2025</v>
      </c>
      <c r="AC526" t="s">
        <v>33</v>
      </c>
    </row>
    <row r="527" spans="27:29">
      <c r="AA527" t="s">
        <v>967</v>
      </c>
      <c r="AB527">
        <v>2025</v>
      </c>
      <c r="AC527" t="s">
        <v>33</v>
      </c>
    </row>
    <row r="528" spans="27:29">
      <c r="AA528" t="s">
        <v>22</v>
      </c>
      <c r="AB528">
        <v>2025</v>
      </c>
      <c r="AC528" t="s">
        <v>33</v>
      </c>
    </row>
    <row r="529" spans="27:29">
      <c r="AA529" t="s">
        <v>1916</v>
      </c>
      <c r="AB529">
        <v>2024</v>
      </c>
      <c r="AC529" t="s">
        <v>33</v>
      </c>
    </row>
    <row r="530" spans="27:29">
      <c r="AA530" t="s">
        <v>1012</v>
      </c>
      <c r="AB530">
        <v>2025</v>
      </c>
      <c r="AC530" t="s">
        <v>33</v>
      </c>
    </row>
    <row r="531" spans="27:29">
      <c r="AA531" t="s">
        <v>128</v>
      </c>
      <c r="AB531">
        <v>2024</v>
      </c>
      <c r="AC531" t="s">
        <v>1125</v>
      </c>
    </row>
    <row r="532" spans="27:29">
      <c r="AA532" t="s">
        <v>22</v>
      </c>
      <c r="AB532">
        <v>2025</v>
      </c>
      <c r="AC532" t="s">
        <v>33</v>
      </c>
    </row>
    <row r="533" spans="27:29">
      <c r="AA533" t="s">
        <v>22</v>
      </c>
      <c r="AB533">
        <v>2025</v>
      </c>
      <c r="AC533" t="s">
        <v>33</v>
      </c>
    </row>
    <row r="534" spans="27:29">
      <c r="AA534" t="s">
        <v>3803</v>
      </c>
      <c r="AB534">
        <v>2024</v>
      </c>
      <c r="AC534" t="s">
        <v>49</v>
      </c>
    </row>
    <row r="535" spans="27:29">
      <c r="AA535" t="s">
        <v>1013</v>
      </c>
      <c r="AB535">
        <v>2024</v>
      </c>
      <c r="AC535" t="s">
        <v>33</v>
      </c>
    </row>
    <row r="536" spans="27:29">
      <c r="AA536" t="s">
        <v>1024</v>
      </c>
      <c r="AB536">
        <v>2024</v>
      </c>
      <c r="AC536" t="s">
        <v>33</v>
      </c>
    </row>
    <row r="537" spans="27:29">
      <c r="AA537" t="s">
        <v>3826</v>
      </c>
      <c r="AB537">
        <v>2024</v>
      </c>
      <c r="AC537" t="s">
        <v>33</v>
      </c>
    </row>
    <row r="538" spans="27:29">
      <c r="AA538" t="s">
        <v>2815</v>
      </c>
      <c r="AB538">
        <v>2024</v>
      </c>
      <c r="AC538" t="s">
        <v>3843</v>
      </c>
    </row>
    <row r="539" spans="27:29">
      <c r="AA539" t="s">
        <v>3849</v>
      </c>
      <c r="AB539">
        <v>2024</v>
      </c>
      <c r="AC539" t="s">
        <v>49</v>
      </c>
    </row>
    <row r="540" spans="27:29">
      <c r="AA540" t="s">
        <v>3861</v>
      </c>
      <c r="AB540">
        <v>2024</v>
      </c>
      <c r="AC540" t="s">
        <v>49</v>
      </c>
    </row>
    <row r="541" spans="27:29">
      <c r="AA541" t="s">
        <v>433</v>
      </c>
      <c r="AB541">
        <v>2024</v>
      </c>
      <c r="AC541" t="s">
        <v>33</v>
      </c>
    </row>
    <row r="542" spans="27:29">
      <c r="AA542" t="s">
        <v>3880</v>
      </c>
      <c r="AB542">
        <v>2024</v>
      </c>
      <c r="AC542" t="s">
        <v>33</v>
      </c>
    </row>
    <row r="543" spans="27:29">
      <c r="AA543" t="s">
        <v>3892</v>
      </c>
      <c r="AB543">
        <v>2025</v>
      </c>
      <c r="AC543" t="s">
        <v>33</v>
      </c>
    </row>
    <row r="544" spans="27:29">
      <c r="AA544" t="s">
        <v>3900</v>
      </c>
      <c r="AB544">
        <v>2025</v>
      </c>
      <c r="AC544" t="s">
        <v>33</v>
      </c>
    </row>
    <row r="545" spans="27:29">
      <c r="AA545" t="s">
        <v>3901</v>
      </c>
      <c r="AB545">
        <v>2025</v>
      </c>
      <c r="AC545" t="s">
        <v>33</v>
      </c>
    </row>
    <row r="546" spans="27:29">
      <c r="AA546" t="s">
        <v>3902</v>
      </c>
      <c r="AB546">
        <v>2025</v>
      </c>
      <c r="AC546" t="s">
        <v>33</v>
      </c>
    </row>
    <row r="547" spans="27:29">
      <c r="AA547" t="s">
        <v>3903</v>
      </c>
      <c r="AB547">
        <v>2025</v>
      </c>
      <c r="AC547" t="s">
        <v>33</v>
      </c>
    </row>
    <row r="548" spans="27:29">
      <c r="AA548" t="s">
        <v>3904</v>
      </c>
      <c r="AB548">
        <v>2024</v>
      </c>
      <c r="AC548" t="s">
        <v>49</v>
      </c>
    </row>
    <row r="549" spans="27:29">
      <c r="AA549" t="s">
        <v>3910</v>
      </c>
      <c r="AB549">
        <v>2024</v>
      </c>
      <c r="AC549" t="s">
        <v>49</v>
      </c>
    </row>
    <row r="550" spans="27:29">
      <c r="AA550" t="s">
        <v>1344</v>
      </c>
      <c r="AB550">
        <v>2024</v>
      </c>
      <c r="AC550" t="s">
        <v>49</v>
      </c>
    </row>
    <row r="551" spans="27:29">
      <c r="AA551" t="s">
        <v>3911</v>
      </c>
      <c r="AB551">
        <v>2025</v>
      </c>
      <c r="AC551" t="s">
        <v>33</v>
      </c>
    </row>
    <row r="552" spans="27:29">
      <c r="AA552" t="s">
        <v>3919</v>
      </c>
      <c r="AB552">
        <v>2025</v>
      </c>
      <c r="AC552" t="s">
        <v>33</v>
      </c>
    </row>
    <row r="553" spans="27:29">
      <c r="AA553" t="s">
        <v>385</v>
      </c>
      <c r="AB553">
        <v>2025</v>
      </c>
      <c r="AC553" t="s">
        <v>3676</v>
      </c>
    </row>
    <row r="554" spans="27:29">
      <c r="AA554" t="s">
        <v>3938</v>
      </c>
      <c r="AB554">
        <v>2025</v>
      </c>
      <c r="AC554" t="s">
        <v>33</v>
      </c>
    </row>
    <row r="555" spans="27:29">
      <c r="AA555" t="s">
        <v>3944</v>
      </c>
      <c r="AB555">
        <v>2025</v>
      </c>
      <c r="AC555" t="s">
        <v>33</v>
      </c>
    </row>
    <row r="556" spans="27:29">
      <c r="AA556" t="s">
        <v>1344</v>
      </c>
      <c r="AB556">
        <v>2025</v>
      </c>
      <c r="AC556" t="s">
        <v>33</v>
      </c>
    </row>
    <row r="557" spans="27:29">
      <c r="AA557" t="s">
        <v>433</v>
      </c>
      <c r="AB557">
        <v>2025</v>
      </c>
      <c r="AC557" t="s">
        <v>33</v>
      </c>
    </row>
    <row r="558" spans="27:29">
      <c r="AA558" t="s">
        <v>1916</v>
      </c>
      <c r="AB558">
        <v>2025</v>
      </c>
      <c r="AC558" t="s">
        <v>33</v>
      </c>
    </row>
    <row r="559" spans="27:29">
      <c r="AA559" t="s">
        <v>3910</v>
      </c>
      <c r="AB559">
        <v>2025</v>
      </c>
      <c r="AC559" t="s">
        <v>33</v>
      </c>
    </row>
    <row r="560" spans="27:29">
      <c r="AA560" t="s">
        <v>1369</v>
      </c>
      <c r="AB560">
        <v>2025</v>
      </c>
      <c r="AC560" t="s">
        <v>33</v>
      </c>
    </row>
    <row r="561" spans="27:29">
      <c r="AA561" t="s">
        <v>3959</v>
      </c>
      <c r="AB561">
        <v>2025</v>
      </c>
      <c r="AC561" t="s">
        <v>33</v>
      </c>
    </row>
    <row r="562" spans="27:29">
      <c r="AA562" t="s">
        <v>3969</v>
      </c>
      <c r="AB562">
        <v>2025</v>
      </c>
      <c r="AC562" t="s">
        <v>33</v>
      </c>
    </row>
    <row r="563" spans="27:29">
      <c r="AA563" t="s">
        <v>3970</v>
      </c>
      <c r="AB563">
        <v>2025</v>
      </c>
      <c r="AC563" t="s">
        <v>33</v>
      </c>
    </row>
    <row r="564" spans="27:29">
      <c r="AA564" t="s">
        <v>1723</v>
      </c>
      <c r="AB564">
        <v>2025</v>
      </c>
      <c r="AC564" t="s">
        <v>33</v>
      </c>
    </row>
    <row r="565" spans="27:29">
      <c r="AA565" t="s">
        <v>113</v>
      </c>
      <c r="AB565">
        <v>2024</v>
      </c>
      <c r="AC565" t="s">
        <v>33</v>
      </c>
    </row>
    <row r="566" spans="27:29">
      <c r="AA566" t="s">
        <v>1282</v>
      </c>
      <c r="AB566">
        <v>2025</v>
      </c>
      <c r="AC566" t="s">
        <v>3676</v>
      </c>
    </row>
    <row r="567" spans="27:29">
      <c r="AA567" t="s">
        <v>1673</v>
      </c>
      <c r="AB567">
        <v>2025</v>
      </c>
      <c r="AC567" t="s">
        <v>3676</v>
      </c>
    </row>
    <row r="568" spans="27:29">
      <c r="AA568" t="s">
        <v>4017</v>
      </c>
      <c r="AB568">
        <v>2025</v>
      </c>
      <c r="AC568" t="s">
        <v>49</v>
      </c>
    </row>
    <row r="569" spans="27:29">
      <c r="AA569" t="s">
        <v>635</v>
      </c>
      <c r="AB569">
        <v>2025</v>
      </c>
      <c r="AC569" t="s">
        <v>644</v>
      </c>
    </row>
    <row r="570" spans="27:29">
      <c r="AA570" t="s">
        <v>4028</v>
      </c>
      <c r="AB570">
        <v>2025</v>
      </c>
      <c r="AC570" t="s">
        <v>33</v>
      </c>
    </row>
    <row r="571" spans="27:29">
      <c r="AA571" t="s">
        <v>4039</v>
      </c>
      <c r="AB571">
        <v>2025</v>
      </c>
      <c r="AC571" t="s">
        <v>33</v>
      </c>
    </row>
    <row r="572" spans="27:29">
      <c r="AA572" t="s">
        <v>82</v>
      </c>
      <c r="AB572">
        <v>2024</v>
      </c>
      <c r="AC572" t="s">
        <v>33</v>
      </c>
    </row>
    <row r="573" spans="27:29">
      <c r="AA573" t="s">
        <v>4064</v>
      </c>
      <c r="AB573">
        <v>2024</v>
      </c>
      <c r="AC573" t="s">
        <v>33</v>
      </c>
    </row>
    <row r="574" spans="27:29">
      <c r="AA574" t="s">
        <v>3434</v>
      </c>
      <c r="AB574">
        <v>2024</v>
      </c>
      <c r="AC574" t="s">
        <v>33</v>
      </c>
    </row>
    <row r="575" spans="27:29">
      <c r="AA575" t="s">
        <v>214</v>
      </c>
      <c r="AB575">
        <v>2024</v>
      </c>
      <c r="AC575" t="s">
        <v>3843</v>
      </c>
    </row>
    <row r="576" spans="27:29">
      <c r="AA576" t="s">
        <v>996</v>
      </c>
      <c r="AB576">
        <v>2024</v>
      </c>
      <c r="AC576" t="s">
        <v>3843</v>
      </c>
    </row>
    <row r="577" spans="27:29">
      <c r="AA577" t="s">
        <v>4084</v>
      </c>
      <c r="AB577">
        <v>2025</v>
      </c>
      <c r="AC577" t="s">
        <v>2112</v>
      </c>
    </row>
    <row r="578" spans="27:29">
      <c r="AA578" t="s">
        <v>3589</v>
      </c>
      <c r="AB578">
        <v>2025</v>
      </c>
      <c r="AC578" t="s">
        <v>33</v>
      </c>
    </row>
    <row r="579" spans="27:29">
      <c r="AA579" t="s">
        <v>3588</v>
      </c>
      <c r="AB579">
        <v>2025</v>
      </c>
      <c r="AC579" t="s">
        <v>33</v>
      </c>
    </row>
    <row r="580" spans="27:29">
      <c r="AA580" t="s">
        <v>2629</v>
      </c>
      <c r="AB580">
        <v>2025</v>
      </c>
      <c r="AC580" t="s">
        <v>33</v>
      </c>
    </row>
    <row r="581" spans="27:29">
      <c r="AA581" t="s">
        <v>4100</v>
      </c>
      <c r="AB581">
        <v>2024</v>
      </c>
      <c r="AC581" t="s">
        <v>33</v>
      </c>
    </row>
    <row r="582" spans="27:29">
      <c r="AA582" t="s">
        <v>4110</v>
      </c>
      <c r="AB582">
        <v>2024</v>
      </c>
      <c r="AC582" t="s">
        <v>33</v>
      </c>
    </row>
    <row r="583" spans="27:29">
      <c r="AA583" t="s">
        <v>2935</v>
      </c>
      <c r="AB583">
        <v>2025</v>
      </c>
      <c r="AC583" t="s">
        <v>644</v>
      </c>
    </row>
    <row r="584" spans="27:29">
      <c r="AA584" t="s">
        <v>1673</v>
      </c>
      <c r="AB584">
        <v>2025</v>
      </c>
      <c r="AC584" t="s">
        <v>644</v>
      </c>
    </row>
    <row r="585" spans="27:29">
      <c r="AA585" t="s">
        <v>1282</v>
      </c>
      <c r="AB585">
        <v>2025</v>
      </c>
      <c r="AC585" t="s">
        <v>644</v>
      </c>
    </row>
    <row r="586" spans="27:29">
      <c r="AA586" t="s">
        <v>1969</v>
      </c>
      <c r="AB586">
        <v>2025</v>
      </c>
      <c r="AC586" t="s">
        <v>644</v>
      </c>
    </row>
    <row r="587" spans="27:29">
      <c r="AA587" t="s">
        <v>3013</v>
      </c>
      <c r="AB587">
        <v>2025</v>
      </c>
      <c r="AC587" t="s">
        <v>644</v>
      </c>
    </row>
    <row r="588" spans="27:29">
      <c r="AA588" t="s">
        <v>1344</v>
      </c>
      <c r="AB588">
        <v>2025</v>
      </c>
      <c r="AC588" t="s">
        <v>644</v>
      </c>
    </row>
    <row r="589" spans="27:29">
      <c r="AA589" t="s">
        <v>1916</v>
      </c>
      <c r="AB589">
        <v>2025</v>
      </c>
      <c r="AC589" t="s">
        <v>644</v>
      </c>
    </row>
    <row r="590" spans="27:29">
      <c r="AA590" t="s">
        <v>276</v>
      </c>
      <c r="AB590">
        <v>2025</v>
      </c>
      <c r="AC590" t="s">
        <v>2904</v>
      </c>
    </row>
    <row r="591" spans="27:29">
      <c r="AA591" t="s">
        <v>4146</v>
      </c>
      <c r="AB591">
        <v>2024</v>
      </c>
      <c r="AC591" t="s">
        <v>33</v>
      </c>
    </row>
    <row r="592" spans="27:29">
      <c r="AA592" t="s">
        <v>386</v>
      </c>
      <c r="AB592">
        <v>2024</v>
      </c>
      <c r="AC592" t="s">
        <v>33</v>
      </c>
    </row>
    <row r="593" spans="27:29">
      <c r="AA593" t="s">
        <v>4171</v>
      </c>
      <c r="AB593">
        <v>2025</v>
      </c>
      <c r="AC593" t="s">
        <v>33</v>
      </c>
    </row>
    <row r="594" spans="27:29">
      <c r="AA594" t="s">
        <v>39</v>
      </c>
      <c r="AB594">
        <v>2025</v>
      </c>
      <c r="AC594" t="s">
        <v>2904</v>
      </c>
    </row>
    <row r="595" spans="27:29">
      <c r="AA595" t="s">
        <v>4190</v>
      </c>
      <c r="AB595">
        <v>2025</v>
      </c>
      <c r="AC595" t="s">
        <v>33</v>
      </c>
    </row>
    <row r="596" spans="27:29">
      <c r="AA596" t="s">
        <v>1355</v>
      </c>
      <c r="AB596">
        <v>2024</v>
      </c>
      <c r="AC596" t="s">
        <v>33</v>
      </c>
    </row>
    <row r="597" spans="27:29">
      <c r="AA597" t="s">
        <v>3689</v>
      </c>
      <c r="AB597">
        <v>2024</v>
      </c>
      <c r="AC597" t="s">
        <v>33</v>
      </c>
    </row>
    <row r="598" spans="27:29">
      <c r="AA598" t="s">
        <v>2572</v>
      </c>
      <c r="AB598">
        <v>2024</v>
      </c>
      <c r="AC598" t="s">
        <v>33</v>
      </c>
    </row>
    <row r="599" spans="27:29">
      <c r="AA599" t="s">
        <v>3689</v>
      </c>
      <c r="AB599">
        <v>2024</v>
      </c>
      <c r="AC599" t="s">
        <v>33</v>
      </c>
    </row>
    <row r="600" spans="27:29">
      <c r="AA600" t="s">
        <v>4227</v>
      </c>
      <c r="AB600">
        <v>2024</v>
      </c>
      <c r="AC600" t="s">
        <v>33</v>
      </c>
    </row>
    <row r="601" spans="27:29">
      <c r="AA601" t="s">
        <v>4228</v>
      </c>
      <c r="AB601">
        <v>2024</v>
      </c>
      <c r="AC601" t="s">
        <v>33</v>
      </c>
    </row>
    <row r="602" spans="27:29">
      <c r="AA602" t="s">
        <v>4229</v>
      </c>
      <c r="AB602">
        <v>2024</v>
      </c>
      <c r="AC602" t="s">
        <v>33</v>
      </c>
    </row>
    <row r="603" spans="27:29">
      <c r="AA603" t="s">
        <v>1051</v>
      </c>
      <c r="AB603">
        <v>2024</v>
      </c>
      <c r="AC603" t="s">
        <v>33</v>
      </c>
    </row>
    <row r="604" spans="27:29">
      <c r="AA604" t="s">
        <v>4240</v>
      </c>
      <c r="AB604">
        <v>2024</v>
      </c>
      <c r="AC604" t="s">
        <v>33</v>
      </c>
    </row>
    <row r="605" spans="27:29">
      <c r="AA605" t="s">
        <v>4250</v>
      </c>
      <c r="AB605">
        <v>2025</v>
      </c>
      <c r="AC605" t="s">
        <v>33</v>
      </c>
    </row>
    <row r="606" spans="27:29">
      <c r="AA606" t="s">
        <v>22</v>
      </c>
      <c r="AB606">
        <v>2025</v>
      </c>
      <c r="AC606" t="s">
        <v>1125</v>
      </c>
    </row>
    <row r="607" spans="27:29">
      <c r="AA607" t="s">
        <v>200</v>
      </c>
      <c r="AB607">
        <v>2025</v>
      </c>
      <c r="AC607" t="s">
        <v>33</v>
      </c>
    </row>
    <row r="608" spans="27:29">
      <c r="AA608" t="s">
        <v>4283</v>
      </c>
      <c r="AB608">
        <v>2025</v>
      </c>
      <c r="AC608" t="s">
        <v>33</v>
      </c>
    </row>
    <row r="609" spans="27:29">
      <c r="AA609" t="s">
        <v>3074</v>
      </c>
      <c r="AB609">
        <v>2025</v>
      </c>
      <c r="AC609" t="s">
        <v>644</v>
      </c>
    </row>
    <row r="610" spans="27:29">
      <c r="AA610" t="s">
        <v>4300</v>
      </c>
      <c r="AB610">
        <v>2025</v>
      </c>
      <c r="AC610" t="s">
        <v>644</v>
      </c>
    </row>
    <row r="611" spans="27:29">
      <c r="AA611" t="s">
        <v>2006</v>
      </c>
      <c r="AB611">
        <v>2025</v>
      </c>
      <c r="AC611" t="s">
        <v>33</v>
      </c>
    </row>
    <row r="612" spans="27:29">
      <c r="AA612" t="s">
        <v>4312</v>
      </c>
      <c r="AB612">
        <v>2025</v>
      </c>
      <c r="AC612" t="s">
        <v>33</v>
      </c>
    </row>
    <row r="613" spans="27:29">
      <c r="AA613" t="s">
        <v>635</v>
      </c>
      <c r="AB613">
        <v>2025</v>
      </c>
      <c r="AC613" t="s">
        <v>2904</v>
      </c>
    </row>
    <row r="614" spans="27:29">
      <c r="AA614" t="s">
        <v>3141</v>
      </c>
      <c r="AB614">
        <v>2025</v>
      </c>
      <c r="AC614" t="s">
        <v>33</v>
      </c>
    </row>
    <row r="615" spans="27:29">
      <c r="AA615" t="s">
        <v>4344</v>
      </c>
      <c r="AB615">
        <v>2025</v>
      </c>
      <c r="AC615" t="s">
        <v>33</v>
      </c>
    </row>
    <row r="616" spans="27:29">
      <c r="AA616" t="s">
        <v>128</v>
      </c>
      <c r="AB616">
        <v>2025</v>
      </c>
      <c r="AC616" t="s">
        <v>2112</v>
      </c>
    </row>
    <row r="617" spans="27:29">
      <c r="AA617" t="s">
        <v>3365</v>
      </c>
      <c r="AB617">
        <v>2025</v>
      </c>
      <c r="AC617" t="s">
        <v>33</v>
      </c>
    </row>
    <row r="618" spans="27:29">
      <c r="AA618" t="s">
        <v>4376</v>
      </c>
      <c r="AB618">
        <v>2025</v>
      </c>
      <c r="AC618" t="s">
        <v>33</v>
      </c>
    </row>
    <row r="619" spans="27:29">
      <c r="AA619" t="s">
        <v>4388</v>
      </c>
      <c r="AB619">
        <v>2025</v>
      </c>
      <c r="AC619" t="s">
        <v>33</v>
      </c>
    </row>
    <row r="620" spans="27:29">
      <c r="AA620" t="s">
        <v>4389</v>
      </c>
      <c r="AB620">
        <v>2025</v>
      </c>
      <c r="AC620" t="s">
        <v>33</v>
      </c>
    </row>
    <row r="621" spans="27:29">
      <c r="AA621" t="s">
        <v>4395</v>
      </c>
      <c r="AB621">
        <v>2025</v>
      </c>
      <c r="AC621" t="s">
        <v>33</v>
      </c>
    </row>
    <row r="622" spans="27:29">
      <c r="AA622" t="s">
        <v>4396</v>
      </c>
      <c r="AB622">
        <v>2025</v>
      </c>
      <c r="AC622" t="s">
        <v>33</v>
      </c>
    </row>
    <row r="623" spans="27:29">
      <c r="AA623" t="s">
        <v>4397</v>
      </c>
      <c r="AB623">
        <v>2025</v>
      </c>
      <c r="AC623" t="s">
        <v>33</v>
      </c>
    </row>
    <row r="624" spans="27:29">
      <c r="AA624" t="s">
        <v>3919</v>
      </c>
      <c r="AB624">
        <v>2025</v>
      </c>
      <c r="AC624" t="s">
        <v>49</v>
      </c>
    </row>
    <row r="625" spans="27:29">
      <c r="AA625" t="s">
        <v>3141</v>
      </c>
      <c r="AB625">
        <v>2025</v>
      </c>
      <c r="AC625" t="s">
        <v>644</v>
      </c>
    </row>
    <row r="626" spans="27:29">
      <c r="AA626" t="s">
        <v>4412</v>
      </c>
      <c r="AB626">
        <v>2025</v>
      </c>
      <c r="AC626" t="s">
        <v>644</v>
      </c>
    </row>
    <row r="627" spans="27:29">
      <c r="AA627" t="s">
        <v>1319</v>
      </c>
      <c r="AB627">
        <v>2025</v>
      </c>
      <c r="AC627" t="s">
        <v>644</v>
      </c>
    </row>
    <row r="628" spans="27:29">
      <c r="AA628" t="s">
        <v>4414</v>
      </c>
      <c r="AB628">
        <v>2025</v>
      </c>
      <c r="AC628" t="s">
        <v>33</v>
      </c>
    </row>
    <row r="629" spans="27:29">
      <c r="AA629" t="s">
        <v>4426</v>
      </c>
      <c r="AB629">
        <v>2024</v>
      </c>
      <c r="AC629" t="s">
        <v>1125</v>
      </c>
    </row>
    <row r="630" spans="27:29">
      <c r="AA630" t="s">
        <v>4436</v>
      </c>
      <c r="AB630">
        <v>2024</v>
      </c>
      <c r="AC630" t="s">
        <v>33</v>
      </c>
    </row>
    <row r="631" spans="27:29">
      <c r="AA631" t="s">
        <v>4445</v>
      </c>
      <c r="AB631">
        <v>2024</v>
      </c>
      <c r="AC631" t="s">
        <v>33</v>
      </c>
    </row>
    <row r="632" spans="27:29">
      <c r="AA632" t="s">
        <v>3074</v>
      </c>
      <c r="AB632">
        <v>2025</v>
      </c>
      <c r="AC632" t="s">
        <v>33</v>
      </c>
    </row>
    <row r="633" spans="27:29">
      <c r="AA633" t="s">
        <v>128</v>
      </c>
      <c r="AB633">
        <v>2025</v>
      </c>
      <c r="AC633" t="s">
        <v>1125</v>
      </c>
    </row>
    <row r="634" spans="27:29">
      <c r="AA634" t="s">
        <v>4459</v>
      </c>
      <c r="AB634">
        <v>2024</v>
      </c>
      <c r="AC634" t="s">
        <v>33</v>
      </c>
    </row>
    <row r="635" spans="27:29">
      <c r="AA635" t="s">
        <v>39</v>
      </c>
      <c r="AB635">
        <v>2024</v>
      </c>
      <c r="AC635" t="s">
        <v>644</v>
      </c>
    </row>
    <row r="636" spans="27:29">
      <c r="AA636" t="s">
        <v>4478</v>
      </c>
      <c r="AB636">
        <v>2025</v>
      </c>
      <c r="AC636" t="s">
        <v>33</v>
      </c>
    </row>
    <row r="637" spans="27:29">
      <c r="AA637" t="s">
        <v>3093</v>
      </c>
      <c r="AB637">
        <v>2025</v>
      </c>
      <c r="AC637" t="s">
        <v>33</v>
      </c>
    </row>
    <row r="638" spans="27:29">
      <c r="AA638" t="s">
        <v>4491</v>
      </c>
      <c r="AB638">
        <v>2025</v>
      </c>
      <c r="AC638" t="s">
        <v>33</v>
      </c>
    </row>
    <row r="639" spans="27:29">
      <c r="AA639" t="s">
        <v>4503</v>
      </c>
      <c r="AB639">
        <v>2025</v>
      </c>
      <c r="AC639" t="s">
        <v>33</v>
      </c>
    </row>
    <row r="640" spans="27:29">
      <c r="AA640" t="s">
        <v>3959</v>
      </c>
      <c r="AB640">
        <v>2025</v>
      </c>
      <c r="AC640" t="s">
        <v>33</v>
      </c>
    </row>
    <row r="641" spans="27:29">
      <c r="AA641" t="s">
        <v>4504</v>
      </c>
      <c r="AB641">
        <v>2024</v>
      </c>
      <c r="AC641" t="s">
        <v>33</v>
      </c>
    </row>
    <row r="642" spans="27:29">
      <c r="AA642" t="s">
        <v>3141</v>
      </c>
      <c r="AB642">
        <v>2024</v>
      </c>
      <c r="AC642" t="s">
        <v>33</v>
      </c>
    </row>
    <row r="643" spans="27:29">
      <c r="AA643" t="s">
        <v>4521</v>
      </c>
      <c r="AB643">
        <v>2025</v>
      </c>
      <c r="AC643" t="s">
        <v>49</v>
      </c>
    </row>
    <row r="644" spans="27:29">
      <c r="AA644" t="s">
        <v>1012</v>
      </c>
      <c r="AB644">
        <v>2025</v>
      </c>
      <c r="AC644" t="s">
        <v>3843</v>
      </c>
    </row>
    <row r="645" spans="27:29">
      <c r="AA645" t="s">
        <v>1310</v>
      </c>
      <c r="AB645">
        <v>2025</v>
      </c>
      <c r="AC645" t="s">
        <v>3843</v>
      </c>
    </row>
    <row r="646" spans="27:29">
      <c r="AA646" t="s">
        <v>4531</v>
      </c>
      <c r="AB646">
        <v>2025</v>
      </c>
      <c r="AC646" t="s">
        <v>3843</v>
      </c>
    </row>
    <row r="647" spans="27:29">
      <c r="AA647" t="s">
        <v>996</v>
      </c>
      <c r="AB647">
        <v>2025</v>
      </c>
      <c r="AC647" t="s">
        <v>3843</v>
      </c>
    </row>
    <row r="648" spans="27:29">
      <c r="AA648" t="s">
        <v>3689</v>
      </c>
      <c r="AB648">
        <v>2025</v>
      </c>
      <c r="AC648" t="s">
        <v>33</v>
      </c>
    </row>
    <row r="649" spans="27:29">
      <c r="AA649" t="s">
        <v>3861</v>
      </c>
      <c r="AB649">
        <v>2024</v>
      </c>
      <c r="AC649" t="s">
        <v>33</v>
      </c>
    </row>
    <row r="650" spans="27:29">
      <c r="AA650" t="s">
        <v>4553</v>
      </c>
      <c r="AB650">
        <v>2024</v>
      </c>
      <c r="AC650" t="s">
        <v>33</v>
      </c>
    </row>
    <row r="651" spans="27:29">
      <c r="AA651" t="s">
        <v>4554</v>
      </c>
      <c r="AB651">
        <v>2025</v>
      </c>
      <c r="AC651" t="s">
        <v>33</v>
      </c>
    </row>
    <row r="652" spans="27:29">
      <c r="AA652" t="s">
        <v>3970</v>
      </c>
      <c r="AB652">
        <v>2025</v>
      </c>
      <c r="AC652" t="s">
        <v>33</v>
      </c>
    </row>
    <row r="653" spans="27:29">
      <c r="AA653" t="s">
        <v>4559</v>
      </c>
      <c r="AB653">
        <v>2025</v>
      </c>
      <c r="AC653" t="s">
        <v>33</v>
      </c>
    </row>
    <row r="654" spans="27:29">
      <c r="AA654" t="s">
        <v>4572</v>
      </c>
      <c r="AB654">
        <v>2025</v>
      </c>
      <c r="AC654" t="s">
        <v>33</v>
      </c>
    </row>
    <row r="655" spans="27:29">
      <c r="AA655" t="s">
        <v>3553</v>
      </c>
      <c r="AB655">
        <v>2024</v>
      </c>
      <c r="AC655" t="s">
        <v>2112</v>
      </c>
    </row>
    <row r="656" spans="27:29">
      <c r="AA656" t="s">
        <v>1051</v>
      </c>
      <c r="AB656">
        <v>2025</v>
      </c>
      <c r="AC656" t="s">
        <v>2112</v>
      </c>
    </row>
    <row r="657" spans="27:29">
      <c r="AA657" t="s">
        <v>4594</v>
      </c>
      <c r="AB657">
        <v>2025</v>
      </c>
      <c r="AC657" t="s">
        <v>33</v>
      </c>
    </row>
    <row r="658" spans="27:29">
      <c r="AA658" t="s">
        <v>4607</v>
      </c>
      <c r="AB658">
        <v>2025</v>
      </c>
      <c r="AC658" t="s">
        <v>33</v>
      </c>
    </row>
    <row r="659" spans="27:29">
      <c r="AA659" t="s">
        <v>4618</v>
      </c>
      <c r="AB659">
        <v>2025</v>
      </c>
      <c r="AC659" t="s">
        <v>33</v>
      </c>
    </row>
    <row r="660" spans="27:29">
      <c r="AA660" t="s">
        <v>4628</v>
      </c>
      <c r="AB660">
        <v>2025</v>
      </c>
      <c r="AC660" t="s">
        <v>33</v>
      </c>
    </row>
    <row r="661" spans="27:29">
      <c r="AA661" t="s">
        <v>3589</v>
      </c>
      <c r="AB661">
        <v>2025</v>
      </c>
      <c r="AC661" t="s">
        <v>33</v>
      </c>
    </row>
    <row r="662" spans="27:29">
      <c r="AA662" t="s">
        <v>2629</v>
      </c>
      <c r="AB662">
        <v>2025</v>
      </c>
      <c r="AC662" t="s">
        <v>33</v>
      </c>
    </row>
    <row r="663" spans="27:29">
      <c r="AA663" t="s">
        <v>1619</v>
      </c>
      <c r="AB663">
        <v>2025</v>
      </c>
      <c r="AC663" t="s">
        <v>2112</v>
      </c>
    </row>
    <row r="664" spans="27:29">
      <c r="AA664" t="s">
        <v>4644</v>
      </c>
      <c r="AB664">
        <v>2024</v>
      </c>
      <c r="AC664" t="s">
        <v>33</v>
      </c>
    </row>
    <row r="665" spans="27:29">
      <c r="AA665" t="s">
        <v>4649</v>
      </c>
      <c r="AB665">
        <v>2024</v>
      </c>
      <c r="AC665" t="s">
        <v>33</v>
      </c>
    </row>
    <row r="666" spans="27:29">
      <c r="AA666" t="s">
        <v>1344</v>
      </c>
      <c r="AB666">
        <v>2024</v>
      </c>
      <c r="AC666" t="s">
        <v>33</v>
      </c>
    </row>
    <row r="667" spans="27:29">
      <c r="AA667" t="s">
        <v>4650</v>
      </c>
      <c r="AB667">
        <v>2024</v>
      </c>
      <c r="AC667" t="s">
        <v>33</v>
      </c>
    </row>
    <row r="668" spans="27:29">
      <c r="AA668" t="s">
        <v>4655</v>
      </c>
      <c r="AB668">
        <v>2025</v>
      </c>
      <c r="AC668" t="s">
        <v>49</v>
      </c>
    </row>
    <row r="669" spans="27:29">
      <c r="AA669" t="s">
        <v>4667</v>
      </c>
      <c r="AB669">
        <v>2025</v>
      </c>
      <c r="AC669" t="s">
        <v>33</v>
      </c>
    </row>
    <row r="670" spans="27:29">
      <c r="AA670" t="s">
        <v>22</v>
      </c>
      <c r="AB670">
        <v>2025</v>
      </c>
      <c r="AC670" t="s">
        <v>3676</v>
      </c>
    </row>
    <row r="671" spans="27:29">
      <c r="AA671" t="s">
        <v>493</v>
      </c>
      <c r="AB671">
        <v>2025</v>
      </c>
      <c r="AC671" t="s">
        <v>33</v>
      </c>
    </row>
    <row r="672" spans="27:29">
      <c r="AA672" t="s">
        <v>712</v>
      </c>
      <c r="AB672">
        <v>2025</v>
      </c>
      <c r="AC672" t="s">
        <v>33</v>
      </c>
    </row>
    <row r="673" spans="27:29">
      <c r="AA673" t="s">
        <v>4701</v>
      </c>
      <c r="AB673">
        <v>2025</v>
      </c>
      <c r="AC673" t="s">
        <v>33</v>
      </c>
    </row>
    <row r="674" spans="27:29">
      <c r="AA674" t="s">
        <v>635</v>
      </c>
      <c r="AB674">
        <v>2025</v>
      </c>
      <c r="AC674" t="s">
        <v>33</v>
      </c>
    </row>
    <row r="675" spans="27:29">
      <c r="AA675" t="s">
        <v>2358</v>
      </c>
      <c r="AB675">
        <v>2025</v>
      </c>
      <c r="AC675" t="s">
        <v>49</v>
      </c>
    </row>
    <row r="676" spans="27:29">
      <c r="AA676" t="s">
        <v>4726</v>
      </c>
      <c r="AB676">
        <v>2024</v>
      </c>
      <c r="AC676" t="s">
        <v>33</v>
      </c>
    </row>
    <row r="677" spans="27:29">
      <c r="AA677" t="s">
        <v>4732</v>
      </c>
      <c r="AB677">
        <v>2024</v>
      </c>
      <c r="AC677" t="s">
        <v>33</v>
      </c>
    </row>
    <row r="678" spans="27:29">
      <c r="AA678" t="s">
        <v>4743</v>
      </c>
      <c r="AB678">
        <v>2025</v>
      </c>
      <c r="AC678" t="s">
        <v>33</v>
      </c>
    </row>
    <row r="679" spans="27:29">
      <c r="AA679" t="s">
        <v>4756</v>
      </c>
      <c r="AB679">
        <v>2025</v>
      </c>
      <c r="AC679" t="s">
        <v>33</v>
      </c>
    </row>
    <row r="680" spans="27:29">
      <c r="AA680" t="s">
        <v>4768</v>
      </c>
      <c r="AB680">
        <v>2025</v>
      </c>
      <c r="AC680" t="s">
        <v>33</v>
      </c>
    </row>
    <row r="681" spans="27:29">
      <c r="AA681" t="s">
        <v>4300</v>
      </c>
      <c r="AB681">
        <v>2025</v>
      </c>
      <c r="AC681" t="s">
        <v>33</v>
      </c>
    </row>
    <row r="682" spans="27:29">
      <c r="AA682" t="s">
        <v>4789</v>
      </c>
      <c r="AB682">
        <v>2025</v>
      </c>
      <c r="AC682" t="s">
        <v>33</v>
      </c>
    </row>
    <row r="683" spans="27:29">
      <c r="AA683" t="s">
        <v>1396</v>
      </c>
      <c r="AB683">
        <v>2025</v>
      </c>
      <c r="AC683" t="s">
        <v>33</v>
      </c>
    </row>
    <row r="684" spans="27:29">
      <c r="AA684" t="s">
        <v>2815</v>
      </c>
      <c r="AB684">
        <v>2025</v>
      </c>
      <c r="AC684" t="s">
        <v>33</v>
      </c>
    </row>
    <row r="685" spans="27:29">
      <c r="AA685" t="s">
        <v>1024</v>
      </c>
      <c r="AB685">
        <v>2025</v>
      </c>
      <c r="AC685" t="s">
        <v>33</v>
      </c>
    </row>
    <row r="686" spans="27:29">
      <c r="AA686" t="s">
        <v>3141</v>
      </c>
      <c r="AB686">
        <v>2025</v>
      </c>
      <c r="AC686" t="s">
        <v>33</v>
      </c>
    </row>
    <row r="687" spans="27:29">
      <c r="AA687" t="s">
        <v>1319</v>
      </c>
      <c r="AB687">
        <v>2025</v>
      </c>
      <c r="AC687" t="s">
        <v>33</v>
      </c>
    </row>
    <row r="688" spans="27:29">
      <c r="AA688" t="s">
        <v>1024</v>
      </c>
      <c r="AB688">
        <v>2024</v>
      </c>
      <c r="AC688" t="s">
        <v>33</v>
      </c>
    </row>
    <row r="689" spans="27:29">
      <c r="AA689" t="s">
        <v>265</v>
      </c>
      <c r="AB689">
        <v>2024</v>
      </c>
      <c r="AC689" t="s">
        <v>33</v>
      </c>
    </row>
    <row r="690" spans="27:29">
      <c r="AA690" t="s">
        <v>1619</v>
      </c>
      <c r="AB690">
        <v>2025</v>
      </c>
      <c r="AC690" t="s">
        <v>2112</v>
      </c>
    </row>
    <row r="691" spans="27:29">
      <c r="AA691" t="s">
        <v>128</v>
      </c>
      <c r="AB691">
        <v>2024</v>
      </c>
      <c r="AC691" t="s">
        <v>1125</v>
      </c>
    </row>
    <row r="692" spans="27:29">
      <c r="AA692" t="s">
        <v>276</v>
      </c>
      <c r="AB692">
        <v>2025</v>
      </c>
      <c r="AC692" t="s">
        <v>33</v>
      </c>
    </row>
    <row r="693" spans="27:29">
      <c r="AA693" t="s">
        <v>834</v>
      </c>
      <c r="AB693">
        <v>2024</v>
      </c>
      <c r="AC693" t="s">
        <v>33</v>
      </c>
    </row>
    <row r="694" spans="27:29">
      <c r="AA694" t="s">
        <v>4859</v>
      </c>
      <c r="AB694">
        <v>2024</v>
      </c>
      <c r="AC694" t="s">
        <v>33</v>
      </c>
    </row>
    <row r="695" spans="27:29">
      <c r="AA695" t="s">
        <v>2728</v>
      </c>
      <c r="AB695">
        <v>2025</v>
      </c>
      <c r="AC695" t="s">
        <v>33</v>
      </c>
    </row>
    <row r="696" spans="27:29">
      <c r="AA696" t="s">
        <v>4878</v>
      </c>
      <c r="AB696">
        <v>2024</v>
      </c>
      <c r="AC696" t="s">
        <v>33</v>
      </c>
    </row>
    <row r="697" spans="27:29">
      <c r="AA697" t="s">
        <v>4553</v>
      </c>
      <c r="AB697">
        <v>2024</v>
      </c>
      <c r="AC697" t="s">
        <v>33</v>
      </c>
    </row>
    <row r="698" spans="27:29">
      <c r="AA698" t="s">
        <v>4886</v>
      </c>
      <c r="AB698">
        <v>2024</v>
      </c>
      <c r="AC698" t="s">
        <v>33</v>
      </c>
    </row>
    <row r="699" spans="27:29">
      <c r="AA699" t="s">
        <v>4895</v>
      </c>
      <c r="AB699">
        <v>2024</v>
      </c>
      <c r="AC699" t="s">
        <v>33</v>
      </c>
    </row>
    <row r="700" spans="27:29">
      <c r="AA700" t="s">
        <v>4907</v>
      </c>
      <c r="AB700">
        <v>2025</v>
      </c>
      <c r="AC700" t="s">
        <v>33</v>
      </c>
    </row>
    <row r="701" spans="27:29">
      <c r="AA701" t="s">
        <v>296</v>
      </c>
      <c r="AB701">
        <v>2025</v>
      </c>
      <c r="AC701" t="s">
        <v>33</v>
      </c>
    </row>
    <row r="702" spans="27:29">
      <c r="AA702" t="s">
        <v>4916</v>
      </c>
      <c r="AB702">
        <v>2025</v>
      </c>
      <c r="AC702" t="s">
        <v>33</v>
      </c>
    </row>
    <row r="703" spans="27:29">
      <c r="AA703" t="s">
        <v>4917</v>
      </c>
      <c r="AB703">
        <v>2024</v>
      </c>
      <c r="AC703" t="s">
        <v>33</v>
      </c>
    </row>
    <row r="704" spans="27:29">
      <c r="AA704" t="s">
        <v>3093</v>
      </c>
      <c r="AB704">
        <v>2024</v>
      </c>
      <c r="AC704" t="s">
        <v>33</v>
      </c>
    </row>
    <row r="705" spans="27:29">
      <c r="AA705" t="s">
        <v>4923</v>
      </c>
      <c r="AB705">
        <v>2025</v>
      </c>
      <c r="AC705" t="s">
        <v>33</v>
      </c>
    </row>
    <row r="706" spans="27:29">
      <c r="AA706" t="s">
        <v>4935</v>
      </c>
      <c r="AB706">
        <v>2025</v>
      </c>
      <c r="AC706" t="s">
        <v>33</v>
      </c>
    </row>
    <row r="707" spans="27:29">
      <c r="AA707" t="s">
        <v>4936</v>
      </c>
      <c r="AB707">
        <v>2025</v>
      </c>
      <c r="AC707" t="s">
        <v>33</v>
      </c>
    </row>
    <row r="708" spans="27:29">
      <c r="AA708" t="s">
        <v>4937</v>
      </c>
      <c r="AB708">
        <v>2025</v>
      </c>
      <c r="AC708" t="s">
        <v>33</v>
      </c>
    </row>
    <row r="709" spans="27:29">
      <c r="AA709" t="s">
        <v>4938</v>
      </c>
      <c r="AB709">
        <v>2025</v>
      </c>
      <c r="AC709" t="s">
        <v>33</v>
      </c>
    </row>
    <row r="710" spans="27:29">
      <c r="AA710" t="s">
        <v>4939</v>
      </c>
      <c r="AB710">
        <v>2025</v>
      </c>
      <c r="AC710" t="s">
        <v>33</v>
      </c>
    </row>
    <row r="711" spans="27:29">
      <c r="AA711" t="s">
        <v>1320</v>
      </c>
      <c r="AB711">
        <v>2025</v>
      </c>
      <c r="AC711" t="s">
        <v>33</v>
      </c>
    </row>
    <row r="712" spans="27:29">
      <c r="AA712" t="s">
        <v>4948</v>
      </c>
      <c r="AB712">
        <v>2025</v>
      </c>
      <c r="AC712" t="s">
        <v>33</v>
      </c>
    </row>
    <row r="713" spans="27:29">
      <c r="AA713" t="s">
        <v>128</v>
      </c>
      <c r="AB713">
        <v>2025</v>
      </c>
      <c r="AC713" t="s">
        <v>33</v>
      </c>
    </row>
    <row r="714" spans="27:29">
      <c r="AA714" t="s">
        <v>4971</v>
      </c>
      <c r="AB714">
        <v>2025</v>
      </c>
      <c r="AC714" t="s">
        <v>33</v>
      </c>
    </row>
    <row r="715" spans="27:29">
      <c r="AA715" t="s">
        <v>3688</v>
      </c>
      <c r="AB715">
        <v>2025</v>
      </c>
      <c r="AC715" t="s">
        <v>33</v>
      </c>
    </row>
    <row r="716" spans="27:29">
      <c r="AA716" t="s">
        <v>4039</v>
      </c>
      <c r="AB716">
        <v>2025</v>
      </c>
      <c r="AC716" t="s">
        <v>33</v>
      </c>
    </row>
    <row r="717" spans="27:29">
      <c r="AA717" t="s">
        <v>822</v>
      </c>
      <c r="AB717">
        <v>2025</v>
      </c>
      <c r="AC717" t="s">
        <v>33</v>
      </c>
    </row>
    <row r="718" spans="27:29">
      <c r="AA718" t="s">
        <v>5004</v>
      </c>
      <c r="AB718">
        <v>2024</v>
      </c>
      <c r="AC718" t="s">
        <v>33</v>
      </c>
    </row>
    <row r="719" spans="27:29">
      <c r="AA719" t="s">
        <v>635</v>
      </c>
      <c r="AB719">
        <v>2025</v>
      </c>
      <c r="AC719" t="s">
        <v>3676</v>
      </c>
    </row>
    <row r="720" spans="27:29">
      <c r="AA720" t="s">
        <v>276</v>
      </c>
      <c r="AB720">
        <v>2025</v>
      </c>
      <c r="AC720" t="s">
        <v>49</v>
      </c>
    </row>
    <row r="721" spans="27:29">
      <c r="AA721" t="s">
        <v>5027</v>
      </c>
      <c r="AB721">
        <v>2025</v>
      </c>
      <c r="AC721" t="s">
        <v>49</v>
      </c>
    </row>
    <row r="722" spans="27:29">
      <c r="AA722" t="s">
        <v>5036</v>
      </c>
      <c r="AB722">
        <v>2024</v>
      </c>
      <c r="AC722" t="s">
        <v>33</v>
      </c>
    </row>
    <row r="723" spans="27:29">
      <c r="AA723" t="s">
        <v>3589</v>
      </c>
      <c r="AB723">
        <v>2025</v>
      </c>
      <c r="AC723" t="s">
        <v>33</v>
      </c>
    </row>
    <row r="724" spans="27:29">
      <c r="AA724" t="s">
        <v>5052</v>
      </c>
      <c r="AB724">
        <v>2025</v>
      </c>
      <c r="AC724" t="s">
        <v>33</v>
      </c>
    </row>
    <row r="725" spans="27:29">
      <c r="AA725" t="s">
        <v>5053</v>
      </c>
      <c r="AB725">
        <v>2024</v>
      </c>
      <c r="AC725" t="s">
        <v>33</v>
      </c>
    </row>
    <row r="726" spans="27:29">
      <c r="AA726" t="s">
        <v>5062</v>
      </c>
      <c r="AB726">
        <v>2024</v>
      </c>
      <c r="AC726" t="s">
        <v>33</v>
      </c>
    </row>
    <row r="727" spans="27:29">
      <c r="AA727" t="s">
        <v>3386</v>
      </c>
      <c r="AB727">
        <v>2024</v>
      </c>
      <c r="AC727" t="s">
        <v>33</v>
      </c>
    </row>
    <row r="728" spans="27:29">
      <c r="AA728" t="s">
        <v>4395</v>
      </c>
      <c r="AB728">
        <v>2025</v>
      </c>
      <c r="AC728" t="s">
        <v>49</v>
      </c>
    </row>
    <row r="729" spans="27:29">
      <c r="AA729" t="s">
        <v>1480</v>
      </c>
      <c r="AB729">
        <v>2024</v>
      </c>
      <c r="AC729" t="s">
        <v>644</v>
      </c>
    </row>
    <row r="730" spans="27:29">
      <c r="AA730" t="s">
        <v>386</v>
      </c>
      <c r="AB730">
        <v>2024</v>
      </c>
      <c r="AC730" t="s">
        <v>49</v>
      </c>
    </row>
    <row r="731" spans="27:29">
      <c r="AA731" t="s">
        <v>5093</v>
      </c>
      <c r="AB731">
        <v>2025</v>
      </c>
      <c r="AC731" t="s">
        <v>2112</v>
      </c>
    </row>
    <row r="732" spans="27:29">
      <c r="AA732" t="s">
        <v>3700</v>
      </c>
      <c r="AB732">
        <v>2025</v>
      </c>
      <c r="AC732" t="s">
        <v>2112</v>
      </c>
    </row>
    <row r="733" spans="27:29">
      <c r="AA733" t="s">
        <v>5098</v>
      </c>
      <c r="AB733">
        <v>2025</v>
      </c>
      <c r="AC733" t="s">
        <v>33</v>
      </c>
    </row>
    <row r="734" spans="27:29">
      <c r="AA734" t="s">
        <v>39</v>
      </c>
      <c r="AB734">
        <v>2024</v>
      </c>
      <c r="AC734" t="s">
        <v>33</v>
      </c>
    </row>
    <row r="735" spans="27:29">
      <c r="AA735" t="s">
        <v>276</v>
      </c>
      <c r="AB735">
        <v>2024</v>
      </c>
      <c r="AC735" t="s">
        <v>33</v>
      </c>
    </row>
    <row r="736" spans="27:29">
      <c r="AA736" t="s">
        <v>1916</v>
      </c>
      <c r="AB736">
        <v>2025</v>
      </c>
      <c r="AC736" t="s">
        <v>33</v>
      </c>
    </row>
    <row r="737" spans="27:29">
      <c r="AA737" t="s">
        <v>5132</v>
      </c>
      <c r="AB737">
        <v>2024</v>
      </c>
      <c r="AC737" t="s">
        <v>33</v>
      </c>
    </row>
    <row r="738" spans="27:29">
      <c r="AA738" t="s">
        <v>635</v>
      </c>
      <c r="AB738">
        <v>2024</v>
      </c>
      <c r="AC738" t="s">
        <v>33</v>
      </c>
    </row>
    <row r="739" spans="27:29">
      <c r="AA739" t="s">
        <v>5154</v>
      </c>
      <c r="AB739">
        <v>2025</v>
      </c>
      <c r="AC739" t="s">
        <v>49</v>
      </c>
    </row>
    <row r="740" spans="27:29">
      <c r="AA740" t="s">
        <v>2963</v>
      </c>
      <c r="AB740">
        <v>2024</v>
      </c>
      <c r="AC740" t="s">
        <v>33</v>
      </c>
    </row>
    <row r="741" spans="27:29">
      <c r="AA741" t="s">
        <v>4644</v>
      </c>
      <c r="AB741">
        <v>2025</v>
      </c>
      <c r="AC741" t="s">
        <v>33</v>
      </c>
    </row>
    <row r="742" spans="27:29">
      <c r="AA742" t="s">
        <v>433</v>
      </c>
      <c r="AB742">
        <v>2025</v>
      </c>
      <c r="AC742" t="s">
        <v>33</v>
      </c>
    </row>
    <row r="743" spans="27:29">
      <c r="AA743" t="s">
        <v>1344</v>
      </c>
      <c r="AB743">
        <v>2025</v>
      </c>
      <c r="AC743" t="s">
        <v>33</v>
      </c>
    </row>
    <row r="744" spans="27:29">
      <c r="AA744" t="s">
        <v>5173</v>
      </c>
      <c r="AB744">
        <v>2025</v>
      </c>
      <c r="AC744" t="s">
        <v>33</v>
      </c>
    </row>
    <row r="745" spans="27:29">
      <c r="AA745" t="s">
        <v>4414</v>
      </c>
      <c r="AB745">
        <v>2025</v>
      </c>
      <c r="AC745" t="s">
        <v>33</v>
      </c>
    </row>
    <row r="746" spans="27:29">
      <c r="AA746" t="s">
        <v>5190</v>
      </c>
      <c r="AB746">
        <v>2025</v>
      </c>
      <c r="AC746" t="s">
        <v>33</v>
      </c>
    </row>
    <row r="747" spans="27:29">
      <c r="AA747" t="s">
        <v>5199</v>
      </c>
      <c r="AB747">
        <v>2025</v>
      </c>
      <c r="AC747" t="s">
        <v>33</v>
      </c>
    </row>
    <row r="748" spans="27:29">
      <c r="AA748" t="s">
        <v>5207</v>
      </c>
      <c r="AB748">
        <v>2024</v>
      </c>
      <c r="AC748" t="s">
        <v>33</v>
      </c>
    </row>
    <row r="749" spans="27:29">
      <c r="AA749" t="s">
        <v>4100</v>
      </c>
      <c r="AB749">
        <v>2024</v>
      </c>
      <c r="AC749" t="s">
        <v>33</v>
      </c>
    </row>
    <row r="750" spans="27:29">
      <c r="AA750" t="s">
        <v>5215</v>
      </c>
      <c r="AB750">
        <v>2024</v>
      </c>
      <c r="AC750" t="s">
        <v>49</v>
      </c>
    </row>
    <row r="751" spans="27:29">
      <c r="AA751" t="s">
        <v>5227</v>
      </c>
      <c r="AB751">
        <v>2024</v>
      </c>
      <c r="AC751" t="s">
        <v>33</v>
      </c>
    </row>
    <row r="752" spans="27:29">
      <c r="AA752" t="s">
        <v>5232</v>
      </c>
      <c r="AB752">
        <v>2024</v>
      </c>
      <c r="AC752" t="s">
        <v>33</v>
      </c>
    </row>
    <row r="753" spans="27:29">
      <c r="AA753" t="s">
        <v>5233</v>
      </c>
      <c r="AB753">
        <v>2024</v>
      </c>
      <c r="AC753" t="s">
        <v>33</v>
      </c>
    </row>
    <row r="754" spans="27:29">
      <c r="AA754" t="s">
        <v>834</v>
      </c>
      <c r="AB754">
        <v>2025</v>
      </c>
      <c r="AC754" t="s">
        <v>33</v>
      </c>
    </row>
    <row r="755" spans="27:29">
      <c r="AA755" t="s">
        <v>5243</v>
      </c>
      <c r="AB755">
        <v>2025</v>
      </c>
      <c r="AC755" t="s">
        <v>33</v>
      </c>
    </row>
    <row r="756" spans="27:29">
      <c r="AA756" t="s">
        <v>5254</v>
      </c>
      <c r="AB756">
        <v>2024</v>
      </c>
      <c r="AC756" t="s">
        <v>33</v>
      </c>
    </row>
    <row r="757" spans="27:29">
      <c r="AA757" t="s">
        <v>5266</v>
      </c>
      <c r="AB757">
        <v>2024</v>
      </c>
      <c r="AC757" t="s">
        <v>33</v>
      </c>
    </row>
    <row r="758" spans="27:29">
      <c r="AA758" t="s">
        <v>5274</v>
      </c>
      <c r="AB758">
        <v>2024</v>
      </c>
      <c r="AC758" t="s">
        <v>33</v>
      </c>
    </row>
    <row r="759" spans="27:29">
      <c r="AA759" t="s">
        <v>5275</v>
      </c>
      <c r="AB759">
        <v>2024</v>
      </c>
      <c r="AC759" t="s">
        <v>33</v>
      </c>
    </row>
    <row r="760" spans="27:29">
      <c r="AA760" t="s">
        <v>3280</v>
      </c>
      <c r="AB760">
        <v>2025</v>
      </c>
      <c r="AC760" t="s">
        <v>33</v>
      </c>
    </row>
    <row r="761" spans="27:29">
      <c r="AA761" t="s">
        <v>5098</v>
      </c>
      <c r="AB761">
        <v>2025</v>
      </c>
      <c r="AC761" t="s">
        <v>49</v>
      </c>
    </row>
    <row r="762" spans="27:29">
      <c r="AA762" t="s">
        <v>635</v>
      </c>
      <c r="AB762">
        <v>2025</v>
      </c>
      <c r="AC762" t="s">
        <v>33</v>
      </c>
    </row>
    <row r="763" spans="27:29">
      <c r="AA763" t="s">
        <v>5304</v>
      </c>
      <c r="AB763">
        <v>2025</v>
      </c>
      <c r="AC763" t="s">
        <v>33</v>
      </c>
    </row>
    <row r="764" spans="27:29">
      <c r="AA764" t="s">
        <v>5316</v>
      </c>
      <c r="AB764">
        <v>2025</v>
      </c>
      <c r="AC764" t="s">
        <v>49</v>
      </c>
    </row>
    <row r="765" spans="27:29">
      <c r="AA765" t="s">
        <v>5325</v>
      </c>
      <c r="AB765">
        <v>2025</v>
      </c>
      <c r="AC765" t="s">
        <v>49</v>
      </c>
    </row>
    <row r="766" spans="27:29">
      <c r="AA766" t="s">
        <v>5326</v>
      </c>
      <c r="AB766">
        <v>2025</v>
      </c>
      <c r="AC766" t="s">
        <v>49</v>
      </c>
    </row>
    <row r="767" spans="27:29">
      <c r="AA767" t="s">
        <v>5327</v>
      </c>
      <c r="AB767">
        <v>2025</v>
      </c>
      <c r="AC767" t="s">
        <v>49</v>
      </c>
    </row>
    <row r="768" spans="27:29">
      <c r="AA768" t="s">
        <v>5328</v>
      </c>
      <c r="AB768">
        <v>2025</v>
      </c>
      <c r="AC768" t="s">
        <v>49</v>
      </c>
    </row>
    <row r="769" spans="27:29">
      <c r="AA769" t="s">
        <v>5329</v>
      </c>
      <c r="AB769">
        <v>2025</v>
      </c>
      <c r="AC769" t="s">
        <v>49</v>
      </c>
    </row>
    <row r="770" spans="27:29">
      <c r="AA770" t="s">
        <v>5199</v>
      </c>
      <c r="AB770">
        <v>2025</v>
      </c>
      <c r="AC770" t="s">
        <v>33</v>
      </c>
    </row>
    <row r="771" spans="27:29">
      <c r="AA771" t="s">
        <v>386</v>
      </c>
      <c r="AB771">
        <v>2024</v>
      </c>
      <c r="AC771" t="s">
        <v>49</v>
      </c>
    </row>
    <row r="772" spans="27:29">
      <c r="AA772" t="s">
        <v>864</v>
      </c>
      <c r="AB772">
        <v>2025</v>
      </c>
      <c r="AC772" t="s">
        <v>1125</v>
      </c>
    </row>
    <row r="773" spans="27:29">
      <c r="AA773" t="s">
        <v>5347</v>
      </c>
      <c r="AB773">
        <v>2025</v>
      </c>
      <c r="AC773" t="s">
        <v>33</v>
      </c>
    </row>
    <row r="774" spans="27:29">
      <c r="AA774" t="s">
        <v>5355</v>
      </c>
      <c r="AB774">
        <v>2025</v>
      </c>
      <c r="AC774" t="s">
        <v>644</v>
      </c>
    </row>
    <row r="775" spans="27:29">
      <c r="AA775" t="s">
        <v>635</v>
      </c>
      <c r="AB775">
        <v>2025</v>
      </c>
      <c r="AC775" t="s">
        <v>644</v>
      </c>
    </row>
    <row r="776" spans="27:29">
      <c r="AA776" t="s">
        <v>5347</v>
      </c>
      <c r="AB776">
        <v>2025</v>
      </c>
      <c r="AC776" t="s">
        <v>33</v>
      </c>
    </row>
    <row r="777" spans="27:29">
      <c r="AA777" t="s">
        <v>2763</v>
      </c>
      <c r="AB777">
        <v>2025</v>
      </c>
      <c r="AC777" t="s">
        <v>33</v>
      </c>
    </row>
    <row r="778" spans="27:29">
      <c r="AA778" t="s">
        <v>1619</v>
      </c>
      <c r="AB778">
        <v>2025</v>
      </c>
      <c r="AC778" t="s">
        <v>33</v>
      </c>
    </row>
    <row r="779" spans="27:29">
      <c r="AA779" t="s">
        <v>514</v>
      </c>
      <c r="AB779">
        <v>2025</v>
      </c>
      <c r="AC779" t="s">
        <v>49</v>
      </c>
    </row>
    <row r="780" spans="27:29">
      <c r="AA780" t="s">
        <v>5403</v>
      </c>
      <c r="AB780">
        <v>2025</v>
      </c>
      <c r="AC780" t="s">
        <v>33</v>
      </c>
    </row>
    <row r="781" spans="27:29">
      <c r="AA781" t="s">
        <v>2683</v>
      </c>
      <c r="AB781">
        <v>2025</v>
      </c>
      <c r="AC781" t="s">
        <v>33</v>
      </c>
    </row>
    <row r="782" spans="27:29">
      <c r="AA782" t="s">
        <v>5414</v>
      </c>
      <c r="AB782">
        <v>2025</v>
      </c>
      <c r="AC782" t="s">
        <v>33</v>
      </c>
    </row>
    <row r="783" spans="27:29">
      <c r="AA783" t="s">
        <v>5424</v>
      </c>
      <c r="AB783">
        <v>2024</v>
      </c>
      <c r="AC783" t="s">
        <v>33</v>
      </c>
    </row>
    <row r="784" spans="27:29">
      <c r="AA784" t="s">
        <v>5432</v>
      </c>
      <c r="AB784">
        <v>2025</v>
      </c>
      <c r="AC784" t="s">
        <v>33</v>
      </c>
    </row>
    <row r="785" spans="27:29">
      <c r="AA785" t="s">
        <v>3023</v>
      </c>
      <c r="AB785">
        <v>2025</v>
      </c>
      <c r="AC785" t="s">
        <v>33</v>
      </c>
    </row>
    <row r="786" spans="27:29">
      <c r="AA786" t="s">
        <v>5449</v>
      </c>
      <c r="AB786">
        <v>2025</v>
      </c>
      <c r="AC786" t="s">
        <v>49</v>
      </c>
    </row>
    <row r="787" spans="27:29">
      <c r="AA787" t="s">
        <v>2100</v>
      </c>
      <c r="AB787">
        <v>2025</v>
      </c>
      <c r="AC787" t="s">
        <v>33</v>
      </c>
    </row>
    <row r="788" spans="27:29">
      <c r="AA788" t="s">
        <v>2877</v>
      </c>
      <c r="AB788">
        <v>2024</v>
      </c>
      <c r="AC788" t="s">
        <v>1125</v>
      </c>
    </row>
    <row r="789" spans="27:29">
      <c r="AA789" t="s">
        <v>5471</v>
      </c>
      <c r="AB789">
        <v>2025</v>
      </c>
      <c r="AC789" t="s">
        <v>33</v>
      </c>
    </row>
    <row r="790" spans="27:29">
      <c r="AA790" t="s">
        <v>5479</v>
      </c>
      <c r="AB790">
        <v>2024</v>
      </c>
      <c r="AC790" t="s">
        <v>644</v>
      </c>
    </row>
    <row r="791" spans="27:29">
      <c r="AA791" t="s">
        <v>5491</v>
      </c>
      <c r="AB791">
        <v>2025</v>
      </c>
      <c r="AC791" t="s">
        <v>33</v>
      </c>
    </row>
    <row r="792" spans="27:29">
      <c r="AA792" t="s">
        <v>5500</v>
      </c>
      <c r="AB792">
        <v>2025</v>
      </c>
      <c r="AC792" t="s">
        <v>33</v>
      </c>
    </row>
    <row r="793" spans="27:29">
      <c r="AA793" t="s">
        <v>5501</v>
      </c>
      <c r="AB793">
        <v>2025</v>
      </c>
      <c r="AC793" t="s">
        <v>49</v>
      </c>
    </row>
    <row r="794" spans="27:29">
      <c r="AA794" t="s">
        <v>2018</v>
      </c>
      <c r="AB794">
        <v>2025</v>
      </c>
      <c r="AC794" t="s">
        <v>33</v>
      </c>
    </row>
    <row r="795" spans="27:29">
      <c r="AA795" t="s">
        <v>834</v>
      </c>
      <c r="AB795">
        <v>2025</v>
      </c>
      <c r="AC795" t="s">
        <v>33</v>
      </c>
    </row>
    <row r="796" spans="27:29">
      <c r="AA796" t="s">
        <v>5233</v>
      </c>
      <c r="AB796">
        <v>2025</v>
      </c>
      <c r="AC796" t="s">
        <v>33</v>
      </c>
    </row>
    <row r="797" spans="27:29">
      <c r="AA797" t="s">
        <v>1723</v>
      </c>
      <c r="AB797">
        <v>2025</v>
      </c>
      <c r="AC797" t="s">
        <v>33</v>
      </c>
    </row>
    <row r="798" spans="27:29">
      <c r="AA798" t="s">
        <v>5550</v>
      </c>
      <c r="AB798">
        <v>2025</v>
      </c>
      <c r="AC798" t="s">
        <v>33</v>
      </c>
    </row>
    <row r="799" spans="27:29">
      <c r="AA799" t="s">
        <v>3910</v>
      </c>
      <c r="AB799">
        <v>2025</v>
      </c>
      <c r="AC799" t="s">
        <v>33</v>
      </c>
    </row>
    <row r="800" spans="27:29">
      <c r="AA800" t="s">
        <v>5565</v>
      </c>
      <c r="AB800">
        <v>2025</v>
      </c>
      <c r="AC800" t="s">
        <v>33</v>
      </c>
    </row>
    <row r="801" spans="27:29">
      <c r="AA801" t="s">
        <v>3938</v>
      </c>
      <c r="AB801">
        <v>2025</v>
      </c>
      <c r="AC801" t="s">
        <v>33</v>
      </c>
    </row>
    <row r="802" spans="27:29">
      <c r="AA802" t="s">
        <v>1344</v>
      </c>
      <c r="AB802">
        <v>2025</v>
      </c>
      <c r="AC802" t="s">
        <v>33</v>
      </c>
    </row>
    <row r="803" spans="27:29">
      <c r="AA803" t="s">
        <v>113</v>
      </c>
      <c r="AB803">
        <v>2025</v>
      </c>
      <c r="AC803" t="s">
        <v>33</v>
      </c>
    </row>
    <row r="804" spans="27:29">
      <c r="AA804" t="s">
        <v>5579</v>
      </c>
      <c r="AB804">
        <v>2024</v>
      </c>
      <c r="AC804" t="s">
        <v>1125</v>
      </c>
    </row>
    <row r="805" spans="27:29">
      <c r="AA805" t="s">
        <v>178</v>
      </c>
      <c r="AB805">
        <v>2025</v>
      </c>
      <c r="AC805" t="s">
        <v>33</v>
      </c>
    </row>
    <row r="806" spans="27:29">
      <c r="AA806" t="s">
        <v>5596</v>
      </c>
      <c r="AB806">
        <v>2025</v>
      </c>
      <c r="AC806" t="s">
        <v>33</v>
      </c>
    </row>
    <row r="807" spans="27:29">
      <c r="AA807" t="s">
        <v>5602</v>
      </c>
      <c r="AB807">
        <v>2025</v>
      </c>
      <c r="AC807" t="s">
        <v>33</v>
      </c>
    </row>
    <row r="808" spans="27:29">
      <c r="AA808" t="s">
        <v>3553</v>
      </c>
      <c r="AB808">
        <v>2025</v>
      </c>
      <c r="AC808" t="s">
        <v>2112</v>
      </c>
    </row>
    <row r="809" spans="27:29">
      <c r="AA809" t="s">
        <v>5607</v>
      </c>
      <c r="AB809">
        <v>2025</v>
      </c>
      <c r="AC809" t="s">
        <v>2112</v>
      </c>
    </row>
    <row r="810" spans="27:29">
      <c r="AA810" t="s">
        <v>834</v>
      </c>
      <c r="AB810">
        <v>2025</v>
      </c>
      <c r="AC810" t="s">
        <v>33</v>
      </c>
    </row>
    <row r="811" spans="27:29">
      <c r="AA811" t="s">
        <v>493</v>
      </c>
      <c r="AB811">
        <v>2024</v>
      </c>
      <c r="AC811" t="s">
        <v>3843</v>
      </c>
    </row>
    <row r="812" spans="27:29">
      <c r="AA812" t="s">
        <v>727</v>
      </c>
      <c r="AB812">
        <v>2024</v>
      </c>
      <c r="AC812" t="s">
        <v>33</v>
      </c>
    </row>
    <row r="813" spans="27:29">
      <c r="AA813" t="s">
        <v>5629</v>
      </c>
      <c r="AB813">
        <v>2025</v>
      </c>
      <c r="AC813" t="s">
        <v>33</v>
      </c>
    </row>
    <row r="814" spans="27:29">
      <c r="AA814" t="s">
        <v>5636</v>
      </c>
      <c r="AB814">
        <v>2025</v>
      </c>
      <c r="AC814" t="s">
        <v>33</v>
      </c>
    </row>
    <row r="815" spans="27:29">
      <c r="AA815" t="s">
        <v>3903</v>
      </c>
      <c r="AB815">
        <v>2025</v>
      </c>
      <c r="AC815" t="s">
        <v>33</v>
      </c>
    </row>
    <row r="816" spans="27:29">
      <c r="AA816" t="s">
        <v>3892</v>
      </c>
      <c r="AB816">
        <v>2025</v>
      </c>
      <c r="AC816" t="s">
        <v>33</v>
      </c>
    </row>
    <row r="817" spans="27:29">
      <c r="AA817" t="s">
        <v>5637</v>
      </c>
      <c r="AB817">
        <v>2025</v>
      </c>
      <c r="AC817" t="s">
        <v>49</v>
      </c>
    </row>
    <row r="818" spans="27:29">
      <c r="AA818" t="s">
        <v>5646</v>
      </c>
      <c r="AB818">
        <v>2025</v>
      </c>
      <c r="AC818" t="s">
        <v>33</v>
      </c>
    </row>
    <row r="819" spans="27:29">
      <c r="AA819" t="s">
        <v>4395</v>
      </c>
      <c r="AB819">
        <v>2025</v>
      </c>
      <c r="AC819" t="s">
        <v>3676</v>
      </c>
    </row>
    <row r="820" spans="27:29">
      <c r="AA820" t="s">
        <v>22</v>
      </c>
      <c r="AB820">
        <v>2025</v>
      </c>
      <c r="AC820" t="s">
        <v>3676</v>
      </c>
    </row>
    <row r="821" spans="27:29">
      <c r="AA821" t="s">
        <v>5670</v>
      </c>
      <c r="AB821">
        <v>2024</v>
      </c>
      <c r="AC821" t="s">
        <v>33</v>
      </c>
    </row>
    <row r="822" spans="27:29">
      <c r="AA822" t="s">
        <v>622</v>
      </c>
      <c r="AB822">
        <v>2025</v>
      </c>
      <c r="AC822" t="s">
        <v>33</v>
      </c>
    </row>
    <row r="823" spans="27:29">
      <c r="AA823" t="s">
        <v>5690</v>
      </c>
      <c r="AB823">
        <v>2025</v>
      </c>
      <c r="AC823" t="s">
        <v>33</v>
      </c>
    </row>
    <row r="824" spans="27:29">
      <c r="AA824" t="s">
        <v>5702</v>
      </c>
      <c r="AB824">
        <v>2025</v>
      </c>
      <c r="AC824" t="s">
        <v>33</v>
      </c>
    </row>
    <row r="825" spans="27:29">
      <c r="AA825" t="s">
        <v>755</v>
      </c>
      <c r="AB825">
        <v>2025</v>
      </c>
      <c r="AC825" t="s">
        <v>644</v>
      </c>
    </row>
    <row r="826" spans="27:29">
      <c r="AA826" t="s">
        <v>834</v>
      </c>
      <c r="AB826">
        <v>2025</v>
      </c>
      <c r="AC826" t="s">
        <v>33</v>
      </c>
    </row>
    <row r="827" spans="27:29">
      <c r="AA827" t="s">
        <v>128</v>
      </c>
      <c r="AB827">
        <v>2024</v>
      </c>
      <c r="AC827" t="s">
        <v>1125</v>
      </c>
    </row>
    <row r="828" spans="27:29">
      <c r="AA828" t="s">
        <v>635</v>
      </c>
      <c r="AB828">
        <v>2025</v>
      </c>
      <c r="AC828" t="s">
        <v>33</v>
      </c>
    </row>
    <row r="829" spans="27:29">
      <c r="AA829" t="s">
        <v>5734</v>
      </c>
      <c r="AB829">
        <v>2025</v>
      </c>
      <c r="AC829" t="s">
        <v>33</v>
      </c>
    </row>
    <row r="830" spans="27:29">
      <c r="AA830" t="s">
        <v>5742</v>
      </c>
      <c r="AB830">
        <v>2025</v>
      </c>
      <c r="AC830" t="s">
        <v>49</v>
      </c>
    </row>
    <row r="831" spans="27:29">
      <c r="AA831" t="s">
        <v>5750</v>
      </c>
      <c r="AB831">
        <v>2025</v>
      </c>
      <c r="AC831" t="s">
        <v>33</v>
      </c>
    </row>
    <row r="832" spans="27:29">
      <c r="AA832" t="s">
        <v>5761</v>
      </c>
      <c r="AB832">
        <v>2025</v>
      </c>
      <c r="AC832" t="s">
        <v>33</v>
      </c>
    </row>
    <row r="833" spans="27:29">
      <c r="AA833" t="s">
        <v>5762</v>
      </c>
      <c r="AB833">
        <v>2025</v>
      </c>
      <c r="AC833" t="s">
        <v>33</v>
      </c>
    </row>
    <row r="834" spans="27:29">
      <c r="AA834" t="s">
        <v>3181</v>
      </c>
      <c r="AB834">
        <v>2025</v>
      </c>
      <c r="AC834" t="s">
        <v>33</v>
      </c>
    </row>
    <row r="835" spans="27:29">
      <c r="AA835" t="s">
        <v>3141</v>
      </c>
      <c r="AB835">
        <v>2025</v>
      </c>
      <c r="AC835" t="s">
        <v>33</v>
      </c>
    </row>
    <row r="836" spans="27:29">
      <c r="AA836" t="s">
        <v>276</v>
      </c>
      <c r="AB836">
        <v>2025</v>
      </c>
      <c r="AC836" t="s">
        <v>49</v>
      </c>
    </row>
    <row r="837" spans="27:29">
      <c r="AA837" t="s">
        <v>5778</v>
      </c>
      <c r="AB837">
        <v>2025</v>
      </c>
      <c r="AC837" t="s">
        <v>49</v>
      </c>
    </row>
    <row r="838" spans="27:29">
      <c r="AA838" t="s">
        <v>5779</v>
      </c>
      <c r="AB838">
        <v>2025</v>
      </c>
      <c r="AC838" t="s">
        <v>49</v>
      </c>
    </row>
    <row r="839" spans="27:29">
      <c r="AA839" t="s">
        <v>5780</v>
      </c>
      <c r="AB839">
        <v>2025</v>
      </c>
      <c r="AC839" t="s">
        <v>49</v>
      </c>
    </row>
    <row r="840" spans="27:29">
      <c r="AA840" t="s">
        <v>5781</v>
      </c>
      <c r="AB840">
        <v>2025</v>
      </c>
      <c r="AC840" t="s">
        <v>49</v>
      </c>
    </row>
    <row r="841" spans="27:29">
      <c r="AA841" t="s">
        <v>5782</v>
      </c>
      <c r="AB841">
        <v>2025</v>
      </c>
      <c r="AC841" t="s">
        <v>49</v>
      </c>
    </row>
    <row r="842" spans="27:29">
      <c r="AA842" t="s">
        <v>5304</v>
      </c>
      <c r="AB842">
        <v>2025</v>
      </c>
      <c r="AC842" t="s">
        <v>2904</v>
      </c>
    </row>
    <row r="843" spans="27:29">
      <c r="AA843" t="s">
        <v>5790</v>
      </c>
      <c r="AB843">
        <v>2025</v>
      </c>
      <c r="AC843" t="s">
        <v>33</v>
      </c>
    </row>
    <row r="844" spans="27:29">
      <c r="AA844" t="s">
        <v>5802</v>
      </c>
      <c r="AB844">
        <v>2025</v>
      </c>
      <c r="AC844" t="s">
        <v>33</v>
      </c>
    </row>
    <row r="845" spans="27:29">
      <c r="AA845" t="s">
        <v>5803</v>
      </c>
      <c r="AB845">
        <v>2025</v>
      </c>
      <c r="AC845" t="s">
        <v>33</v>
      </c>
    </row>
    <row r="846" spans="27:29">
      <c r="AA846" t="s">
        <v>5804</v>
      </c>
      <c r="AB846">
        <v>2025</v>
      </c>
      <c r="AC846" t="s">
        <v>33</v>
      </c>
    </row>
    <row r="847" spans="27:29">
      <c r="AA847" t="s">
        <v>5805</v>
      </c>
      <c r="AB847">
        <v>2025</v>
      </c>
      <c r="AC847" t="s">
        <v>33</v>
      </c>
    </row>
    <row r="848" spans="27:29">
      <c r="AA848" t="s">
        <v>276</v>
      </c>
      <c r="AB848">
        <v>2025</v>
      </c>
      <c r="AC848" t="s">
        <v>49</v>
      </c>
    </row>
    <row r="849" spans="27:29">
      <c r="AA849" t="s">
        <v>5813</v>
      </c>
      <c r="AB849">
        <v>2024</v>
      </c>
      <c r="AC849" t="s">
        <v>644</v>
      </c>
    </row>
    <row r="850" spans="27:29">
      <c r="AA850" t="s">
        <v>5827</v>
      </c>
      <c r="AB850">
        <v>2024</v>
      </c>
      <c r="AC850" t="s">
        <v>33</v>
      </c>
    </row>
    <row r="851" spans="27:29">
      <c r="AA851" t="s">
        <v>3229</v>
      </c>
      <c r="AB851">
        <v>2024</v>
      </c>
      <c r="AC851" t="s">
        <v>33</v>
      </c>
    </row>
    <row r="852" spans="27:29">
      <c r="AA852" t="s">
        <v>5850</v>
      </c>
      <c r="AB852">
        <v>2024</v>
      </c>
      <c r="AC852" t="s">
        <v>33</v>
      </c>
    </row>
    <row r="853" spans="27:29">
      <c r="AA853" t="s">
        <v>834</v>
      </c>
      <c r="AB853">
        <v>2025</v>
      </c>
      <c r="AC853" t="s">
        <v>33</v>
      </c>
    </row>
    <row r="854" spans="27:29">
      <c r="AA854" t="s">
        <v>3503</v>
      </c>
      <c r="AB854">
        <v>2025</v>
      </c>
      <c r="AC854" t="s">
        <v>2112</v>
      </c>
    </row>
  </sheetData>
  <mergeCells count="2">
    <mergeCell ref="A1:E1"/>
    <mergeCell ref="A2:E2"/>
  </mergeCells>
  <printOptions horizontalCentered="1"/>
  <pageMargins left="0.7" right="0.7" top="0.75" bottom="0.75" header="0.3" footer="0.3"/>
  <pageSetup paperSize="9" fitToHeight="30" orientation="landscape" horizontalDpi="4294967293" verticalDpi="4294967293" r:id="rId1"/>
  <headerFooter>
    <oddHeader>&amp;C&amp;"-,Bold"&amp;12Productividad de investigadores UFT · 2024–2025</oddHeader>
    <oddFooter>&amp;CPágina &amp;P de &amp;F&amp;LFuente: Scopus – Afiliación UFT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19D01-84EC-431C-A926-75A19F78E4F0}">
  <sheetPr>
    <pageSetUpPr fitToPage="1"/>
  </sheetPr>
  <dimension ref="A1:AD854"/>
  <sheetViews>
    <sheetView workbookViewId="0">
      <pane ySplit="4" topLeftCell="A5" activePane="bottomLeft" state="frozen"/>
      <selection pane="bottomLeft" activeCell="F27" sqref="F27"/>
    </sheetView>
  </sheetViews>
  <sheetFormatPr baseColWidth="10" defaultRowHeight="14.4" outlineLevelCol="1"/>
  <cols>
    <col min="1" max="1" width="5.5546875" customWidth="1"/>
    <col min="2" max="2" width="27.77734375" customWidth="1"/>
    <col min="3" max="5" width="8.88671875" customWidth="1"/>
    <col min="6" max="6" width="3.33203125" customWidth="1"/>
    <col min="7" max="7" width="25.88671875" customWidth="1"/>
    <col min="8" max="14" width="11.109375" customWidth="1"/>
    <col min="27" max="29" width="0" hidden="1" customWidth="1" outlineLevel="1"/>
    <col min="30" max="30" width="11.5546875" collapsed="1"/>
  </cols>
  <sheetData>
    <row r="1" spans="1:29" ht="19.8">
      <c r="A1" s="59" t="s">
        <v>6033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AA1" t="s">
        <v>5873</v>
      </c>
      <c r="AB1" t="s">
        <v>5874</v>
      </c>
      <c r="AC1" t="s">
        <v>5875</v>
      </c>
    </row>
    <row r="2" spans="1:29" ht="28.05" customHeight="1">
      <c r="A2" s="61" t="s">
        <v>6020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AA2" t="s">
        <v>22</v>
      </c>
      <c r="AB2">
        <v>2024</v>
      </c>
      <c r="AC2" t="s">
        <v>33</v>
      </c>
    </row>
    <row r="3" spans="1:29">
      <c r="AA3" t="s">
        <v>39</v>
      </c>
      <c r="AB3">
        <v>2024</v>
      </c>
      <c r="AC3" t="s">
        <v>49</v>
      </c>
    </row>
    <row r="4" spans="1:29">
      <c r="A4" s="8" t="s">
        <v>5876</v>
      </c>
      <c r="B4" s="8" t="s">
        <v>5877</v>
      </c>
      <c r="C4" s="8">
        <v>2024</v>
      </c>
      <c r="D4" s="8">
        <v>2025</v>
      </c>
      <c r="E4" s="8" t="s">
        <v>5878</v>
      </c>
      <c r="G4" s="8" t="s">
        <v>5879</v>
      </c>
      <c r="H4" s="8" t="s">
        <v>6019</v>
      </c>
      <c r="AA4" t="s">
        <v>55</v>
      </c>
      <c r="AB4">
        <v>2024</v>
      </c>
      <c r="AC4" t="s">
        <v>49</v>
      </c>
    </row>
    <row r="5" spans="1:29">
      <c r="A5" s="9">
        <v>1</v>
      </c>
      <c r="B5" s="10" t="s">
        <v>276</v>
      </c>
      <c r="C5" s="9">
        <f t="shared" ref="C5:C19" si="0">COUNTIFS($AA:$AA,$B5,$AB:$AB,2024)</f>
        <v>16</v>
      </c>
      <c r="D5" s="9">
        <f t="shared" ref="D5:D19" si="1">COUNTIFS($AA:$AA,$B5,$AB:$AB,2025)</f>
        <v>16</v>
      </c>
      <c r="E5" s="11">
        <f t="shared" ref="E5:E19" si="2">C5+D5</f>
        <v>32</v>
      </c>
      <c r="G5" s="10" t="s">
        <v>33</v>
      </c>
      <c r="H5" s="9">
        <f>COUNTIF('Publicaciones unificadas'!$D$2:$D$590,G5)</f>
        <v>412</v>
      </c>
      <c r="AA5" t="s">
        <v>56</v>
      </c>
      <c r="AB5">
        <v>2024</v>
      </c>
      <c r="AC5" t="s">
        <v>49</v>
      </c>
    </row>
    <row r="6" spans="1:29">
      <c r="A6" s="9">
        <v>2</v>
      </c>
      <c r="B6" s="10" t="s">
        <v>128</v>
      </c>
      <c r="C6" s="9">
        <f t="shared" si="0"/>
        <v>13</v>
      </c>
      <c r="D6" s="9">
        <f t="shared" si="1"/>
        <v>9</v>
      </c>
      <c r="E6" s="11">
        <f t="shared" si="2"/>
        <v>22</v>
      </c>
      <c r="G6" s="10" t="s">
        <v>49</v>
      </c>
      <c r="H6" s="9">
        <f>COUNTIF('Publicaciones unificadas'!$D$2:$D$590,G6)</f>
        <v>103</v>
      </c>
      <c r="AA6" t="s">
        <v>70</v>
      </c>
      <c r="AB6">
        <v>2024</v>
      </c>
      <c r="AC6" t="s">
        <v>49</v>
      </c>
    </row>
    <row r="7" spans="1:29">
      <c r="A7" s="9">
        <v>3</v>
      </c>
      <c r="B7" s="10" t="s">
        <v>1344</v>
      </c>
      <c r="C7" s="9">
        <f t="shared" si="0"/>
        <v>9</v>
      </c>
      <c r="D7" s="9">
        <f t="shared" si="1"/>
        <v>12</v>
      </c>
      <c r="E7" s="11">
        <f t="shared" si="2"/>
        <v>21</v>
      </c>
      <c r="G7" s="10" t="s">
        <v>644</v>
      </c>
      <c r="H7" s="9">
        <f>COUNTIF('Publicaciones unificadas'!$D$2:$D$590,G7)</f>
        <v>21</v>
      </c>
      <c r="AA7" t="s">
        <v>81</v>
      </c>
      <c r="AB7">
        <v>2024</v>
      </c>
      <c r="AC7" t="s">
        <v>49</v>
      </c>
    </row>
    <row r="8" spans="1:29">
      <c r="A8" s="9">
        <v>4</v>
      </c>
      <c r="B8" s="10" t="s">
        <v>22</v>
      </c>
      <c r="C8" s="9">
        <f t="shared" si="0"/>
        <v>7</v>
      </c>
      <c r="D8" s="9">
        <f t="shared" si="1"/>
        <v>14</v>
      </c>
      <c r="E8" s="11">
        <f t="shared" si="2"/>
        <v>21</v>
      </c>
      <c r="G8" s="10" t="s">
        <v>1125</v>
      </c>
      <c r="H8" s="9">
        <f>COUNTIF('Publicaciones unificadas'!$D$2:$D$590,G8)</f>
        <v>17</v>
      </c>
      <c r="AA8" t="s">
        <v>82</v>
      </c>
      <c r="AB8">
        <v>2024</v>
      </c>
      <c r="AC8" t="s">
        <v>49</v>
      </c>
    </row>
    <row r="9" spans="1:29">
      <c r="A9" s="9">
        <v>5</v>
      </c>
      <c r="B9" s="10" t="s">
        <v>1916</v>
      </c>
      <c r="C9" s="9">
        <f t="shared" si="0"/>
        <v>6</v>
      </c>
      <c r="D9" s="9">
        <f t="shared" si="1"/>
        <v>13</v>
      </c>
      <c r="E9" s="11">
        <f t="shared" si="2"/>
        <v>19</v>
      </c>
      <c r="G9" s="10" t="s">
        <v>2112</v>
      </c>
      <c r="H9" s="9">
        <f>COUNTIF('Publicaciones unificadas'!$D$2:$D$590,G9)</f>
        <v>14</v>
      </c>
      <c r="AA9" t="s">
        <v>83</v>
      </c>
      <c r="AB9">
        <v>2024</v>
      </c>
      <c r="AC9" t="s">
        <v>49</v>
      </c>
    </row>
    <row r="10" spans="1:29">
      <c r="A10" s="9">
        <v>6</v>
      </c>
      <c r="B10" s="10" t="s">
        <v>113</v>
      </c>
      <c r="C10" s="9">
        <f t="shared" si="0"/>
        <v>10</v>
      </c>
      <c r="D10" s="9">
        <f t="shared" si="1"/>
        <v>6</v>
      </c>
      <c r="E10" s="11">
        <f t="shared" si="2"/>
        <v>16</v>
      </c>
      <c r="G10" s="10" t="s">
        <v>3676</v>
      </c>
      <c r="H10" s="9">
        <f>COUNTIF('Publicaciones unificadas'!$D$2:$D$590,G10)</f>
        <v>7</v>
      </c>
      <c r="AA10" t="s">
        <v>84</v>
      </c>
      <c r="AB10">
        <v>2025</v>
      </c>
      <c r="AC10" t="s">
        <v>49</v>
      </c>
    </row>
    <row r="11" spans="1:29">
      <c r="A11" s="9">
        <v>7</v>
      </c>
      <c r="B11" s="10" t="s">
        <v>635</v>
      </c>
      <c r="C11" s="9">
        <f t="shared" si="0"/>
        <v>5</v>
      </c>
      <c r="D11" s="9">
        <f t="shared" si="1"/>
        <v>10</v>
      </c>
      <c r="E11" s="11">
        <f t="shared" si="2"/>
        <v>15</v>
      </c>
      <c r="G11" s="10" t="s">
        <v>3843</v>
      </c>
      <c r="H11" s="9">
        <f>COUNTIF('Publicaciones unificadas'!$D$2:$D$590,G11)</f>
        <v>4</v>
      </c>
      <c r="AA11" t="s">
        <v>97</v>
      </c>
      <c r="AB11">
        <v>2024</v>
      </c>
      <c r="AC11" t="s">
        <v>33</v>
      </c>
    </row>
    <row r="12" spans="1:29">
      <c r="A12" s="9">
        <v>8</v>
      </c>
      <c r="B12" s="10" t="s">
        <v>164</v>
      </c>
      <c r="C12" s="9">
        <f t="shared" si="0"/>
        <v>6</v>
      </c>
      <c r="D12" s="9">
        <f t="shared" si="1"/>
        <v>7</v>
      </c>
      <c r="E12" s="11">
        <f t="shared" si="2"/>
        <v>13</v>
      </c>
      <c r="G12" s="10" t="s">
        <v>2904</v>
      </c>
      <c r="H12" s="9">
        <f>COUNTIF('Publicaciones unificadas'!$D$2:$D$590,G12)</f>
        <v>6</v>
      </c>
      <c r="AA12" t="s">
        <v>113</v>
      </c>
      <c r="AB12">
        <v>2024</v>
      </c>
      <c r="AC12" t="s">
        <v>33</v>
      </c>
    </row>
    <row r="13" spans="1:29">
      <c r="A13" s="9">
        <v>9</v>
      </c>
      <c r="B13" s="10" t="s">
        <v>3141</v>
      </c>
      <c r="C13" s="9">
        <f t="shared" si="0"/>
        <v>3</v>
      </c>
      <c r="D13" s="9">
        <f t="shared" si="1"/>
        <v>10</v>
      </c>
      <c r="E13" s="11">
        <f t="shared" si="2"/>
        <v>13</v>
      </c>
      <c r="G13" s="10" t="s">
        <v>208</v>
      </c>
      <c r="H13" s="9">
        <f>COUNTIF('Publicaciones unificadas'!$D$2:$D$590,G13)</f>
        <v>3</v>
      </c>
      <c r="AA13" t="s">
        <v>128</v>
      </c>
      <c r="AB13">
        <v>2025</v>
      </c>
      <c r="AC13" t="s">
        <v>49</v>
      </c>
    </row>
    <row r="14" spans="1:29">
      <c r="A14" s="9">
        <v>10</v>
      </c>
      <c r="B14" s="10" t="s">
        <v>39</v>
      </c>
      <c r="C14" s="9">
        <f t="shared" si="0"/>
        <v>9</v>
      </c>
      <c r="D14" s="9">
        <f t="shared" si="1"/>
        <v>3</v>
      </c>
      <c r="E14" s="11">
        <f t="shared" si="2"/>
        <v>12</v>
      </c>
      <c r="G14" s="10" t="s">
        <v>3257</v>
      </c>
      <c r="H14" s="9">
        <f>COUNTIF('Publicaciones unificadas'!$D$2:$D$590,G14)</f>
        <v>1</v>
      </c>
      <c r="AA14" t="s">
        <v>128</v>
      </c>
      <c r="AB14">
        <v>2024</v>
      </c>
      <c r="AC14" t="s">
        <v>33</v>
      </c>
    </row>
    <row r="15" spans="1:29">
      <c r="A15" s="9">
        <v>11</v>
      </c>
      <c r="B15" s="10" t="s">
        <v>265</v>
      </c>
      <c r="C15" s="9">
        <f t="shared" si="0"/>
        <v>8</v>
      </c>
      <c r="D15" s="9">
        <f t="shared" si="1"/>
        <v>4</v>
      </c>
      <c r="E15" s="11">
        <f t="shared" si="2"/>
        <v>12</v>
      </c>
      <c r="G15" s="12" t="s">
        <v>5878</v>
      </c>
      <c r="H15" s="13">
        <f>SUM(H5:H14)</f>
        <v>588</v>
      </c>
      <c r="AA15" t="s">
        <v>39</v>
      </c>
      <c r="AB15">
        <v>2024</v>
      </c>
      <c r="AC15" t="s">
        <v>49</v>
      </c>
    </row>
    <row r="16" spans="1:29">
      <c r="A16" s="9">
        <v>12</v>
      </c>
      <c r="B16" s="10" t="s">
        <v>1282</v>
      </c>
      <c r="C16" s="9">
        <f t="shared" si="0"/>
        <v>4</v>
      </c>
      <c r="D16" s="9">
        <f t="shared" si="1"/>
        <v>7</v>
      </c>
      <c r="E16" s="11">
        <f t="shared" si="2"/>
        <v>11</v>
      </c>
      <c r="AA16" t="s">
        <v>164</v>
      </c>
      <c r="AB16">
        <v>2024</v>
      </c>
      <c r="AC16" t="s">
        <v>33</v>
      </c>
    </row>
    <row r="17" spans="1:29">
      <c r="A17" s="9">
        <v>13</v>
      </c>
      <c r="B17" s="10" t="s">
        <v>433</v>
      </c>
      <c r="C17" s="9">
        <f t="shared" si="0"/>
        <v>6</v>
      </c>
      <c r="D17" s="9">
        <f t="shared" si="1"/>
        <v>4</v>
      </c>
      <c r="E17" s="11">
        <f t="shared" si="2"/>
        <v>10</v>
      </c>
      <c r="G17" s="8" t="s">
        <v>5877</v>
      </c>
      <c r="H17" s="8" t="s">
        <v>33</v>
      </c>
      <c r="I17" s="8" t="s">
        <v>49</v>
      </c>
      <c r="J17" s="8" t="s">
        <v>644</v>
      </c>
      <c r="K17" s="8" t="s">
        <v>1125</v>
      </c>
      <c r="L17" s="8" t="s">
        <v>5880</v>
      </c>
      <c r="M17" s="8" t="s">
        <v>5881</v>
      </c>
      <c r="N17" s="8" t="s">
        <v>5878</v>
      </c>
      <c r="AA17" t="s">
        <v>178</v>
      </c>
      <c r="AB17">
        <v>2024</v>
      </c>
      <c r="AC17" t="s">
        <v>49</v>
      </c>
    </row>
    <row r="18" spans="1:29">
      <c r="A18" s="9">
        <v>14</v>
      </c>
      <c r="B18" s="10" t="s">
        <v>1024</v>
      </c>
      <c r="C18" s="9">
        <f t="shared" si="0"/>
        <v>4</v>
      </c>
      <c r="D18" s="9">
        <f t="shared" si="1"/>
        <v>5</v>
      </c>
      <c r="E18" s="11">
        <f t="shared" si="2"/>
        <v>9</v>
      </c>
      <c r="G18" s="10" t="str">
        <f t="shared" ref="G18:G29" si="3">B5</f>
        <v>Orellana-Donoso M.</v>
      </c>
      <c r="H18" s="9">
        <f t="shared" ref="H18:H29" si="4">COUNTIFS($AA:$AA,$G18,$AC:$AC,"Article")</f>
        <v>8</v>
      </c>
      <c r="I18" s="9">
        <f t="shared" ref="I18:I29" si="5">COUNTIFS($AA:$AA,$G18,$AC:$AC,"Review")</f>
        <v>23</v>
      </c>
      <c r="J18" s="9">
        <f t="shared" ref="J18:J29" si="6">COUNTIFS($AA:$AA,$G18,$AC:$AC,"Letter")</f>
        <v>0</v>
      </c>
      <c r="K18" s="9">
        <f t="shared" ref="K18:K29" si="7">COUNTIFS($AA:$AA,$G18,$AC:$AC,"Chapter")</f>
        <v>0</v>
      </c>
      <c r="L18" s="9">
        <f t="shared" ref="L18:L29" si="8">COUNTIFS($AA:$AA,$G18,$AC:$AC,"Conference Paper")</f>
        <v>0</v>
      </c>
      <c r="M18" s="9">
        <f t="shared" ref="M18:M29" si="9">N18-SUM(H18:L18)</f>
        <v>1</v>
      </c>
      <c r="N18" s="11">
        <f t="shared" ref="N18:N29" si="10">E5</f>
        <v>32</v>
      </c>
      <c r="AA18" t="s">
        <v>128</v>
      </c>
      <c r="AB18">
        <v>2024</v>
      </c>
      <c r="AC18" t="s">
        <v>33</v>
      </c>
    </row>
    <row r="19" spans="1:29">
      <c r="A19" s="9">
        <v>15</v>
      </c>
      <c r="B19" s="10" t="s">
        <v>1619</v>
      </c>
      <c r="C19" s="9">
        <f t="shared" si="0"/>
        <v>2</v>
      </c>
      <c r="D19" s="9">
        <f t="shared" si="1"/>
        <v>7</v>
      </c>
      <c r="E19" s="11">
        <f t="shared" si="2"/>
        <v>9</v>
      </c>
      <c r="G19" s="10" t="str">
        <f t="shared" si="3"/>
        <v>Yanine F.F.</v>
      </c>
      <c r="H19" s="9">
        <f t="shared" si="4"/>
        <v>10</v>
      </c>
      <c r="I19" s="9">
        <f t="shared" si="5"/>
        <v>2</v>
      </c>
      <c r="J19" s="9">
        <f t="shared" si="6"/>
        <v>0</v>
      </c>
      <c r="K19" s="9">
        <f t="shared" si="7"/>
        <v>8</v>
      </c>
      <c r="L19" s="9">
        <f t="shared" si="8"/>
        <v>2</v>
      </c>
      <c r="M19" s="9">
        <f t="shared" si="9"/>
        <v>0</v>
      </c>
      <c r="N19" s="11">
        <f t="shared" si="10"/>
        <v>22</v>
      </c>
      <c r="AA19" t="s">
        <v>200</v>
      </c>
      <c r="AB19">
        <v>2024</v>
      </c>
      <c r="AC19" t="s">
        <v>208</v>
      </c>
    </row>
    <row r="20" spans="1:29">
      <c r="G20" s="10" t="str">
        <f t="shared" si="3"/>
        <v>Ferre A.</v>
      </c>
      <c r="H20" s="9">
        <f t="shared" si="4"/>
        <v>12</v>
      </c>
      <c r="I20" s="9">
        <f t="shared" si="5"/>
        <v>4</v>
      </c>
      <c r="J20" s="9">
        <f t="shared" si="6"/>
        <v>5</v>
      </c>
      <c r="K20" s="9">
        <f t="shared" si="7"/>
        <v>0</v>
      </c>
      <c r="L20" s="9">
        <f t="shared" si="8"/>
        <v>0</v>
      </c>
      <c r="M20" s="9">
        <f t="shared" si="9"/>
        <v>0</v>
      </c>
      <c r="N20" s="11">
        <f t="shared" si="10"/>
        <v>21</v>
      </c>
      <c r="AA20" t="s">
        <v>214</v>
      </c>
      <c r="AB20">
        <v>2025</v>
      </c>
      <c r="AC20" t="s">
        <v>33</v>
      </c>
    </row>
    <row r="21" spans="1:29">
      <c r="G21" s="10" t="str">
        <f t="shared" si="3"/>
        <v>Mujika I.</v>
      </c>
      <c r="H21" s="9">
        <f t="shared" si="4"/>
        <v>16</v>
      </c>
      <c r="I21" s="9">
        <f t="shared" si="5"/>
        <v>1</v>
      </c>
      <c r="J21" s="9">
        <f t="shared" si="6"/>
        <v>0</v>
      </c>
      <c r="K21" s="9">
        <f t="shared" si="7"/>
        <v>1</v>
      </c>
      <c r="L21" s="9">
        <f t="shared" si="8"/>
        <v>0</v>
      </c>
      <c r="M21" s="9">
        <f t="shared" si="9"/>
        <v>3</v>
      </c>
      <c r="N21" s="11">
        <f t="shared" si="10"/>
        <v>21</v>
      </c>
      <c r="AA21" t="s">
        <v>228</v>
      </c>
      <c r="AB21">
        <v>2025</v>
      </c>
      <c r="AC21" t="s">
        <v>49</v>
      </c>
    </row>
    <row r="22" spans="1:29">
      <c r="G22" s="10" t="str">
        <f t="shared" si="3"/>
        <v>Giglio A.</v>
      </c>
      <c r="H22" s="9">
        <f t="shared" si="4"/>
        <v>12</v>
      </c>
      <c r="I22" s="9">
        <f t="shared" si="5"/>
        <v>3</v>
      </c>
      <c r="J22" s="9">
        <f t="shared" si="6"/>
        <v>4</v>
      </c>
      <c r="K22" s="9">
        <f t="shared" si="7"/>
        <v>0</v>
      </c>
      <c r="L22" s="9">
        <f t="shared" si="8"/>
        <v>0</v>
      </c>
      <c r="M22" s="9">
        <f t="shared" si="9"/>
        <v>0</v>
      </c>
      <c r="N22" s="11">
        <f t="shared" si="10"/>
        <v>19</v>
      </c>
      <c r="AA22" t="s">
        <v>22</v>
      </c>
      <c r="AB22">
        <v>2024</v>
      </c>
      <c r="AC22" t="s">
        <v>33</v>
      </c>
    </row>
    <row r="23" spans="1:29">
      <c r="G23" s="10" t="str">
        <f t="shared" si="3"/>
        <v>Strauss F.J.</v>
      </c>
      <c r="H23" s="9">
        <f t="shared" si="4"/>
        <v>14</v>
      </c>
      <c r="I23" s="9">
        <f t="shared" si="5"/>
        <v>2</v>
      </c>
      <c r="J23" s="9">
        <f t="shared" si="6"/>
        <v>0</v>
      </c>
      <c r="K23" s="9">
        <f t="shared" si="7"/>
        <v>0</v>
      </c>
      <c r="L23" s="9">
        <f t="shared" si="8"/>
        <v>0</v>
      </c>
      <c r="M23" s="9">
        <f t="shared" si="9"/>
        <v>0</v>
      </c>
      <c r="N23" s="11">
        <f t="shared" si="10"/>
        <v>16</v>
      </c>
      <c r="AA23" t="s">
        <v>254</v>
      </c>
      <c r="AB23">
        <v>2025</v>
      </c>
      <c r="AC23" t="s">
        <v>49</v>
      </c>
    </row>
    <row r="24" spans="1:29">
      <c r="G24" s="10" t="str">
        <f t="shared" si="3"/>
        <v>Díaz F.</v>
      </c>
      <c r="H24" s="9">
        <f t="shared" si="4"/>
        <v>8</v>
      </c>
      <c r="I24" s="9">
        <f t="shared" si="5"/>
        <v>0</v>
      </c>
      <c r="J24" s="9">
        <f t="shared" si="6"/>
        <v>5</v>
      </c>
      <c r="K24" s="9">
        <f t="shared" si="7"/>
        <v>0</v>
      </c>
      <c r="L24" s="9">
        <f t="shared" si="8"/>
        <v>0</v>
      </c>
      <c r="M24" s="9">
        <f t="shared" si="9"/>
        <v>2</v>
      </c>
      <c r="N24" s="11">
        <f t="shared" si="10"/>
        <v>15</v>
      </c>
      <c r="AA24" t="s">
        <v>265</v>
      </c>
      <c r="AB24">
        <v>2024</v>
      </c>
      <c r="AC24" t="s">
        <v>33</v>
      </c>
    </row>
    <row r="25" spans="1:29">
      <c r="G25" s="10" t="str">
        <f t="shared" si="3"/>
        <v>Henríquez-Olguín C.</v>
      </c>
      <c r="H25" s="9">
        <f t="shared" si="4"/>
        <v>10</v>
      </c>
      <c r="I25" s="9">
        <f t="shared" si="5"/>
        <v>3</v>
      </c>
      <c r="J25" s="9">
        <f t="shared" si="6"/>
        <v>0</v>
      </c>
      <c r="K25" s="9">
        <f t="shared" si="7"/>
        <v>0</v>
      </c>
      <c r="L25" s="9">
        <f t="shared" si="8"/>
        <v>0</v>
      </c>
      <c r="M25" s="9">
        <f t="shared" si="9"/>
        <v>0</v>
      </c>
      <c r="N25" s="11">
        <f t="shared" si="10"/>
        <v>13</v>
      </c>
      <c r="AA25" t="s">
        <v>276</v>
      </c>
      <c r="AB25">
        <v>2024</v>
      </c>
      <c r="AC25" t="s">
        <v>49</v>
      </c>
    </row>
    <row r="26" spans="1:29">
      <c r="G26" s="10" t="str">
        <f t="shared" si="3"/>
        <v>López-Arana S.</v>
      </c>
      <c r="H26" s="9">
        <f t="shared" si="4"/>
        <v>10</v>
      </c>
      <c r="I26" s="9">
        <f t="shared" si="5"/>
        <v>1</v>
      </c>
      <c r="J26" s="9">
        <f t="shared" si="6"/>
        <v>2</v>
      </c>
      <c r="K26" s="9">
        <f t="shared" si="7"/>
        <v>0</v>
      </c>
      <c r="L26" s="9">
        <f t="shared" si="8"/>
        <v>0</v>
      </c>
      <c r="M26" s="9">
        <f t="shared" si="9"/>
        <v>0</v>
      </c>
      <c r="N26" s="11">
        <f t="shared" si="10"/>
        <v>13</v>
      </c>
      <c r="AA26" t="s">
        <v>128</v>
      </c>
      <c r="AB26">
        <v>2024</v>
      </c>
      <c r="AC26" t="s">
        <v>33</v>
      </c>
    </row>
    <row r="27" spans="1:29">
      <c r="G27" s="10" t="str">
        <f t="shared" si="3"/>
        <v>Fernández-Verdejo R.</v>
      </c>
      <c r="H27" s="9">
        <f t="shared" si="4"/>
        <v>6</v>
      </c>
      <c r="I27" s="9">
        <f t="shared" si="5"/>
        <v>3</v>
      </c>
      <c r="J27" s="9">
        <f t="shared" si="6"/>
        <v>1</v>
      </c>
      <c r="K27" s="9">
        <f t="shared" si="7"/>
        <v>0</v>
      </c>
      <c r="L27" s="9">
        <f t="shared" si="8"/>
        <v>0</v>
      </c>
      <c r="M27" s="9">
        <f t="shared" si="9"/>
        <v>2</v>
      </c>
      <c r="N27" s="11">
        <f t="shared" si="10"/>
        <v>12</v>
      </c>
      <c r="AA27" t="s">
        <v>296</v>
      </c>
      <c r="AB27">
        <v>2024</v>
      </c>
      <c r="AC27" t="s">
        <v>33</v>
      </c>
    </row>
    <row r="28" spans="1:29">
      <c r="G28" s="10" t="str">
        <f t="shared" si="3"/>
        <v>Mariotti-Celis M.S.</v>
      </c>
      <c r="H28" s="9">
        <f t="shared" si="4"/>
        <v>12</v>
      </c>
      <c r="I28" s="9">
        <f t="shared" si="5"/>
        <v>0</v>
      </c>
      <c r="J28" s="9">
        <f t="shared" si="6"/>
        <v>0</v>
      </c>
      <c r="K28" s="9">
        <f t="shared" si="7"/>
        <v>0</v>
      </c>
      <c r="L28" s="9">
        <f t="shared" si="8"/>
        <v>0</v>
      </c>
      <c r="M28" s="9">
        <f t="shared" si="9"/>
        <v>0</v>
      </c>
      <c r="N28" s="11">
        <f t="shared" si="10"/>
        <v>12</v>
      </c>
      <c r="AA28" t="s">
        <v>164</v>
      </c>
      <c r="AB28">
        <v>2025</v>
      </c>
      <c r="AC28" t="s">
        <v>33</v>
      </c>
    </row>
    <row r="29" spans="1:29">
      <c r="G29" s="10" t="str">
        <f t="shared" si="3"/>
        <v>Cancino-López J.</v>
      </c>
      <c r="H29" s="9">
        <f t="shared" si="4"/>
        <v>6</v>
      </c>
      <c r="I29" s="9">
        <f t="shared" si="5"/>
        <v>3</v>
      </c>
      <c r="J29" s="9">
        <f t="shared" si="6"/>
        <v>1</v>
      </c>
      <c r="K29" s="9">
        <f t="shared" si="7"/>
        <v>0</v>
      </c>
      <c r="L29" s="9">
        <f t="shared" si="8"/>
        <v>0</v>
      </c>
      <c r="M29" s="9">
        <f t="shared" si="9"/>
        <v>1</v>
      </c>
      <c r="N29" s="11">
        <f t="shared" si="10"/>
        <v>11</v>
      </c>
      <c r="AA29" t="s">
        <v>325</v>
      </c>
      <c r="AB29">
        <v>2024</v>
      </c>
      <c r="AC29" t="s">
        <v>33</v>
      </c>
    </row>
    <row r="30" spans="1:29">
      <c r="AA30" t="s">
        <v>128</v>
      </c>
      <c r="AB30">
        <v>2025</v>
      </c>
      <c r="AC30" t="s">
        <v>33</v>
      </c>
    </row>
    <row r="31" spans="1:29">
      <c r="AA31" t="s">
        <v>342</v>
      </c>
      <c r="AB31">
        <v>2024</v>
      </c>
      <c r="AC31" t="s">
        <v>33</v>
      </c>
    </row>
    <row r="32" spans="1:29">
      <c r="AA32" t="s">
        <v>22</v>
      </c>
      <c r="AB32">
        <v>2025</v>
      </c>
      <c r="AC32" t="s">
        <v>33</v>
      </c>
    </row>
    <row r="33" spans="27:29">
      <c r="AA33" t="s">
        <v>368</v>
      </c>
      <c r="AB33">
        <v>2024</v>
      </c>
      <c r="AC33" t="s">
        <v>33</v>
      </c>
    </row>
    <row r="34" spans="27:29">
      <c r="AA34" t="s">
        <v>55</v>
      </c>
      <c r="AB34">
        <v>2024</v>
      </c>
      <c r="AC34" t="s">
        <v>33</v>
      </c>
    </row>
    <row r="35" spans="27:29">
      <c r="AA35" t="s">
        <v>381</v>
      </c>
      <c r="AB35">
        <v>2024</v>
      </c>
      <c r="AC35" t="s">
        <v>33</v>
      </c>
    </row>
    <row r="36" spans="27:29">
      <c r="AA36" t="s">
        <v>382</v>
      </c>
      <c r="AB36">
        <v>2024</v>
      </c>
      <c r="AC36" t="s">
        <v>33</v>
      </c>
    </row>
    <row r="37" spans="27:29">
      <c r="AA37" t="s">
        <v>383</v>
      </c>
      <c r="AB37">
        <v>2024</v>
      </c>
      <c r="AC37" t="s">
        <v>33</v>
      </c>
    </row>
    <row r="38" spans="27:29">
      <c r="AA38" t="s">
        <v>384</v>
      </c>
      <c r="AB38">
        <v>2024</v>
      </c>
      <c r="AC38" t="s">
        <v>33</v>
      </c>
    </row>
    <row r="39" spans="27:29">
      <c r="AA39" t="s">
        <v>164</v>
      </c>
      <c r="AB39">
        <v>2024</v>
      </c>
      <c r="AC39" t="s">
        <v>33</v>
      </c>
    </row>
    <row r="40" spans="27:29">
      <c r="AA40" t="s">
        <v>385</v>
      </c>
      <c r="AB40">
        <v>2024</v>
      </c>
      <c r="AC40" t="s">
        <v>33</v>
      </c>
    </row>
    <row r="41" spans="27:29">
      <c r="AA41" t="s">
        <v>386</v>
      </c>
      <c r="AB41">
        <v>2024</v>
      </c>
      <c r="AC41" t="s">
        <v>49</v>
      </c>
    </row>
    <row r="42" spans="27:29">
      <c r="AA42" t="s">
        <v>325</v>
      </c>
      <c r="AB42">
        <v>2024</v>
      </c>
      <c r="AC42" t="s">
        <v>33</v>
      </c>
    </row>
    <row r="43" spans="27:29">
      <c r="AA43" t="s">
        <v>164</v>
      </c>
      <c r="AB43">
        <v>2024</v>
      </c>
      <c r="AC43" t="s">
        <v>33</v>
      </c>
    </row>
    <row r="44" spans="27:29">
      <c r="AA44" t="s">
        <v>422</v>
      </c>
      <c r="AB44">
        <v>2024</v>
      </c>
      <c r="AC44" t="s">
        <v>49</v>
      </c>
    </row>
    <row r="45" spans="27:29">
      <c r="AA45" t="s">
        <v>433</v>
      </c>
      <c r="AB45">
        <v>2024</v>
      </c>
      <c r="AC45" t="s">
        <v>33</v>
      </c>
    </row>
    <row r="46" spans="27:29">
      <c r="AA46" t="s">
        <v>113</v>
      </c>
      <c r="AB46">
        <v>2024</v>
      </c>
      <c r="AC46" t="s">
        <v>33</v>
      </c>
    </row>
    <row r="47" spans="27:29">
      <c r="AA47" t="s">
        <v>97</v>
      </c>
      <c r="AB47">
        <v>2024</v>
      </c>
      <c r="AC47" t="s">
        <v>33</v>
      </c>
    </row>
    <row r="48" spans="27:29">
      <c r="AA48" t="s">
        <v>470</v>
      </c>
      <c r="AB48">
        <v>2025</v>
      </c>
      <c r="AC48" t="s">
        <v>208</v>
      </c>
    </row>
    <row r="49" spans="27:29">
      <c r="AA49" t="s">
        <v>22</v>
      </c>
      <c r="AB49">
        <v>2024</v>
      </c>
      <c r="AC49" t="s">
        <v>33</v>
      </c>
    </row>
    <row r="50" spans="27:29">
      <c r="AA50" t="s">
        <v>493</v>
      </c>
      <c r="AB50">
        <v>2024</v>
      </c>
      <c r="AC50" t="s">
        <v>33</v>
      </c>
    </row>
    <row r="51" spans="27:29">
      <c r="AA51" t="s">
        <v>505</v>
      </c>
      <c r="AB51">
        <v>2024</v>
      </c>
      <c r="AC51" t="s">
        <v>49</v>
      </c>
    </row>
    <row r="52" spans="27:29">
      <c r="AA52" t="s">
        <v>513</v>
      </c>
      <c r="AB52">
        <v>2024</v>
      </c>
      <c r="AC52" t="s">
        <v>49</v>
      </c>
    </row>
    <row r="53" spans="27:29">
      <c r="AA53" t="s">
        <v>82</v>
      </c>
      <c r="AB53">
        <v>2024</v>
      </c>
      <c r="AC53" t="s">
        <v>49</v>
      </c>
    </row>
    <row r="54" spans="27:29">
      <c r="AA54" t="s">
        <v>83</v>
      </c>
      <c r="AB54">
        <v>2024</v>
      </c>
      <c r="AC54" t="s">
        <v>49</v>
      </c>
    </row>
    <row r="55" spans="27:29">
      <c r="AA55" t="s">
        <v>514</v>
      </c>
      <c r="AB55">
        <v>2024</v>
      </c>
      <c r="AC55" t="s">
        <v>33</v>
      </c>
    </row>
    <row r="56" spans="27:29">
      <c r="AA56" t="s">
        <v>178</v>
      </c>
      <c r="AB56">
        <v>2025</v>
      </c>
      <c r="AC56" t="s">
        <v>33</v>
      </c>
    </row>
    <row r="57" spans="27:29">
      <c r="AA57" t="s">
        <v>113</v>
      </c>
      <c r="AB57">
        <v>2024</v>
      </c>
      <c r="AC57" t="s">
        <v>33</v>
      </c>
    </row>
    <row r="58" spans="27:29">
      <c r="AA58" t="s">
        <v>276</v>
      </c>
      <c r="AB58">
        <v>2025</v>
      </c>
      <c r="AC58" t="s">
        <v>49</v>
      </c>
    </row>
    <row r="59" spans="27:29">
      <c r="AA59" t="s">
        <v>635</v>
      </c>
      <c r="AB59">
        <v>2024</v>
      </c>
      <c r="AC59" t="s">
        <v>33</v>
      </c>
    </row>
    <row r="60" spans="27:29">
      <c r="AA60" t="s">
        <v>113</v>
      </c>
      <c r="AB60">
        <v>2024</v>
      </c>
      <c r="AC60" t="s">
        <v>33</v>
      </c>
    </row>
    <row r="61" spans="27:29">
      <c r="AA61" t="s">
        <v>586</v>
      </c>
      <c r="AB61">
        <v>2025</v>
      </c>
      <c r="AC61" t="s">
        <v>49</v>
      </c>
    </row>
    <row r="62" spans="27:29">
      <c r="AA62" t="s">
        <v>39</v>
      </c>
      <c r="AB62">
        <v>2024</v>
      </c>
      <c r="AC62" t="s">
        <v>33</v>
      </c>
    </row>
    <row r="63" spans="27:29">
      <c r="AA63" t="s">
        <v>622</v>
      </c>
      <c r="AB63">
        <v>2024</v>
      </c>
      <c r="AC63" t="s">
        <v>49</v>
      </c>
    </row>
    <row r="64" spans="27:29">
      <c r="AA64" t="s">
        <v>635</v>
      </c>
      <c r="AB64">
        <v>2024</v>
      </c>
      <c r="AC64" t="s">
        <v>644</v>
      </c>
    </row>
    <row r="65" spans="27:29">
      <c r="AA65" t="s">
        <v>276</v>
      </c>
      <c r="AB65">
        <v>2024</v>
      </c>
      <c r="AC65" t="s">
        <v>49</v>
      </c>
    </row>
    <row r="66" spans="27:29">
      <c r="AA66" t="s">
        <v>22</v>
      </c>
      <c r="AB66">
        <v>2025</v>
      </c>
      <c r="AC66" t="s">
        <v>33</v>
      </c>
    </row>
    <row r="67" spans="27:29">
      <c r="AA67" t="s">
        <v>83</v>
      </c>
      <c r="AB67">
        <v>2024</v>
      </c>
      <c r="AC67" t="s">
        <v>33</v>
      </c>
    </row>
    <row r="68" spans="27:29">
      <c r="AA68" t="s">
        <v>685</v>
      </c>
      <c r="AB68">
        <v>2024</v>
      </c>
      <c r="AC68" t="s">
        <v>33</v>
      </c>
    </row>
    <row r="69" spans="27:29">
      <c r="AA69" t="s">
        <v>694</v>
      </c>
      <c r="AB69">
        <v>2024</v>
      </c>
      <c r="AC69" t="s">
        <v>33</v>
      </c>
    </row>
    <row r="70" spans="27:29">
      <c r="AA70" t="s">
        <v>695</v>
      </c>
      <c r="AB70">
        <v>2024</v>
      </c>
      <c r="AC70" t="s">
        <v>33</v>
      </c>
    </row>
    <row r="71" spans="27:29">
      <c r="AA71" t="s">
        <v>696</v>
      </c>
      <c r="AB71">
        <v>2024</v>
      </c>
      <c r="AC71" t="s">
        <v>33</v>
      </c>
    </row>
    <row r="72" spans="27:29">
      <c r="AA72" t="s">
        <v>697</v>
      </c>
      <c r="AB72">
        <v>2024</v>
      </c>
      <c r="AC72" t="s">
        <v>33</v>
      </c>
    </row>
    <row r="73" spans="27:29">
      <c r="AA73" t="s">
        <v>698</v>
      </c>
      <c r="AB73">
        <v>2024</v>
      </c>
      <c r="AC73" t="s">
        <v>33</v>
      </c>
    </row>
    <row r="74" spans="27:29">
      <c r="AA74" t="s">
        <v>699</v>
      </c>
      <c r="AB74">
        <v>2024</v>
      </c>
      <c r="AC74" t="s">
        <v>33</v>
      </c>
    </row>
    <row r="75" spans="27:29">
      <c r="AA75" t="s">
        <v>493</v>
      </c>
      <c r="AB75">
        <v>2025</v>
      </c>
      <c r="AC75" t="s">
        <v>33</v>
      </c>
    </row>
    <row r="76" spans="27:29">
      <c r="AA76" t="s">
        <v>712</v>
      </c>
      <c r="AB76">
        <v>2025</v>
      </c>
      <c r="AC76" t="s">
        <v>33</v>
      </c>
    </row>
    <row r="77" spans="27:29">
      <c r="AA77" t="s">
        <v>433</v>
      </c>
      <c r="AB77">
        <v>2024</v>
      </c>
      <c r="AC77" t="s">
        <v>33</v>
      </c>
    </row>
    <row r="78" spans="27:29">
      <c r="AA78" t="s">
        <v>727</v>
      </c>
      <c r="AB78">
        <v>2024</v>
      </c>
      <c r="AC78" t="s">
        <v>33</v>
      </c>
    </row>
    <row r="79" spans="27:29">
      <c r="AA79" t="s">
        <v>728</v>
      </c>
      <c r="AB79">
        <v>2024</v>
      </c>
      <c r="AC79" t="s">
        <v>33</v>
      </c>
    </row>
    <row r="80" spans="27:29">
      <c r="AA80" t="s">
        <v>164</v>
      </c>
      <c r="AB80">
        <v>2024</v>
      </c>
      <c r="AC80" t="s">
        <v>49</v>
      </c>
    </row>
    <row r="81" spans="27:29">
      <c r="AA81" t="s">
        <v>22</v>
      </c>
      <c r="AB81">
        <v>2024</v>
      </c>
      <c r="AC81" t="s">
        <v>33</v>
      </c>
    </row>
    <row r="82" spans="27:29">
      <c r="AA82" t="s">
        <v>128</v>
      </c>
      <c r="AB82">
        <v>2024</v>
      </c>
      <c r="AC82" t="s">
        <v>49</v>
      </c>
    </row>
    <row r="83" spans="27:29">
      <c r="AA83" t="s">
        <v>755</v>
      </c>
      <c r="AB83">
        <v>2025</v>
      </c>
      <c r="AC83" t="s">
        <v>33</v>
      </c>
    </row>
    <row r="84" spans="27:29">
      <c r="AA84" t="s">
        <v>635</v>
      </c>
      <c r="AB84">
        <v>2024</v>
      </c>
      <c r="AC84" t="s">
        <v>33</v>
      </c>
    </row>
    <row r="85" spans="27:29">
      <c r="AA85" t="s">
        <v>422</v>
      </c>
      <c r="AB85">
        <v>2025</v>
      </c>
      <c r="AC85" t="s">
        <v>49</v>
      </c>
    </row>
    <row r="86" spans="27:29">
      <c r="AA86" t="s">
        <v>789</v>
      </c>
      <c r="AB86">
        <v>2025</v>
      </c>
      <c r="AC86" t="s">
        <v>49</v>
      </c>
    </row>
    <row r="87" spans="27:29">
      <c r="AA87" t="s">
        <v>790</v>
      </c>
      <c r="AB87">
        <v>2024</v>
      </c>
      <c r="AC87" t="s">
        <v>33</v>
      </c>
    </row>
    <row r="88" spans="27:29">
      <c r="AA88" t="s">
        <v>128</v>
      </c>
      <c r="AB88">
        <v>2025</v>
      </c>
      <c r="AC88" t="s">
        <v>33</v>
      </c>
    </row>
    <row r="89" spans="27:29">
      <c r="AA89" t="s">
        <v>811</v>
      </c>
      <c r="AB89">
        <v>2024</v>
      </c>
      <c r="AC89" t="s">
        <v>33</v>
      </c>
    </row>
    <row r="90" spans="27:29">
      <c r="AA90" t="s">
        <v>822</v>
      </c>
      <c r="AB90">
        <v>2024</v>
      </c>
      <c r="AC90" t="s">
        <v>33</v>
      </c>
    </row>
    <row r="91" spans="27:29">
      <c r="AA91" t="s">
        <v>834</v>
      </c>
      <c r="AB91">
        <v>2024</v>
      </c>
      <c r="AC91" t="s">
        <v>49</v>
      </c>
    </row>
    <row r="92" spans="27:29">
      <c r="AA92" t="s">
        <v>276</v>
      </c>
      <c r="AB92">
        <v>2024</v>
      </c>
      <c r="AC92" t="s">
        <v>49</v>
      </c>
    </row>
    <row r="93" spans="27:29">
      <c r="AA93" t="s">
        <v>861</v>
      </c>
      <c r="AB93">
        <v>2024</v>
      </c>
      <c r="AC93" t="s">
        <v>49</v>
      </c>
    </row>
    <row r="94" spans="27:29">
      <c r="AA94" t="s">
        <v>862</v>
      </c>
      <c r="AB94">
        <v>2024</v>
      </c>
      <c r="AC94" t="s">
        <v>49</v>
      </c>
    </row>
    <row r="95" spans="27:29">
      <c r="AA95" t="s">
        <v>863</v>
      </c>
      <c r="AB95">
        <v>2024</v>
      </c>
      <c r="AC95" t="s">
        <v>49</v>
      </c>
    </row>
    <row r="96" spans="27:29">
      <c r="AA96" t="s">
        <v>864</v>
      </c>
      <c r="AB96">
        <v>2024</v>
      </c>
      <c r="AC96" t="s">
        <v>33</v>
      </c>
    </row>
    <row r="97" spans="27:29">
      <c r="AA97" t="s">
        <v>265</v>
      </c>
      <c r="AB97">
        <v>2024</v>
      </c>
      <c r="AC97" t="s">
        <v>33</v>
      </c>
    </row>
    <row r="98" spans="27:29">
      <c r="AA98" t="s">
        <v>265</v>
      </c>
      <c r="AB98">
        <v>2024</v>
      </c>
      <c r="AC98" t="s">
        <v>33</v>
      </c>
    </row>
    <row r="99" spans="27:29">
      <c r="AA99" t="s">
        <v>897</v>
      </c>
      <c r="AB99">
        <v>2024</v>
      </c>
      <c r="AC99" t="s">
        <v>33</v>
      </c>
    </row>
    <row r="100" spans="27:29">
      <c r="AA100" t="s">
        <v>921</v>
      </c>
      <c r="AB100">
        <v>2025</v>
      </c>
      <c r="AC100" t="s">
        <v>33</v>
      </c>
    </row>
    <row r="101" spans="27:29">
      <c r="AA101" t="s">
        <v>954</v>
      </c>
      <c r="AB101">
        <v>2024</v>
      </c>
      <c r="AC101" t="s">
        <v>33</v>
      </c>
    </row>
    <row r="102" spans="27:29">
      <c r="AA102" t="s">
        <v>964</v>
      </c>
      <c r="AB102">
        <v>2024</v>
      </c>
      <c r="AC102" t="s">
        <v>33</v>
      </c>
    </row>
    <row r="103" spans="27:29">
      <c r="AA103" t="s">
        <v>965</v>
      </c>
      <c r="AB103">
        <v>2024</v>
      </c>
      <c r="AC103" t="s">
        <v>33</v>
      </c>
    </row>
    <row r="104" spans="27:29">
      <c r="AA104" t="s">
        <v>966</v>
      </c>
      <c r="AB104">
        <v>2024</v>
      </c>
      <c r="AC104" t="s">
        <v>33</v>
      </c>
    </row>
    <row r="105" spans="27:29">
      <c r="AA105" t="s">
        <v>384</v>
      </c>
      <c r="AB105">
        <v>2024</v>
      </c>
      <c r="AC105" t="s">
        <v>33</v>
      </c>
    </row>
    <row r="106" spans="27:29">
      <c r="AA106" t="s">
        <v>385</v>
      </c>
      <c r="AB106">
        <v>2024</v>
      </c>
      <c r="AC106" t="s">
        <v>33</v>
      </c>
    </row>
    <row r="107" spans="27:29">
      <c r="AA107" t="s">
        <v>967</v>
      </c>
      <c r="AB107">
        <v>2025</v>
      </c>
      <c r="AC107" t="s">
        <v>49</v>
      </c>
    </row>
    <row r="108" spans="27:29">
      <c r="AA108" t="s">
        <v>974</v>
      </c>
      <c r="AB108">
        <v>2025</v>
      </c>
      <c r="AC108" t="s">
        <v>49</v>
      </c>
    </row>
    <row r="109" spans="27:29">
      <c r="AA109" t="s">
        <v>975</v>
      </c>
      <c r="AB109">
        <v>2025</v>
      </c>
      <c r="AC109" t="s">
        <v>49</v>
      </c>
    </row>
    <row r="110" spans="27:29">
      <c r="AA110" t="s">
        <v>276</v>
      </c>
      <c r="AB110">
        <v>2024</v>
      </c>
      <c r="AC110" t="s">
        <v>33</v>
      </c>
    </row>
    <row r="111" spans="27:29">
      <c r="AA111" t="s">
        <v>113</v>
      </c>
      <c r="AB111">
        <v>2025</v>
      </c>
      <c r="AC111" t="s">
        <v>49</v>
      </c>
    </row>
    <row r="112" spans="27:29">
      <c r="AA112" t="s">
        <v>996</v>
      </c>
      <c r="AB112">
        <v>2024</v>
      </c>
      <c r="AC112" t="s">
        <v>33</v>
      </c>
    </row>
    <row r="113" spans="27:29">
      <c r="AA113" t="s">
        <v>1008</v>
      </c>
      <c r="AB113">
        <v>2024</v>
      </c>
      <c r="AC113" t="s">
        <v>33</v>
      </c>
    </row>
    <row r="114" spans="27:29">
      <c r="AA114" t="s">
        <v>1009</v>
      </c>
      <c r="AB114">
        <v>2024</v>
      </c>
      <c r="AC114" t="s">
        <v>33</v>
      </c>
    </row>
    <row r="115" spans="27:29">
      <c r="AA115" t="s">
        <v>1010</v>
      </c>
      <c r="AB115">
        <v>2024</v>
      </c>
      <c r="AC115" t="s">
        <v>33</v>
      </c>
    </row>
    <row r="116" spans="27:29">
      <c r="AA116" t="s">
        <v>1011</v>
      </c>
      <c r="AB116">
        <v>2024</v>
      </c>
      <c r="AC116" t="s">
        <v>33</v>
      </c>
    </row>
    <row r="117" spans="27:29">
      <c r="AA117" t="s">
        <v>1012</v>
      </c>
      <c r="AB117">
        <v>2024</v>
      </c>
      <c r="AC117" t="s">
        <v>33</v>
      </c>
    </row>
    <row r="118" spans="27:29">
      <c r="AA118" t="s">
        <v>921</v>
      </c>
      <c r="AB118">
        <v>2024</v>
      </c>
      <c r="AC118" t="s">
        <v>33</v>
      </c>
    </row>
    <row r="119" spans="27:29">
      <c r="AA119" t="s">
        <v>1013</v>
      </c>
      <c r="AB119">
        <v>2025</v>
      </c>
      <c r="AC119" t="s">
        <v>49</v>
      </c>
    </row>
    <row r="120" spans="27:29">
      <c r="AA120" t="s">
        <v>1024</v>
      </c>
      <c r="AB120">
        <v>2025</v>
      </c>
      <c r="AC120" t="s">
        <v>49</v>
      </c>
    </row>
    <row r="121" spans="27:29">
      <c r="AA121" t="s">
        <v>276</v>
      </c>
      <c r="AB121">
        <v>2024</v>
      </c>
      <c r="AC121" t="s">
        <v>49</v>
      </c>
    </row>
    <row r="122" spans="27:29">
      <c r="AA122" t="s">
        <v>1032</v>
      </c>
      <c r="AB122">
        <v>2024</v>
      </c>
      <c r="AC122" t="s">
        <v>49</v>
      </c>
    </row>
    <row r="123" spans="27:29">
      <c r="AA123" t="s">
        <v>128</v>
      </c>
      <c r="AB123">
        <v>2024</v>
      </c>
      <c r="AC123" t="s">
        <v>33</v>
      </c>
    </row>
    <row r="124" spans="27:29">
      <c r="AA124" t="s">
        <v>1051</v>
      </c>
      <c r="AB124">
        <v>2024</v>
      </c>
      <c r="AC124" t="s">
        <v>33</v>
      </c>
    </row>
    <row r="125" spans="27:29">
      <c r="AA125" t="s">
        <v>1061</v>
      </c>
      <c r="AB125">
        <v>2024</v>
      </c>
      <c r="AC125" t="s">
        <v>49</v>
      </c>
    </row>
    <row r="126" spans="27:29">
      <c r="AA126" t="s">
        <v>83</v>
      </c>
      <c r="AB126">
        <v>2025</v>
      </c>
      <c r="AC126" t="s">
        <v>33</v>
      </c>
    </row>
    <row r="127" spans="27:29">
      <c r="AA127" t="s">
        <v>3553</v>
      </c>
      <c r="AB127">
        <v>2025</v>
      </c>
      <c r="AC127" t="s">
        <v>33</v>
      </c>
    </row>
    <row r="128" spans="27:29">
      <c r="AA128" t="s">
        <v>83</v>
      </c>
      <c r="AB128">
        <v>2025</v>
      </c>
      <c r="AC128" t="s">
        <v>49</v>
      </c>
    </row>
    <row r="129" spans="27:29">
      <c r="AA129" t="s">
        <v>1100</v>
      </c>
      <c r="AB129">
        <v>2024</v>
      </c>
      <c r="AC129" t="s">
        <v>644</v>
      </c>
    </row>
    <row r="130" spans="27:29">
      <c r="AA130" t="s">
        <v>1109</v>
      </c>
      <c r="AB130">
        <v>2025</v>
      </c>
      <c r="AC130" t="s">
        <v>33</v>
      </c>
    </row>
    <row r="131" spans="27:29">
      <c r="AA131" t="s">
        <v>128</v>
      </c>
      <c r="AB131">
        <v>2024</v>
      </c>
      <c r="AC131" t="s">
        <v>1125</v>
      </c>
    </row>
    <row r="132" spans="27:29">
      <c r="AA132" t="s">
        <v>1129</v>
      </c>
      <c r="AB132">
        <v>2024</v>
      </c>
      <c r="AC132" t="s">
        <v>33</v>
      </c>
    </row>
    <row r="133" spans="27:29">
      <c r="AA133" t="s">
        <v>113</v>
      </c>
      <c r="AB133">
        <v>2025</v>
      </c>
      <c r="AC133" t="s">
        <v>49</v>
      </c>
    </row>
    <row r="134" spans="27:29">
      <c r="AA134" t="s">
        <v>755</v>
      </c>
      <c r="AB134">
        <v>2024</v>
      </c>
      <c r="AC134" t="s">
        <v>33</v>
      </c>
    </row>
    <row r="135" spans="27:29">
      <c r="AA135" t="s">
        <v>1167</v>
      </c>
      <c r="AB135">
        <v>2024</v>
      </c>
      <c r="AC135" t="s">
        <v>33</v>
      </c>
    </row>
    <row r="136" spans="27:29">
      <c r="AA136" t="s">
        <v>1168</v>
      </c>
      <c r="AB136">
        <v>2025</v>
      </c>
      <c r="AC136" t="s">
        <v>33</v>
      </c>
    </row>
    <row r="137" spans="27:29">
      <c r="AA137" t="s">
        <v>1176</v>
      </c>
      <c r="AB137">
        <v>2025</v>
      </c>
      <c r="AC137" t="s">
        <v>33</v>
      </c>
    </row>
    <row r="138" spans="27:29">
      <c r="AA138" t="s">
        <v>265</v>
      </c>
      <c r="AB138">
        <v>2025</v>
      </c>
      <c r="AC138" t="s">
        <v>33</v>
      </c>
    </row>
    <row r="139" spans="27:29">
      <c r="AA139" t="s">
        <v>822</v>
      </c>
      <c r="AB139">
        <v>2024</v>
      </c>
      <c r="AC139" t="s">
        <v>33</v>
      </c>
    </row>
    <row r="140" spans="27:29">
      <c r="AA140" t="s">
        <v>276</v>
      </c>
      <c r="AB140">
        <v>2025</v>
      </c>
      <c r="AC140" t="s">
        <v>49</v>
      </c>
    </row>
    <row r="141" spans="27:29">
      <c r="AA141" t="s">
        <v>113</v>
      </c>
      <c r="AB141">
        <v>2024</v>
      </c>
      <c r="AC141" t="s">
        <v>33</v>
      </c>
    </row>
    <row r="142" spans="27:29">
      <c r="AA142" t="s">
        <v>164</v>
      </c>
      <c r="AB142">
        <v>2024</v>
      </c>
      <c r="AC142" t="s">
        <v>49</v>
      </c>
    </row>
    <row r="143" spans="27:29">
      <c r="AA143" t="s">
        <v>265</v>
      </c>
      <c r="AB143">
        <v>2024</v>
      </c>
      <c r="AC143" t="s">
        <v>33</v>
      </c>
    </row>
    <row r="144" spans="27:29">
      <c r="AA144" t="s">
        <v>82</v>
      </c>
      <c r="AB144">
        <v>2025</v>
      </c>
      <c r="AC144" t="s">
        <v>33</v>
      </c>
    </row>
    <row r="145" spans="27:29">
      <c r="AA145" t="s">
        <v>1250</v>
      </c>
      <c r="AB145">
        <v>2025</v>
      </c>
      <c r="AC145" t="s">
        <v>33</v>
      </c>
    </row>
    <row r="146" spans="27:29">
      <c r="AA146" t="s">
        <v>1251</v>
      </c>
      <c r="AB146">
        <v>2025</v>
      </c>
      <c r="AC146" t="s">
        <v>33</v>
      </c>
    </row>
    <row r="147" spans="27:29">
      <c r="AA147" t="s">
        <v>83</v>
      </c>
      <c r="AB147">
        <v>2025</v>
      </c>
      <c r="AC147" t="s">
        <v>33</v>
      </c>
    </row>
    <row r="148" spans="27:29">
      <c r="AA148" t="s">
        <v>1252</v>
      </c>
      <c r="AB148">
        <v>2024</v>
      </c>
      <c r="AC148" t="s">
        <v>33</v>
      </c>
    </row>
    <row r="149" spans="27:29">
      <c r="AA149" t="s">
        <v>1264</v>
      </c>
      <c r="AB149">
        <v>2024</v>
      </c>
      <c r="AC149" t="s">
        <v>33</v>
      </c>
    </row>
    <row r="150" spans="27:29">
      <c r="AA150" t="s">
        <v>1032</v>
      </c>
      <c r="AB150">
        <v>2024</v>
      </c>
      <c r="AC150" t="s">
        <v>33</v>
      </c>
    </row>
    <row r="151" spans="27:29">
      <c r="AA151" t="s">
        <v>1270</v>
      </c>
      <c r="AB151">
        <v>2024</v>
      </c>
      <c r="AC151" t="s">
        <v>33</v>
      </c>
    </row>
    <row r="152" spans="27:29">
      <c r="AA152" t="s">
        <v>790</v>
      </c>
      <c r="AB152">
        <v>2025</v>
      </c>
      <c r="AC152" t="s">
        <v>33</v>
      </c>
    </row>
    <row r="153" spans="27:29">
      <c r="AA153" t="s">
        <v>1282</v>
      </c>
      <c r="AB153">
        <v>2025</v>
      </c>
      <c r="AC153" t="s">
        <v>49</v>
      </c>
    </row>
    <row r="154" spans="27:29">
      <c r="AA154" t="s">
        <v>996</v>
      </c>
      <c r="AB154">
        <v>2024</v>
      </c>
      <c r="AC154" t="s">
        <v>33</v>
      </c>
    </row>
    <row r="155" spans="27:29">
      <c r="AA155" t="s">
        <v>1010</v>
      </c>
      <c r="AB155">
        <v>2024</v>
      </c>
      <c r="AC155" t="s">
        <v>33</v>
      </c>
    </row>
    <row r="156" spans="27:29">
      <c r="AA156" t="s">
        <v>1012</v>
      </c>
      <c r="AB156">
        <v>2024</v>
      </c>
      <c r="AC156" t="s">
        <v>49</v>
      </c>
    </row>
    <row r="157" spans="27:29">
      <c r="AA157" t="s">
        <v>1310</v>
      </c>
      <c r="AB157">
        <v>2024</v>
      </c>
      <c r="AC157" t="s">
        <v>49</v>
      </c>
    </row>
    <row r="158" spans="27:29">
      <c r="AA158" t="s">
        <v>214</v>
      </c>
      <c r="AB158">
        <v>2024</v>
      </c>
      <c r="AC158" t="s">
        <v>49</v>
      </c>
    </row>
    <row r="159" spans="27:29">
      <c r="AA159" t="s">
        <v>996</v>
      </c>
      <c r="AB159">
        <v>2024</v>
      </c>
      <c r="AC159" t="s">
        <v>49</v>
      </c>
    </row>
    <row r="160" spans="27:29">
      <c r="AA160" t="s">
        <v>1024</v>
      </c>
      <c r="AB160">
        <v>2024</v>
      </c>
      <c r="AC160" t="s">
        <v>33</v>
      </c>
    </row>
    <row r="161" spans="27:29">
      <c r="AA161" t="s">
        <v>1319</v>
      </c>
      <c r="AB161">
        <v>2024</v>
      </c>
      <c r="AC161" t="s">
        <v>33</v>
      </c>
    </row>
    <row r="162" spans="27:29">
      <c r="AA162" t="s">
        <v>265</v>
      </c>
      <c r="AB162">
        <v>2024</v>
      </c>
      <c r="AC162" t="s">
        <v>33</v>
      </c>
    </row>
    <row r="163" spans="27:29">
      <c r="AA163" t="s">
        <v>1320</v>
      </c>
      <c r="AB163">
        <v>2024</v>
      </c>
      <c r="AC163" t="s">
        <v>33</v>
      </c>
    </row>
    <row r="164" spans="27:29">
      <c r="AA164" t="s">
        <v>228</v>
      </c>
      <c r="AB164">
        <v>2024</v>
      </c>
      <c r="AC164" t="s">
        <v>33</v>
      </c>
    </row>
    <row r="165" spans="27:29">
      <c r="AA165" t="s">
        <v>1344</v>
      </c>
      <c r="AB165">
        <v>2024</v>
      </c>
      <c r="AC165" t="s">
        <v>33</v>
      </c>
    </row>
    <row r="166" spans="27:29">
      <c r="AA166" t="s">
        <v>433</v>
      </c>
      <c r="AB166">
        <v>2024</v>
      </c>
      <c r="AC166" t="s">
        <v>33</v>
      </c>
    </row>
    <row r="167" spans="27:29">
      <c r="AA167" t="s">
        <v>1345</v>
      </c>
      <c r="AB167">
        <v>2025</v>
      </c>
      <c r="AC167" t="s">
        <v>49</v>
      </c>
    </row>
    <row r="168" spans="27:29">
      <c r="AA168" t="s">
        <v>1353</v>
      </c>
      <c r="AB168">
        <v>2025</v>
      </c>
      <c r="AC168" t="s">
        <v>49</v>
      </c>
    </row>
    <row r="169" spans="27:29">
      <c r="AA169" t="s">
        <v>1354</v>
      </c>
      <c r="AB169">
        <v>2025</v>
      </c>
      <c r="AC169" t="s">
        <v>49</v>
      </c>
    </row>
    <row r="170" spans="27:29">
      <c r="AA170" t="s">
        <v>1355</v>
      </c>
      <c r="AB170">
        <v>2024</v>
      </c>
      <c r="AC170" t="s">
        <v>33</v>
      </c>
    </row>
    <row r="171" spans="27:29">
      <c r="AA171" t="s">
        <v>1369</v>
      </c>
      <c r="AB171">
        <v>2024</v>
      </c>
      <c r="AC171" t="s">
        <v>33</v>
      </c>
    </row>
    <row r="172" spans="27:29">
      <c r="AA172" t="s">
        <v>1381</v>
      </c>
      <c r="AB172">
        <v>2024</v>
      </c>
      <c r="AC172" t="s">
        <v>33</v>
      </c>
    </row>
    <row r="173" spans="27:29">
      <c r="AA173" t="s">
        <v>265</v>
      </c>
      <c r="AB173">
        <v>2025</v>
      </c>
      <c r="AC173" t="s">
        <v>33</v>
      </c>
    </row>
    <row r="174" spans="27:29">
      <c r="AA174" t="s">
        <v>1391</v>
      </c>
      <c r="AB174">
        <v>2025</v>
      </c>
      <c r="AC174" t="s">
        <v>49</v>
      </c>
    </row>
    <row r="175" spans="27:29">
      <c r="AA175" t="s">
        <v>1396</v>
      </c>
      <c r="AB175">
        <v>2025</v>
      </c>
      <c r="AC175" t="s">
        <v>49</v>
      </c>
    </row>
    <row r="176" spans="27:29">
      <c r="AA176" t="s">
        <v>82</v>
      </c>
      <c r="AB176">
        <v>2025</v>
      </c>
      <c r="AC176" t="s">
        <v>49</v>
      </c>
    </row>
    <row r="177" spans="27:29">
      <c r="AA177" t="s">
        <v>83</v>
      </c>
      <c r="AB177">
        <v>2025</v>
      </c>
      <c r="AC177" t="s">
        <v>49</v>
      </c>
    </row>
    <row r="178" spans="27:29">
      <c r="AA178" t="s">
        <v>22</v>
      </c>
      <c r="AB178">
        <v>2024</v>
      </c>
      <c r="AC178" t="s">
        <v>33</v>
      </c>
    </row>
    <row r="179" spans="27:29">
      <c r="AA179" t="s">
        <v>113</v>
      </c>
      <c r="AB179">
        <v>2024</v>
      </c>
      <c r="AC179" t="s">
        <v>33</v>
      </c>
    </row>
    <row r="180" spans="27:29">
      <c r="AA180" t="s">
        <v>128</v>
      </c>
      <c r="AB180">
        <v>2024</v>
      </c>
      <c r="AC180" t="s">
        <v>1125</v>
      </c>
    </row>
    <row r="181" spans="27:29">
      <c r="AA181" t="s">
        <v>113</v>
      </c>
      <c r="AB181">
        <v>2025</v>
      </c>
      <c r="AC181" t="s">
        <v>33</v>
      </c>
    </row>
    <row r="182" spans="27:29">
      <c r="AA182" t="s">
        <v>1439</v>
      </c>
      <c r="AB182">
        <v>2024</v>
      </c>
      <c r="AC182" t="s">
        <v>33</v>
      </c>
    </row>
    <row r="183" spans="27:29">
      <c r="AA183" t="s">
        <v>276</v>
      </c>
      <c r="AB183">
        <v>2025</v>
      </c>
      <c r="AC183" t="s">
        <v>49</v>
      </c>
    </row>
    <row r="184" spans="27:29">
      <c r="AA184" t="s">
        <v>897</v>
      </c>
      <c r="AB184">
        <v>2025</v>
      </c>
      <c r="AC184" t="s">
        <v>33</v>
      </c>
    </row>
    <row r="185" spans="27:29">
      <c r="AA185" t="s">
        <v>276</v>
      </c>
      <c r="AB185">
        <v>2024</v>
      </c>
      <c r="AC185" t="s">
        <v>33</v>
      </c>
    </row>
    <row r="186" spans="27:29">
      <c r="AA186" t="s">
        <v>1480</v>
      </c>
      <c r="AB186">
        <v>2024</v>
      </c>
      <c r="AC186" t="s">
        <v>33</v>
      </c>
    </row>
    <row r="187" spans="27:29">
      <c r="AA187" t="s">
        <v>39</v>
      </c>
      <c r="AB187">
        <v>2025</v>
      </c>
      <c r="AC187" t="s">
        <v>49</v>
      </c>
    </row>
    <row r="188" spans="27:29">
      <c r="AA188" t="s">
        <v>974</v>
      </c>
      <c r="AB188">
        <v>2025</v>
      </c>
      <c r="AC188" t="s">
        <v>49</v>
      </c>
    </row>
    <row r="189" spans="27:29">
      <c r="AA189" t="s">
        <v>1513</v>
      </c>
      <c r="AB189">
        <v>2025</v>
      </c>
      <c r="AC189" t="s">
        <v>49</v>
      </c>
    </row>
    <row r="190" spans="27:29">
      <c r="AA190" t="s">
        <v>1514</v>
      </c>
      <c r="AB190">
        <v>2025</v>
      </c>
      <c r="AC190" t="s">
        <v>49</v>
      </c>
    </row>
    <row r="191" spans="27:29">
      <c r="AA191" t="s">
        <v>975</v>
      </c>
      <c r="AB191">
        <v>2025</v>
      </c>
      <c r="AC191" t="s">
        <v>49</v>
      </c>
    </row>
    <row r="192" spans="27:29">
      <c r="AA192" t="s">
        <v>967</v>
      </c>
      <c r="AB192">
        <v>2025</v>
      </c>
      <c r="AC192" t="s">
        <v>49</v>
      </c>
    </row>
    <row r="193" spans="27:29">
      <c r="AA193" t="s">
        <v>22</v>
      </c>
      <c r="AB193">
        <v>2025</v>
      </c>
      <c r="AC193" t="s">
        <v>33</v>
      </c>
    </row>
    <row r="194" spans="27:29">
      <c r="AA194" t="s">
        <v>1527</v>
      </c>
      <c r="AB194">
        <v>2024</v>
      </c>
      <c r="AC194" t="s">
        <v>33</v>
      </c>
    </row>
    <row r="195" spans="27:29">
      <c r="AA195" t="s">
        <v>790</v>
      </c>
      <c r="AB195">
        <v>2025</v>
      </c>
      <c r="AC195" t="s">
        <v>33</v>
      </c>
    </row>
    <row r="196" spans="27:29">
      <c r="AA196" t="s">
        <v>1551</v>
      </c>
      <c r="AB196">
        <v>2024</v>
      </c>
      <c r="AC196" t="s">
        <v>33</v>
      </c>
    </row>
    <row r="197" spans="27:29">
      <c r="AA197" t="s">
        <v>1559</v>
      </c>
      <c r="AB197">
        <v>2024</v>
      </c>
      <c r="AC197" t="s">
        <v>33</v>
      </c>
    </row>
    <row r="198" spans="27:29">
      <c r="AA198" t="s">
        <v>113</v>
      </c>
      <c r="AB198">
        <v>2024</v>
      </c>
      <c r="AC198" t="s">
        <v>33</v>
      </c>
    </row>
    <row r="199" spans="27:29">
      <c r="AA199" t="s">
        <v>493</v>
      </c>
      <c r="AB199">
        <v>2025</v>
      </c>
      <c r="AC199" t="s">
        <v>49</v>
      </c>
    </row>
    <row r="200" spans="27:29">
      <c r="AA200" t="s">
        <v>276</v>
      </c>
      <c r="AB200">
        <v>2024</v>
      </c>
      <c r="AC200" t="s">
        <v>49</v>
      </c>
    </row>
    <row r="201" spans="27:29">
      <c r="AA201" t="s">
        <v>83</v>
      </c>
      <c r="AB201">
        <v>2025</v>
      </c>
      <c r="AC201" t="s">
        <v>33</v>
      </c>
    </row>
    <row r="202" spans="27:29">
      <c r="AA202" t="s">
        <v>82</v>
      </c>
      <c r="AB202">
        <v>2025</v>
      </c>
      <c r="AC202" t="s">
        <v>33</v>
      </c>
    </row>
    <row r="203" spans="27:29">
      <c r="AA203" t="s">
        <v>276</v>
      </c>
      <c r="AB203">
        <v>2024</v>
      </c>
      <c r="AC203" t="s">
        <v>49</v>
      </c>
    </row>
    <row r="204" spans="27:29">
      <c r="AA204" t="s">
        <v>128</v>
      </c>
      <c r="AB204">
        <v>2025</v>
      </c>
      <c r="AC204" t="s">
        <v>33</v>
      </c>
    </row>
    <row r="205" spans="27:29">
      <c r="AA205" t="s">
        <v>128</v>
      </c>
      <c r="AB205">
        <v>2024</v>
      </c>
      <c r="AC205" t="s">
        <v>1125</v>
      </c>
    </row>
    <row r="206" spans="27:29">
      <c r="AA206" t="s">
        <v>276</v>
      </c>
      <c r="AB206">
        <v>2024</v>
      </c>
      <c r="AC206" t="s">
        <v>49</v>
      </c>
    </row>
    <row r="207" spans="27:29">
      <c r="AA207" t="s">
        <v>1619</v>
      </c>
      <c r="AB207">
        <v>2024</v>
      </c>
      <c r="AC207" t="s">
        <v>49</v>
      </c>
    </row>
    <row r="208" spans="27:29">
      <c r="AA208" t="s">
        <v>514</v>
      </c>
      <c r="AB208">
        <v>2024</v>
      </c>
      <c r="AC208" t="s">
        <v>33</v>
      </c>
    </row>
    <row r="209" spans="27:29">
      <c r="AA209" t="s">
        <v>1644</v>
      </c>
      <c r="AB209">
        <v>2024</v>
      </c>
      <c r="AC209" t="s">
        <v>33</v>
      </c>
    </row>
    <row r="210" spans="27:29">
      <c r="AA210" t="s">
        <v>178</v>
      </c>
      <c r="AB210">
        <v>2025</v>
      </c>
      <c r="AC210" t="s">
        <v>33</v>
      </c>
    </row>
    <row r="211" spans="27:29">
      <c r="AA211" t="s">
        <v>897</v>
      </c>
      <c r="AB211">
        <v>2024</v>
      </c>
      <c r="AC211" t="s">
        <v>33</v>
      </c>
    </row>
    <row r="212" spans="27:29">
      <c r="AA212" t="s">
        <v>1673</v>
      </c>
      <c r="AB212">
        <v>2024</v>
      </c>
      <c r="AC212" t="s">
        <v>33</v>
      </c>
    </row>
    <row r="213" spans="27:29">
      <c r="AA213" t="s">
        <v>1684</v>
      </c>
      <c r="AB213">
        <v>2024</v>
      </c>
      <c r="AC213" t="s">
        <v>33</v>
      </c>
    </row>
    <row r="214" spans="27:29">
      <c r="AA214" t="s">
        <v>1282</v>
      </c>
      <c r="AB214">
        <v>2024</v>
      </c>
      <c r="AC214" t="s">
        <v>33</v>
      </c>
    </row>
    <row r="215" spans="27:29">
      <c r="AA215" t="s">
        <v>996</v>
      </c>
      <c r="AB215">
        <v>2025</v>
      </c>
      <c r="AC215" t="s">
        <v>33</v>
      </c>
    </row>
    <row r="216" spans="27:29">
      <c r="AA216" t="s">
        <v>22</v>
      </c>
      <c r="AB216">
        <v>2025</v>
      </c>
      <c r="AC216" t="s">
        <v>33</v>
      </c>
    </row>
    <row r="217" spans="27:29">
      <c r="AA217" t="s">
        <v>276</v>
      </c>
      <c r="AB217">
        <v>2024</v>
      </c>
      <c r="AC217" t="s">
        <v>33</v>
      </c>
    </row>
    <row r="218" spans="27:29">
      <c r="AA218" t="s">
        <v>1714</v>
      </c>
      <c r="AB218">
        <v>2025</v>
      </c>
      <c r="AC218" t="s">
        <v>33</v>
      </c>
    </row>
    <row r="219" spans="27:29">
      <c r="AA219" t="s">
        <v>1723</v>
      </c>
      <c r="AB219">
        <v>2025</v>
      </c>
      <c r="AC219" t="s">
        <v>33</v>
      </c>
    </row>
    <row r="220" spans="27:29">
      <c r="AA220" t="s">
        <v>1733</v>
      </c>
      <c r="AB220">
        <v>2025</v>
      </c>
      <c r="AC220" t="s">
        <v>33</v>
      </c>
    </row>
    <row r="221" spans="27:29">
      <c r="AA221" t="s">
        <v>265</v>
      </c>
      <c r="AB221">
        <v>2025</v>
      </c>
      <c r="AC221" t="s">
        <v>33</v>
      </c>
    </row>
    <row r="222" spans="27:29">
      <c r="AA222" t="s">
        <v>164</v>
      </c>
      <c r="AB222">
        <v>2025</v>
      </c>
      <c r="AC222" t="s">
        <v>33</v>
      </c>
    </row>
    <row r="223" spans="27:29">
      <c r="AA223" t="s">
        <v>1762</v>
      </c>
      <c r="AB223">
        <v>2024</v>
      </c>
      <c r="AC223" t="s">
        <v>33</v>
      </c>
    </row>
    <row r="224" spans="27:29">
      <c r="AA224" t="s">
        <v>1644</v>
      </c>
      <c r="AB224">
        <v>2024</v>
      </c>
      <c r="AC224" t="s">
        <v>33</v>
      </c>
    </row>
    <row r="225" spans="27:29">
      <c r="AA225" t="s">
        <v>1781</v>
      </c>
      <c r="AB225">
        <v>2024</v>
      </c>
      <c r="AC225" t="s">
        <v>33</v>
      </c>
    </row>
    <row r="226" spans="27:29">
      <c r="AA226" t="s">
        <v>1282</v>
      </c>
      <c r="AB226">
        <v>2025</v>
      </c>
      <c r="AC226" t="s">
        <v>49</v>
      </c>
    </row>
    <row r="227" spans="27:29">
      <c r="AA227" t="s">
        <v>276</v>
      </c>
      <c r="AB227">
        <v>2024</v>
      </c>
      <c r="AC227" t="s">
        <v>33</v>
      </c>
    </row>
    <row r="228" spans="27:29">
      <c r="AA228" t="s">
        <v>128</v>
      </c>
      <c r="AB228">
        <v>2024</v>
      </c>
      <c r="AC228" t="s">
        <v>1125</v>
      </c>
    </row>
    <row r="229" spans="27:29">
      <c r="AA229" t="s">
        <v>1480</v>
      </c>
      <c r="AB229">
        <v>2024</v>
      </c>
      <c r="AC229" t="s">
        <v>33</v>
      </c>
    </row>
    <row r="230" spans="27:29">
      <c r="AA230" t="s">
        <v>685</v>
      </c>
      <c r="AB230">
        <v>2025</v>
      </c>
      <c r="AC230" t="s">
        <v>33</v>
      </c>
    </row>
    <row r="231" spans="27:29">
      <c r="AA231" t="s">
        <v>1838</v>
      </c>
      <c r="AB231">
        <v>2024</v>
      </c>
      <c r="AC231" t="s">
        <v>33</v>
      </c>
    </row>
    <row r="232" spans="27:29">
      <c r="AA232" t="s">
        <v>1850</v>
      </c>
      <c r="AB232">
        <v>2024</v>
      </c>
      <c r="AC232" t="s">
        <v>33</v>
      </c>
    </row>
    <row r="233" spans="27:29">
      <c r="AA233" t="s">
        <v>22</v>
      </c>
      <c r="AB233">
        <v>2025</v>
      </c>
      <c r="AC233" t="s">
        <v>33</v>
      </c>
    </row>
    <row r="234" spans="27:29">
      <c r="AA234" t="s">
        <v>1860</v>
      </c>
      <c r="AB234">
        <v>2024</v>
      </c>
      <c r="AC234" t="s">
        <v>33</v>
      </c>
    </row>
    <row r="235" spans="27:29">
      <c r="AA235" t="s">
        <v>164</v>
      </c>
      <c r="AB235">
        <v>2025</v>
      </c>
      <c r="AC235" t="s">
        <v>33</v>
      </c>
    </row>
    <row r="236" spans="27:29">
      <c r="AA236" t="s">
        <v>342</v>
      </c>
      <c r="AB236">
        <v>2025</v>
      </c>
      <c r="AC236" t="s">
        <v>33</v>
      </c>
    </row>
    <row r="237" spans="27:29">
      <c r="AA237" t="s">
        <v>1396</v>
      </c>
      <c r="AB237">
        <v>2025</v>
      </c>
      <c r="AC237" t="s">
        <v>33</v>
      </c>
    </row>
    <row r="238" spans="27:29">
      <c r="AA238" t="s">
        <v>1908</v>
      </c>
      <c r="AB238">
        <v>2025</v>
      </c>
      <c r="AC238" t="s">
        <v>33</v>
      </c>
    </row>
    <row r="239" spans="27:29">
      <c r="AA239" t="s">
        <v>2815</v>
      </c>
      <c r="AB239">
        <v>2025</v>
      </c>
      <c r="AC239" t="s">
        <v>33</v>
      </c>
    </row>
    <row r="240" spans="27:29">
      <c r="AA240" t="s">
        <v>178</v>
      </c>
      <c r="AB240">
        <v>2024</v>
      </c>
      <c r="AC240" t="s">
        <v>33</v>
      </c>
    </row>
    <row r="241" spans="27:29">
      <c r="AA241" t="s">
        <v>1916</v>
      </c>
      <c r="AB241">
        <v>2025</v>
      </c>
      <c r="AC241" t="s">
        <v>33</v>
      </c>
    </row>
    <row r="242" spans="27:29">
      <c r="AA242" t="s">
        <v>3141</v>
      </c>
      <c r="AB242">
        <v>2025</v>
      </c>
      <c r="AC242" t="s">
        <v>49</v>
      </c>
    </row>
    <row r="243" spans="27:29">
      <c r="AA243" t="s">
        <v>265</v>
      </c>
      <c r="AB243">
        <v>2025</v>
      </c>
      <c r="AC243" t="s">
        <v>33</v>
      </c>
    </row>
    <row r="244" spans="27:29">
      <c r="AA244" t="s">
        <v>113</v>
      </c>
      <c r="AB244">
        <v>2025</v>
      </c>
      <c r="AC244" t="s">
        <v>33</v>
      </c>
    </row>
    <row r="245" spans="27:29">
      <c r="AA245" t="s">
        <v>1344</v>
      </c>
      <c r="AB245">
        <v>2025</v>
      </c>
      <c r="AC245" t="s">
        <v>33</v>
      </c>
    </row>
    <row r="246" spans="27:29">
      <c r="AA246" t="s">
        <v>1916</v>
      </c>
      <c r="AB246">
        <v>2025</v>
      </c>
      <c r="AC246" t="s">
        <v>33</v>
      </c>
    </row>
    <row r="247" spans="27:29">
      <c r="AA247" t="s">
        <v>1967</v>
      </c>
      <c r="AB247">
        <v>2025</v>
      </c>
      <c r="AC247" t="s">
        <v>33</v>
      </c>
    </row>
    <row r="248" spans="27:29">
      <c r="AA248" t="s">
        <v>228</v>
      </c>
      <c r="AB248">
        <v>2025</v>
      </c>
      <c r="AC248" t="s">
        <v>33</v>
      </c>
    </row>
    <row r="249" spans="27:29">
      <c r="AA249" t="s">
        <v>433</v>
      </c>
      <c r="AB249">
        <v>2025</v>
      </c>
      <c r="AC249" t="s">
        <v>33</v>
      </c>
    </row>
    <row r="250" spans="27:29">
      <c r="AA250" t="s">
        <v>1969</v>
      </c>
      <c r="AB250">
        <v>2025</v>
      </c>
      <c r="AC250" t="s">
        <v>33</v>
      </c>
    </row>
    <row r="251" spans="27:29">
      <c r="AA251" t="s">
        <v>113</v>
      </c>
      <c r="AB251">
        <v>2024</v>
      </c>
      <c r="AC251" t="s">
        <v>33</v>
      </c>
    </row>
    <row r="252" spans="27:29">
      <c r="AA252" t="s">
        <v>1983</v>
      </c>
      <c r="AB252">
        <v>2024</v>
      </c>
      <c r="AC252" t="s">
        <v>33</v>
      </c>
    </row>
    <row r="253" spans="27:29">
      <c r="AA253" t="s">
        <v>113</v>
      </c>
      <c r="AB253">
        <v>2024</v>
      </c>
      <c r="AC253" t="s">
        <v>33</v>
      </c>
    </row>
    <row r="254" spans="27:29">
      <c r="AA254" t="s">
        <v>1282</v>
      </c>
      <c r="AB254">
        <v>2024</v>
      </c>
      <c r="AC254" t="s">
        <v>49</v>
      </c>
    </row>
    <row r="255" spans="27:29">
      <c r="AA255" t="s">
        <v>2006</v>
      </c>
      <c r="AB255">
        <v>2024</v>
      </c>
      <c r="AC255" t="s">
        <v>33</v>
      </c>
    </row>
    <row r="256" spans="27:29">
      <c r="AA256" t="s">
        <v>2018</v>
      </c>
      <c r="AB256">
        <v>2025</v>
      </c>
      <c r="AC256" t="s">
        <v>33</v>
      </c>
    </row>
    <row r="257" spans="27:29">
      <c r="AA257" t="s">
        <v>164</v>
      </c>
      <c r="AB257">
        <v>2025</v>
      </c>
      <c r="AC257" t="s">
        <v>33</v>
      </c>
    </row>
    <row r="258" spans="27:29">
      <c r="AA258" t="s">
        <v>635</v>
      </c>
      <c r="AB258">
        <v>2025</v>
      </c>
      <c r="AC258" t="s">
        <v>33</v>
      </c>
    </row>
    <row r="259" spans="27:29">
      <c r="AA259" t="s">
        <v>2046</v>
      </c>
      <c r="AB259">
        <v>2024</v>
      </c>
      <c r="AC259" t="s">
        <v>33</v>
      </c>
    </row>
    <row r="260" spans="27:29">
      <c r="AA260" t="s">
        <v>2060</v>
      </c>
      <c r="AB260">
        <v>2024</v>
      </c>
      <c r="AC260" t="s">
        <v>33</v>
      </c>
    </row>
    <row r="261" spans="27:29">
      <c r="AA261" t="s">
        <v>276</v>
      </c>
      <c r="AB261">
        <v>2024</v>
      </c>
      <c r="AC261" t="s">
        <v>33</v>
      </c>
    </row>
    <row r="262" spans="27:29">
      <c r="AA262" t="s">
        <v>422</v>
      </c>
      <c r="AB262">
        <v>2024</v>
      </c>
      <c r="AC262" t="s">
        <v>1125</v>
      </c>
    </row>
    <row r="263" spans="27:29">
      <c r="AA263" t="s">
        <v>1619</v>
      </c>
      <c r="AB263">
        <v>2025</v>
      </c>
      <c r="AC263" t="s">
        <v>33</v>
      </c>
    </row>
    <row r="264" spans="27:29">
      <c r="AA264" t="s">
        <v>128</v>
      </c>
      <c r="AB264">
        <v>2025</v>
      </c>
      <c r="AC264" t="s">
        <v>33</v>
      </c>
    </row>
    <row r="265" spans="27:29">
      <c r="AA265" t="s">
        <v>2100</v>
      </c>
      <c r="AB265">
        <v>2025</v>
      </c>
      <c r="AC265" t="s">
        <v>33</v>
      </c>
    </row>
    <row r="266" spans="27:29">
      <c r="AA266" t="s">
        <v>276</v>
      </c>
      <c r="AB266">
        <v>2024</v>
      </c>
      <c r="AC266" t="s">
        <v>49</v>
      </c>
    </row>
    <row r="267" spans="27:29">
      <c r="AA267" t="s">
        <v>128</v>
      </c>
      <c r="AB267">
        <v>2024</v>
      </c>
      <c r="AC267" t="s">
        <v>2112</v>
      </c>
    </row>
    <row r="268" spans="27:29">
      <c r="AA268" t="s">
        <v>22</v>
      </c>
      <c r="AB268">
        <v>2025</v>
      </c>
      <c r="AC268" t="s">
        <v>49</v>
      </c>
    </row>
    <row r="269" spans="27:29">
      <c r="AA269" t="s">
        <v>276</v>
      </c>
      <c r="AB269">
        <v>2025</v>
      </c>
      <c r="AC269" t="s">
        <v>49</v>
      </c>
    </row>
    <row r="270" spans="27:29">
      <c r="AA270" t="s">
        <v>1644</v>
      </c>
      <c r="AB270">
        <v>2024</v>
      </c>
      <c r="AC270" t="s">
        <v>33</v>
      </c>
    </row>
    <row r="271" spans="27:29">
      <c r="AA271" t="s">
        <v>622</v>
      </c>
      <c r="AB271">
        <v>2025</v>
      </c>
      <c r="AC271" t="s">
        <v>49</v>
      </c>
    </row>
    <row r="272" spans="27:29">
      <c r="AA272" t="s">
        <v>383</v>
      </c>
      <c r="AB272">
        <v>2025</v>
      </c>
      <c r="AC272" t="s">
        <v>33</v>
      </c>
    </row>
    <row r="273" spans="27:29">
      <c r="AA273" t="s">
        <v>2172</v>
      </c>
      <c r="AB273">
        <v>2025</v>
      </c>
      <c r="AC273" t="s">
        <v>33</v>
      </c>
    </row>
    <row r="274" spans="27:29">
      <c r="AA274" t="s">
        <v>965</v>
      </c>
      <c r="AB274">
        <v>2025</v>
      </c>
      <c r="AC274" t="s">
        <v>33</v>
      </c>
    </row>
    <row r="275" spans="27:29">
      <c r="AA275" t="s">
        <v>385</v>
      </c>
      <c r="AB275">
        <v>2025</v>
      </c>
      <c r="AC275" t="s">
        <v>33</v>
      </c>
    </row>
    <row r="276" spans="27:29">
      <c r="AA276" t="s">
        <v>622</v>
      </c>
      <c r="AB276">
        <v>2025</v>
      </c>
      <c r="AC276" t="s">
        <v>49</v>
      </c>
    </row>
    <row r="277" spans="27:29">
      <c r="AA277" t="s">
        <v>164</v>
      </c>
      <c r="AB277">
        <v>2025</v>
      </c>
      <c r="AC277" t="s">
        <v>33</v>
      </c>
    </row>
    <row r="278" spans="27:29">
      <c r="AA278" t="s">
        <v>790</v>
      </c>
      <c r="AB278">
        <v>2024</v>
      </c>
      <c r="AC278" t="s">
        <v>33</v>
      </c>
    </row>
    <row r="279" spans="27:29">
      <c r="AA279" t="s">
        <v>2210</v>
      </c>
      <c r="AB279">
        <v>2025</v>
      </c>
      <c r="AC279" t="s">
        <v>33</v>
      </c>
    </row>
    <row r="280" spans="27:29">
      <c r="AA280" t="s">
        <v>789</v>
      </c>
      <c r="AB280">
        <v>2025</v>
      </c>
      <c r="AC280" t="s">
        <v>33</v>
      </c>
    </row>
    <row r="281" spans="27:29">
      <c r="AA281" t="s">
        <v>1916</v>
      </c>
      <c r="AB281">
        <v>2025</v>
      </c>
      <c r="AC281" t="s">
        <v>49</v>
      </c>
    </row>
    <row r="282" spans="27:29">
      <c r="AA282" t="s">
        <v>1344</v>
      </c>
      <c r="AB282">
        <v>2025</v>
      </c>
      <c r="AC282" t="s">
        <v>49</v>
      </c>
    </row>
    <row r="283" spans="27:29">
      <c r="AA283" t="s">
        <v>2242</v>
      </c>
      <c r="AB283">
        <v>2025</v>
      </c>
      <c r="AC283" t="s">
        <v>49</v>
      </c>
    </row>
    <row r="284" spans="27:29">
      <c r="AA284" t="s">
        <v>2255</v>
      </c>
      <c r="AB284">
        <v>2024</v>
      </c>
      <c r="AC284" t="s">
        <v>33</v>
      </c>
    </row>
    <row r="285" spans="27:29">
      <c r="AA285" t="s">
        <v>2266</v>
      </c>
      <c r="AB285">
        <v>2024</v>
      </c>
      <c r="AC285" t="s">
        <v>49</v>
      </c>
    </row>
    <row r="286" spans="27:29">
      <c r="AA286" t="s">
        <v>822</v>
      </c>
      <c r="AB286">
        <v>2025</v>
      </c>
      <c r="AC286" t="s">
        <v>33</v>
      </c>
    </row>
    <row r="287" spans="27:29">
      <c r="AA287" t="s">
        <v>1252</v>
      </c>
      <c r="AB287">
        <v>2024</v>
      </c>
      <c r="AC287" t="s">
        <v>33</v>
      </c>
    </row>
    <row r="288" spans="27:29">
      <c r="AA288" t="s">
        <v>2293</v>
      </c>
      <c r="AB288">
        <v>2024</v>
      </c>
      <c r="AC288" t="s">
        <v>33</v>
      </c>
    </row>
    <row r="289" spans="27:29">
      <c r="AA289" t="s">
        <v>265</v>
      </c>
      <c r="AB289">
        <v>2024</v>
      </c>
      <c r="AC289" t="s">
        <v>33</v>
      </c>
    </row>
    <row r="290" spans="27:29">
      <c r="AA290" t="s">
        <v>965</v>
      </c>
      <c r="AB290">
        <v>2025</v>
      </c>
      <c r="AC290" t="s">
        <v>49</v>
      </c>
    </row>
    <row r="291" spans="27:29">
      <c r="AA291" t="s">
        <v>2172</v>
      </c>
      <c r="AB291">
        <v>2025</v>
      </c>
      <c r="AC291" t="s">
        <v>49</v>
      </c>
    </row>
    <row r="292" spans="27:29">
      <c r="AA292" t="s">
        <v>385</v>
      </c>
      <c r="AB292">
        <v>2025</v>
      </c>
      <c r="AC292" t="s">
        <v>49</v>
      </c>
    </row>
    <row r="293" spans="27:29">
      <c r="AA293" t="s">
        <v>164</v>
      </c>
      <c r="AB293">
        <v>2024</v>
      </c>
      <c r="AC293" t="s">
        <v>33</v>
      </c>
    </row>
    <row r="294" spans="27:29">
      <c r="AA294" t="s">
        <v>2322</v>
      </c>
      <c r="AB294">
        <v>2025</v>
      </c>
      <c r="AC294" t="s">
        <v>33</v>
      </c>
    </row>
    <row r="295" spans="27:29">
      <c r="AA295" t="s">
        <v>276</v>
      </c>
      <c r="AB295">
        <v>2025</v>
      </c>
      <c r="AC295" t="s">
        <v>49</v>
      </c>
    </row>
    <row r="296" spans="27:29">
      <c r="AA296" t="s">
        <v>2342</v>
      </c>
      <c r="AB296">
        <v>2024</v>
      </c>
      <c r="AC296" t="s">
        <v>33</v>
      </c>
    </row>
    <row r="297" spans="27:29">
      <c r="AA297" t="s">
        <v>385</v>
      </c>
      <c r="AB297">
        <v>2025</v>
      </c>
      <c r="AC297" t="s">
        <v>33</v>
      </c>
    </row>
    <row r="298" spans="27:29">
      <c r="AA298" t="s">
        <v>2358</v>
      </c>
      <c r="AB298">
        <v>2025</v>
      </c>
      <c r="AC298" t="s">
        <v>33</v>
      </c>
    </row>
    <row r="299" spans="27:29">
      <c r="AA299" t="s">
        <v>897</v>
      </c>
      <c r="AB299">
        <v>2024</v>
      </c>
      <c r="AC299" t="s">
        <v>33</v>
      </c>
    </row>
    <row r="300" spans="27:29">
      <c r="AA300" t="s">
        <v>897</v>
      </c>
      <c r="AB300">
        <v>2024</v>
      </c>
      <c r="AC300" t="s">
        <v>49</v>
      </c>
    </row>
    <row r="301" spans="27:29">
      <c r="AA301" t="s">
        <v>2389</v>
      </c>
      <c r="AB301">
        <v>2024</v>
      </c>
      <c r="AC301" t="s">
        <v>33</v>
      </c>
    </row>
    <row r="302" spans="27:29">
      <c r="AA302" t="s">
        <v>1344</v>
      </c>
      <c r="AB302">
        <v>2024</v>
      </c>
      <c r="AC302" t="s">
        <v>33</v>
      </c>
    </row>
    <row r="303" spans="27:29">
      <c r="AA303" t="s">
        <v>2402</v>
      </c>
      <c r="AB303">
        <v>2024</v>
      </c>
      <c r="AC303" t="s">
        <v>33</v>
      </c>
    </row>
    <row r="304" spans="27:29">
      <c r="AA304" t="s">
        <v>2414</v>
      </c>
      <c r="AB304">
        <v>2024</v>
      </c>
      <c r="AC304" t="s">
        <v>33</v>
      </c>
    </row>
    <row r="305" spans="27:29">
      <c r="AA305" t="s">
        <v>2415</v>
      </c>
      <c r="AB305">
        <v>2024</v>
      </c>
      <c r="AC305" t="s">
        <v>33</v>
      </c>
    </row>
    <row r="306" spans="27:29">
      <c r="AA306" t="s">
        <v>2416</v>
      </c>
      <c r="AB306">
        <v>2024</v>
      </c>
      <c r="AC306" t="s">
        <v>33</v>
      </c>
    </row>
    <row r="307" spans="27:29">
      <c r="AA307" t="s">
        <v>1282</v>
      </c>
      <c r="AB307">
        <v>2025</v>
      </c>
      <c r="AC307" t="s">
        <v>33</v>
      </c>
    </row>
    <row r="308" spans="27:29">
      <c r="AA308" t="s">
        <v>22</v>
      </c>
      <c r="AB308">
        <v>2025</v>
      </c>
      <c r="AC308" t="s">
        <v>33</v>
      </c>
    </row>
    <row r="309" spans="27:29">
      <c r="AA309" t="s">
        <v>2445</v>
      </c>
      <c r="AB309">
        <v>2025</v>
      </c>
      <c r="AC309" t="s">
        <v>33</v>
      </c>
    </row>
    <row r="310" spans="27:29">
      <c r="AA310" t="s">
        <v>2455</v>
      </c>
      <c r="AB310">
        <v>2024</v>
      </c>
      <c r="AC310" t="s">
        <v>33</v>
      </c>
    </row>
    <row r="311" spans="27:29">
      <c r="AA311" t="s">
        <v>2467</v>
      </c>
      <c r="AB311">
        <v>2024</v>
      </c>
      <c r="AC311" t="s">
        <v>33</v>
      </c>
    </row>
    <row r="312" spans="27:29">
      <c r="AA312" t="s">
        <v>2478</v>
      </c>
      <c r="AB312">
        <v>2024</v>
      </c>
      <c r="AC312" t="s">
        <v>33</v>
      </c>
    </row>
    <row r="313" spans="27:29">
      <c r="AA313" t="s">
        <v>113</v>
      </c>
      <c r="AB313">
        <v>2025</v>
      </c>
      <c r="AC313" t="s">
        <v>33</v>
      </c>
    </row>
    <row r="314" spans="27:29">
      <c r="AA314" t="s">
        <v>39</v>
      </c>
      <c r="AB314">
        <v>2024</v>
      </c>
      <c r="AC314" t="s">
        <v>33</v>
      </c>
    </row>
    <row r="315" spans="27:29">
      <c r="AA315" t="s">
        <v>897</v>
      </c>
      <c r="AB315">
        <v>2024</v>
      </c>
      <c r="AC315" t="s">
        <v>33</v>
      </c>
    </row>
    <row r="316" spans="27:29">
      <c r="AA316" t="s">
        <v>622</v>
      </c>
      <c r="AB316">
        <v>2024</v>
      </c>
      <c r="AC316" t="s">
        <v>33</v>
      </c>
    </row>
    <row r="317" spans="27:29">
      <c r="AA317" t="s">
        <v>276</v>
      </c>
      <c r="AB317">
        <v>2025</v>
      </c>
      <c r="AC317" t="s">
        <v>49</v>
      </c>
    </row>
    <row r="318" spans="27:29">
      <c r="AA318" t="s">
        <v>1024</v>
      </c>
      <c r="AB318">
        <v>2025</v>
      </c>
      <c r="AC318" t="s">
        <v>33</v>
      </c>
    </row>
    <row r="319" spans="27:29">
      <c r="AA319" t="s">
        <v>1013</v>
      </c>
      <c r="AB319">
        <v>2025</v>
      </c>
      <c r="AC319" t="s">
        <v>33</v>
      </c>
    </row>
    <row r="320" spans="27:29">
      <c r="AA320" t="s">
        <v>276</v>
      </c>
      <c r="AB320">
        <v>2025</v>
      </c>
      <c r="AC320" t="s">
        <v>49</v>
      </c>
    </row>
    <row r="321" spans="27:29">
      <c r="AA321" t="s">
        <v>2553</v>
      </c>
      <c r="AB321">
        <v>2025</v>
      </c>
      <c r="AC321" t="s">
        <v>33</v>
      </c>
    </row>
    <row r="322" spans="27:29">
      <c r="AA322" t="s">
        <v>2563</v>
      </c>
      <c r="AB322">
        <v>2025</v>
      </c>
      <c r="AC322" t="s">
        <v>33</v>
      </c>
    </row>
    <row r="323" spans="27:29">
      <c r="AA323" t="s">
        <v>1916</v>
      </c>
      <c r="AB323">
        <v>2025</v>
      </c>
      <c r="AC323" t="s">
        <v>33</v>
      </c>
    </row>
    <row r="324" spans="27:29">
      <c r="AA324" t="s">
        <v>1344</v>
      </c>
      <c r="AB324">
        <v>2025</v>
      </c>
      <c r="AC324" t="s">
        <v>33</v>
      </c>
    </row>
    <row r="325" spans="27:29">
      <c r="AA325" t="s">
        <v>2564</v>
      </c>
      <c r="AB325">
        <v>2025</v>
      </c>
      <c r="AC325" t="s">
        <v>33</v>
      </c>
    </row>
    <row r="326" spans="27:29">
      <c r="AA326" t="s">
        <v>2572</v>
      </c>
      <c r="AB326">
        <v>2024</v>
      </c>
      <c r="AC326" t="s">
        <v>1125</v>
      </c>
    </row>
    <row r="327" spans="27:29">
      <c r="AA327" t="s">
        <v>2580</v>
      </c>
      <c r="AB327">
        <v>2025</v>
      </c>
      <c r="AC327" t="s">
        <v>33</v>
      </c>
    </row>
    <row r="328" spans="27:29">
      <c r="AA328" t="s">
        <v>789</v>
      </c>
      <c r="AB328">
        <v>2025</v>
      </c>
      <c r="AC328" t="s">
        <v>49</v>
      </c>
    </row>
    <row r="329" spans="27:29">
      <c r="AA329" t="s">
        <v>4644</v>
      </c>
      <c r="AB329">
        <v>2025</v>
      </c>
      <c r="AC329" t="s">
        <v>644</v>
      </c>
    </row>
    <row r="330" spans="27:29">
      <c r="AA330" t="s">
        <v>2607</v>
      </c>
      <c r="AB330">
        <v>2025</v>
      </c>
      <c r="AC330" t="s">
        <v>644</v>
      </c>
    </row>
    <row r="331" spans="27:29">
      <c r="AA331" t="s">
        <v>2608</v>
      </c>
      <c r="AB331">
        <v>2025</v>
      </c>
      <c r="AC331" t="s">
        <v>644</v>
      </c>
    </row>
    <row r="332" spans="27:29">
      <c r="AA332" t="s">
        <v>1344</v>
      </c>
      <c r="AB332">
        <v>2025</v>
      </c>
      <c r="AC332" t="s">
        <v>644</v>
      </c>
    </row>
    <row r="333" spans="27:29">
      <c r="AA333" t="s">
        <v>1282</v>
      </c>
      <c r="AB333">
        <v>2024</v>
      </c>
      <c r="AC333" t="s">
        <v>33</v>
      </c>
    </row>
    <row r="334" spans="27:29">
      <c r="AA334" t="s">
        <v>1344</v>
      </c>
      <c r="AB334">
        <v>2024</v>
      </c>
      <c r="AC334" t="s">
        <v>33</v>
      </c>
    </row>
    <row r="335" spans="27:29">
      <c r="AA335" t="s">
        <v>1916</v>
      </c>
      <c r="AB335">
        <v>2024</v>
      </c>
      <c r="AC335" t="s">
        <v>33</v>
      </c>
    </row>
    <row r="336" spans="27:29">
      <c r="AA336" t="s">
        <v>1967</v>
      </c>
      <c r="AB336">
        <v>2024</v>
      </c>
      <c r="AC336" t="s">
        <v>33</v>
      </c>
    </row>
    <row r="337" spans="27:29">
      <c r="AA337" t="s">
        <v>2629</v>
      </c>
      <c r="AB337">
        <v>2024</v>
      </c>
      <c r="AC337" t="s">
        <v>33</v>
      </c>
    </row>
    <row r="338" spans="27:29">
      <c r="AA338" t="s">
        <v>433</v>
      </c>
      <c r="AB338">
        <v>2024</v>
      </c>
      <c r="AC338" t="s">
        <v>33</v>
      </c>
    </row>
    <row r="339" spans="27:29">
      <c r="AA339" t="s">
        <v>1969</v>
      </c>
      <c r="AB339">
        <v>2024</v>
      </c>
      <c r="AC339" t="s">
        <v>33</v>
      </c>
    </row>
    <row r="340" spans="27:29">
      <c r="AA340" t="s">
        <v>2630</v>
      </c>
      <c r="AB340">
        <v>2024</v>
      </c>
      <c r="AC340" t="s">
        <v>33</v>
      </c>
    </row>
    <row r="341" spans="27:29">
      <c r="AA341" t="s">
        <v>2640</v>
      </c>
      <c r="AB341">
        <v>2025</v>
      </c>
      <c r="AC341" t="s">
        <v>33</v>
      </c>
    </row>
    <row r="342" spans="27:29">
      <c r="AA342" t="s">
        <v>39</v>
      </c>
      <c r="AB342">
        <v>2025</v>
      </c>
      <c r="AC342" t="s">
        <v>33</v>
      </c>
    </row>
    <row r="343" spans="27:29">
      <c r="AA343" t="s">
        <v>1983</v>
      </c>
      <c r="AB343">
        <v>2025</v>
      </c>
      <c r="AC343" t="s">
        <v>33</v>
      </c>
    </row>
    <row r="344" spans="27:29">
      <c r="AA344" t="s">
        <v>2672</v>
      </c>
      <c r="AB344">
        <v>2024</v>
      </c>
      <c r="AC344" t="s">
        <v>33</v>
      </c>
    </row>
    <row r="345" spans="27:29">
      <c r="AA345" t="s">
        <v>2683</v>
      </c>
      <c r="AB345">
        <v>2024</v>
      </c>
      <c r="AC345" t="s">
        <v>33</v>
      </c>
    </row>
    <row r="346" spans="27:29">
      <c r="AA346" t="s">
        <v>39</v>
      </c>
      <c r="AB346">
        <v>2024</v>
      </c>
      <c r="AC346" t="s">
        <v>33</v>
      </c>
    </row>
    <row r="347" spans="27:29">
      <c r="AA347" t="s">
        <v>921</v>
      </c>
      <c r="AB347">
        <v>2025</v>
      </c>
      <c r="AC347" t="s">
        <v>33</v>
      </c>
    </row>
    <row r="348" spans="27:29">
      <c r="AA348" t="s">
        <v>996</v>
      </c>
      <c r="AB348">
        <v>2025</v>
      </c>
      <c r="AC348" t="s">
        <v>33</v>
      </c>
    </row>
    <row r="349" spans="27:29">
      <c r="AA349" t="s">
        <v>2018</v>
      </c>
      <c r="AB349">
        <v>2025</v>
      </c>
      <c r="AC349" t="s">
        <v>33</v>
      </c>
    </row>
    <row r="350" spans="27:29">
      <c r="AA350" t="s">
        <v>2727</v>
      </c>
      <c r="AB350">
        <v>2025</v>
      </c>
      <c r="AC350" t="s">
        <v>33</v>
      </c>
    </row>
    <row r="351" spans="27:29">
      <c r="AA351" t="s">
        <v>2728</v>
      </c>
      <c r="AB351">
        <v>2024</v>
      </c>
      <c r="AC351" t="s">
        <v>33</v>
      </c>
    </row>
    <row r="352" spans="27:29">
      <c r="AA352" t="s">
        <v>276</v>
      </c>
      <c r="AB352">
        <v>2025</v>
      </c>
      <c r="AC352" t="s">
        <v>49</v>
      </c>
    </row>
    <row r="353" spans="27:29">
      <c r="AA353" t="s">
        <v>2749</v>
      </c>
      <c r="AB353">
        <v>2024</v>
      </c>
      <c r="AC353" t="s">
        <v>33</v>
      </c>
    </row>
    <row r="354" spans="27:29">
      <c r="AA354" t="s">
        <v>385</v>
      </c>
      <c r="AB354">
        <v>2024</v>
      </c>
      <c r="AC354" t="s">
        <v>33</v>
      </c>
    </row>
    <row r="355" spans="27:29">
      <c r="AA355" t="s">
        <v>384</v>
      </c>
      <c r="AB355">
        <v>2024</v>
      </c>
      <c r="AC355" t="s">
        <v>33</v>
      </c>
    </row>
    <row r="356" spans="27:29">
      <c r="AA356" t="s">
        <v>422</v>
      </c>
      <c r="AB356">
        <v>2025</v>
      </c>
      <c r="AC356" t="s">
        <v>49</v>
      </c>
    </row>
    <row r="357" spans="27:29">
      <c r="AA357" t="s">
        <v>2763</v>
      </c>
      <c r="AB357">
        <v>2025</v>
      </c>
      <c r="AC357" t="s">
        <v>33</v>
      </c>
    </row>
    <row r="358" spans="27:29">
      <c r="AA358" t="s">
        <v>2774</v>
      </c>
      <c r="AB358">
        <v>2025</v>
      </c>
      <c r="AC358" t="s">
        <v>33</v>
      </c>
    </row>
    <row r="359" spans="27:29">
      <c r="AA359" t="s">
        <v>1551</v>
      </c>
      <c r="AB359">
        <v>2024</v>
      </c>
      <c r="AC359" t="s">
        <v>33</v>
      </c>
    </row>
    <row r="360" spans="27:29">
      <c r="AA360" t="s">
        <v>1559</v>
      </c>
      <c r="AB360">
        <v>2024</v>
      </c>
      <c r="AC360" t="s">
        <v>33</v>
      </c>
    </row>
    <row r="361" spans="27:29">
      <c r="AA361" t="s">
        <v>2792</v>
      </c>
      <c r="AB361">
        <v>2025</v>
      </c>
      <c r="AC361" t="s">
        <v>33</v>
      </c>
    </row>
    <row r="362" spans="27:29">
      <c r="AA362" t="s">
        <v>1916</v>
      </c>
      <c r="AB362">
        <v>2024</v>
      </c>
      <c r="AC362" t="s">
        <v>33</v>
      </c>
    </row>
    <row r="363" spans="27:29">
      <c r="AA363" t="s">
        <v>2629</v>
      </c>
      <c r="AB363">
        <v>2024</v>
      </c>
      <c r="AC363" t="s">
        <v>33</v>
      </c>
    </row>
    <row r="364" spans="27:29">
      <c r="AA364" t="s">
        <v>1369</v>
      </c>
      <c r="AB364">
        <v>2024</v>
      </c>
      <c r="AC364" t="s">
        <v>33</v>
      </c>
    </row>
    <row r="365" spans="27:29">
      <c r="AA365" t="s">
        <v>2608</v>
      </c>
      <c r="AB365">
        <v>2024</v>
      </c>
      <c r="AC365" t="s">
        <v>33</v>
      </c>
    </row>
    <row r="366" spans="27:29">
      <c r="AA366" t="s">
        <v>1344</v>
      </c>
      <c r="AB366">
        <v>2024</v>
      </c>
      <c r="AC366" t="s">
        <v>33</v>
      </c>
    </row>
    <row r="367" spans="27:29">
      <c r="AA367" t="s">
        <v>2815</v>
      </c>
      <c r="AB367">
        <v>2025</v>
      </c>
      <c r="AC367" t="s">
        <v>33</v>
      </c>
    </row>
    <row r="368" spans="27:29">
      <c r="AA368" t="s">
        <v>39</v>
      </c>
      <c r="AB368">
        <v>2024</v>
      </c>
      <c r="AC368" t="s">
        <v>33</v>
      </c>
    </row>
    <row r="369" spans="27:29">
      <c r="AA369" t="s">
        <v>964</v>
      </c>
      <c r="AB369">
        <v>2024</v>
      </c>
      <c r="AC369" t="s">
        <v>33</v>
      </c>
    </row>
    <row r="370" spans="27:29">
      <c r="AA370" t="s">
        <v>2833</v>
      </c>
      <c r="AB370">
        <v>2024</v>
      </c>
      <c r="AC370" t="s">
        <v>33</v>
      </c>
    </row>
    <row r="371" spans="27:29">
      <c r="AA371" t="s">
        <v>384</v>
      </c>
      <c r="AB371">
        <v>2024</v>
      </c>
      <c r="AC371" t="s">
        <v>33</v>
      </c>
    </row>
    <row r="372" spans="27:29">
      <c r="AA372" t="s">
        <v>55</v>
      </c>
      <c r="AB372">
        <v>2024</v>
      </c>
      <c r="AC372" t="s">
        <v>33</v>
      </c>
    </row>
    <row r="373" spans="27:29">
      <c r="AA373" t="s">
        <v>2834</v>
      </c>
      <c r="AB373">
        <v>2024</v>
      </c>
      <c r="AC373" t="s">
        <v>33</v>
      </c>
    </row>
    <row r="374" spans="27:29">
      <c r="AA374" t="s">
        <v>1282</v>
      </c>
      <c r="AB374">
        <v>2025</v>
      </c>
      <c r="AC374" t="s">
        <v>33</v>
      </c>
    </row>
    <row r="375" spans="27:29">
      <c r="AA375" t="s">
        <v>1176</v>
      </c>
      <c r="AB375">
        <v>2024</v>
      </c>
      <c r="AC375" t="s">
        <v>33</v>
      </c>
    </row>
    <row r="376" spans="27:29">
      <c r="AA376" t="s">
        <v>265</v>
      </c>
      <c r="AB376">
        <v>2024</v>
      </c>
      <c r="AC376" t="s">
        <v>33</v>
      </c>
    </row>
    <row r="377" spans="27:29">
      <c r="AA377" t="s">
        <v>228</v>
      </c>
      <c r="AB377">
        <v>2025</v>
      </c>
      <c r="AC377" t="s">
        <v>644</v>
      </c>
    </row>
    <row r="378" spans="27:29">
      <c r="AA378" t="s">
        <v>2864</v>
      </c>
      <c r="AB378">
        <v>2025</v>
      </c>
      <c r="AC378" t="s">
        <v>33</v>
      </c>
    </row>
    <row r="379" spans="27:29">
      <c r="AA379" t="s">
        <v>2877</v>
      </c>
      <c r="AB379">
        <v>2024</v>
      </c>
      <c r="AC379" t="s">
        <v>33</v>
      </c>
    </row>
    <row r="380" spans="27:29">
      <c r="AA380" t="s">
        <v>2889</v>
      </c>
      <c r="AB380">
        <v>2024</v>
      </c>
      <c r="AC380" t="s">
        <v>33</v>
      </c>
    </row>
    <row r="381" spans="27:29">
      <c r="AA381" t="s">
        <v>1619</v>
      </c>
      <c r="AB381">
        <v>2024</v>
      </c>
      <c r="AC381" t="s">
        <v>2112</v>
      </c>
    </row>
    <row r="382" spans="27:29">
      <c r="AA382" t="s">
        <v>22</v>
      </c>
      <c r="AB382">
        <v>2024</v>
      </c>
      <c r="AC382" t="s">
        <v>2904</v>
      </c>
    </row>
    <row r="383" spans="27:29">
      <c r="AA383" t="s">
        <v>974</v>
      </c>
      <c r="AB383">
        <v>2025</v>
      </c>
      <c r="AC383" t="s">
        <v>49</v>
      </c>
    </row>
    <row r="384" spans="27:29">
      <c r="AA384" t="s">
        <v>967</v>
      </c>
      <c r="AB384">
        <v>2025</v>
      </c>
      <c r="AC384" t="s">
        <v>49</v>
      </c>
    </row>
    <row r="385" spans="27:29">
      <c r="AA385" t="s">
        <v>1916</v>
      </c>
      <c r="AB385">
        <v>2025</v>
      </c>
      <c r="AC385" t="s">
        <v>49</v>
      </c>
    </row>
    <row r="386" spans="27:29">
      <c r="AA386" t="s">
        <v>1344</v>
      </c>
      <c r="AB386">
        <v>2025</v>
      </c>
      <c r="AC386" t="s">
        <v>49</v>
      </c>
    </row>
    <row r="387" spans="27:29">
      <c r="AA387" t="s">
        <v>1969</v>
      </c>
      <c r="AB387">
        <v>2025</v>
      </c>
      <c r="AC387" t="s">
        <v>49</v>
      </c>
    </row>
    <row r="388" spans="27:29">
      <c r="AA388" t="s">
        <v>2629</v>
      </c>
      <c r="AB388">
        <v>2025</v>
      </c>
      <c r="AC388" t="s">
        <v>49</v>
      </c>
    </row>
    <row r="389" spans="27:29">
      <c r="AA389" t="s">
        <v>2935</v>
      </c>
      <c r="AB389">
        <v>2024</v>
      </c>
      <c r="AC389" t="s">
        <v>33</v>
      </c>
    </row>
    <row r="390" spans="27:29">
      <c r="AA390" t="s">
        <v>1673</v>
      </c>
      <c r="AB390">
        <v>2024</v>
      </c>
      <c r="AC390" t="s">
        <v>33</v>
      </c>
    </row>
    <row r="391" spans="27:29">
      <c r="AA391" t="s">
        <v>1282</v>
      </c>
      <c r="AB391">
        <v>2024</v>
      </c>
      <c r="AC391" t="s">
        <v>33</v>
      </c>
    </row>
    <row r="392" spans="27:29">
      <c r="AA392" t="s">
        <v>2943</v>
      </c>
      <c r="AB392">
        <v>2025</v>
      </c>
      <c r="AC392" t="s">
        <v>33</v>
      </c>
    </row>
    <row r="393" spans="27:29">
      <c r="AA393" t="s">
        <v>2954</v>
      </c>
      <c r="AB393">
        <v>2025</v>
      </c>
      <c r="AC393" t="s">
        <v>33</v>
      </c>
    </row>
    <row r="394" spans="27:29">
      <c r="AA394" t="s">
        <v>2963</v>
      </c>
      <c r="AB394">
        <v>2024</v>
      </c>
      <c r="AC394" t="s">
        <v>33</v>
      </c>
    </row>
    <row r="395" spans="27:29">
      <c r="AA395" t="s">
        <v>2342</v>
      </c>
      <c r="AB395">
        <v>2024</v>
      </c>
      <c r="AC395" t="s">
        <v>33</v>
      </c>
    </row>
    <row r="396" spans="27:29">
      <c r="AA396" t="s">
        <v>2980</v>
      </c>
      <c r="AB396">
        <v>2024</v>
      </c>
      <c r="AC396" t="s">
        <v>33</v>
      </c>
    </row>
    <row r="397" spans="27:29">
      <c r="AA397" t="s">
        <v>2989</v>
      </c>
      <c r="AB397">
        <v>2024</v>
      </c>
      <c r="AC397" t="s">
        <v>33</v>
      </c>
    </row>
    <row r="398" spans="27:29">
      <c r="AA398" t="s">
        <v>276</v>
      </c>
      <c r="AB398">
        <v>2025</v>
      </c>
      <c r="AC398" t="s">
        <v>49</v>
      </c>
    </row>
    <row r="399" spans="27:29">
      <c r="AA399" t="s">
        <v>2997</v>
      </c>
      <c r="AB399">
        <v>2024</v>
      </c>
      <c r="AC399" t="s">
        <v>33</v>
      </c>
    </row>
    <row r="400" spans="27:29">
      <c r="AA400" t="s">
        <v>1916</v>
      </c>
      <c r="AB400">
        <v>2025</v>
      </c>
      <c r="AC400" t="s">
        <v>644</v>
      </c>
    </row>
    <row r="401" spans="27:29">
      <c r="AA401" t="s">
        <v>1344</v>
      </c>
      <c r="AB401">
        <v>2025</v>
      </c>
      <c r="AC401" t="s">
        <v>644</v>
      </c>
    </row>
    <row r="402" spans="27:29">
      <c r="AA402" t="s">
        <v>3013</v>
      </c>
      <c r="AB402">
        <v>2025</v>
      </c>
      <c r="AC402" t="s">
        <v>644</v>
      </c>
    </row>
    <row r="403" spans="27:29">
      <c r="AA403" t="s">
        <v>3014</v>
      </c>
      <c r="AB403">
        <v>2025</v>
      </c>
      <c r="AC403" t="s">
        <v>33</v>
      </c>
    </row>
    <row r="404" spans="27:29">
      <c r="AA404" t="s">
        <v>3023</v>
      </c>
      <c r="AB404">
        <v>2025</v>
      </c>
      <c r="AC404" t="s">
        <v>33</v>
      </c>
    </row>
    <row r="405" spans="27:29">
      <c r="AA405" t="s">
        <v>228</v>
      </c>
      <c r="AB405">
        <v>2025</v>
      </c>
      <c r="AC405" t="s">
        <v>33</v>
      </c>
    </row>
    <row r="406" spans="27:29">
      <c r="AA406" t="s">
        <v>3032</v>
      </c>
      <c r="AB406">
        <v>2025</v>
      </c>
      <c r="AC406" t="s">
        <v>33</v>
      </c>
    </row>
    <row r="407" spans="27:29">
      <c r="AA407" t="s">
        <v>433</v>
      </c>
      <c r="AB407">
        <v>2025</v>
      </c>
      <c r="AC407" t="s">
        <v>33</v>
      </c>
    </row>
    <row r="408" spans="27:29">
      <c r="AA408" t="s">
        <v>1916</v>
      </c>
      <c r="AB408">
        <v>2025</v>
      </c>
      <c r="AC408" t="s">
        <v>33</v>
      </c>
    </row>
    <row r="409" spans="27:29">
      <c r="AA409" t="s">
        <v>635</v>
      </c>
      <c r="AB409">
        <v>2025</v>
      </c>
      <c r="AC409" t="s">
        <v>33</v>
      </c>
    </row>
    <row r="410" spans="27:29">
      <c r="AA410" t="s">
        <v>1369</v>
      </c>
      <c r="AB410">
        <v>2025</v>
      </c>
      <c r="AC410" t="s">
        <v>33</v>
      </c>
    </row>
    <row r="411" spans="27:29">
      <c r="AA411" t="s">
        <v>276</v>
      </c>
      <c r="AB411">
        <v>2024</v>
      </c>
      <c r="AC411" t="s">
        <v>49</v>
      </c>
    </row>
    <row r="412" spans="27:29">
      <c r="AA412" t="s">
        <v>276</v>
      </c>
      <c r="AB412">
        <v>2024</v>
      </c>
      <c r="AC412" t="s">
        <v>49</v>
      </c>
    </row>
    <row r="413" spans="27:29">
      <c r="AA413" t="s">
        <v>3074</v>
      </c>
      <c r="AB413">
        <v>2025</v>
      </c>
      <c r="AC413" t="s">
        <v>33</v>
      </c>
    </row>
    <row r="414" spans="27:29">
      <c r="AA414" t="s">
        <v>1916</v>
      </c>
      <c r="AB414">
        <v>2025</v>
      </c>
      <c r="AC414" t="s">
        <v>33</v>
      </c>
    </row>
    <row r="415" spans="27:29">
      <c r="AA415" t="s">
        <v>276</v>
      </c>
      <c r="AB415">
        <v>2025</v>
      </c>
      <c r="AC415" t="s">
        <v>49</v>
      </c>
    </row>
    <row r="416" spans="27:29">
      <c r="AA416" t="s">
        <v>3093</v>
      </c>
      <c r="AB416">
        <v>2024</v>
      </c>
      <c r="AC416" t="s">
        <v>33</v>
      </c>
    </row>
    <row r="417" spans="27:29">
      <c r="AA417" t="s">
        <v>3103</v>
      </c>
      <c r="AB417">
        <v>2024</v>
      </c>
      <c r="AC417" t="s">
        <v>33</v>
      </c>
    </row>
    <row r="418" spans="27:29">
      <c r="AA418" t="s">
        <v>164</v>
      </c>
      <c r="AB418">
        <v>2025</v>
      </c>
      <c r="AC418" t="s">
        <v>33</v>
      </c>
    </row>
    <row r="419" spans="27:29">
      <c r="AA419" t="s">
        <v>1619</v>
      </c>
      <c r="AB419">
        <v>2025</v>
      </c>
      <c r="AC419" t="s">
        <v>2112</v>
      </c>
    </row>
    <row r="420" spans="27:29">
      <c r="AA420" t="s">
        <v>1908</v>
      </c>
      <c r="AB420">
        <v>2025</v>
      </c>
      <c r="AC420" t="s">
        <v>33</v>
      </c>
    </row>
    <row r="421" spans="27:29">
      <c r="AA421" t="s">
        <v>1396</v>
      </c>
      <c r="AB421">
        <v>2025</v>
      </c>
      <c r="AC421" t="s">
        <v>33</v>
      </c>
    </row>
    <row r="422" spans="27:29">
      <c r="AA422" t="s">
        <v>2815</v>
      </c>
      <c r="AB422">
        <v>2025</v>
      </c>
      <c r="AC422" t="s">
        <v>33</v>
      </c>
    </row>
    <row r="423" spans="27:29">
      <c r="AA423" t="s">
        <v>3128</v>
      </c>
      <c r="AB423">
        <v>2025</v>
      </c>
      <c r="AC423" t="s">
        <v>33</v>
      </c>
    </row>
    <row r="424" spans="27:29">
      <c r="AA424" t="s">
        <v>3141</v>
      </c>
      <c r="AB424">
        <v>2025</v>
      </c>
      <c r="AC424" t="s">
        <v>33</v>
      </c>
    </row>
    <row r="425" spans="27:29">
      <c r="AA425" t="s">
        <v>3152</v>
      </c>
      <c r="AB425">
        <v>2025</v>
      </c>
      <c r="AC425" t="s">
        <v>49</v>
      </c>
    </row>
    <row r="426" spans="27:29">
      <c r="AA426" t="s">
        <v>1061</v>
      </c>
      <c r="AB426">
        <v>2025</v>
      </c>
      <c r="AC426" t="s">
        <v>49</v>
      </c>
    </row>
    <row r="427" spans="27:29">
      <c r="AA427" t="s">
        <v>622</v>
      </c>
      <c r="AB427">
        <v>2025</v>
      </c>
      <c r="AC427" t="s">
        <v>49</v>
      </c>
    </row>
    <row r="428" spans="27:29">
      <c r="AA428" t="s">
        <v>635</v>
      </c>
      <c r="AB428">
        <v>2025</v>
      </c>
      <c r="AC428" t="s">
        <v>644</v>
      </c>
    </row>
    <row r="429" spans="27:29">
      <c r="AA429" t="s">
        <v>1551</v>
      </c>
      <c r="AB429">
        <v>2024</v>
      </c>
      <c r="AC429" t="s">
        <v>33</v>
      </c>
    </row>
    <row r="430" spans="27:29">
      <c r="AA430" t="s">
        <v>3179</v>
      </c>
      <c r="AB430">
        <v>2024</v>
      </c>
      <c r="AC430" t="s">
        <v>33</v>
      </c>
    </row>
    <row r="431" spans="27:29">
      <c r="AA431" t="s">
        <v>3180</v>
      </c>
      <c r="AB431">
        <v>2024</v>
      </c>
      <c r="AC431" t="s">
        <v>33</v>
      </c>
    </row>
    <row r="432" spans="27:29">
      <c r="AA432" t="s">
        <v>3181</v>
      </c>
      <c r="AB432">
        <v>2024</v>
      </c>
      <c r="AC432" t="s">
        <v>33</v>
      </c>
    </row>
    <row r="433" spans="27:29">
      <c r="AA433" t="s">
        <v>3187</v>
      </c>
      <c r="AB433">
        <v>2024</v>
      </c>
      <c r="AC433" t="s">
        <v>33</v>
      </c>
    </row>
    <row r="434" spans="27:29">
      <c r="AA434" t="s">
        <v>3195</v>
      </c>
      <c r="AB434">
        <v>2024</v>
      </c>
      <c r="AC434" t="s">
        <v>33</v>
      </c>
    </row>
    <row r="435" spans="27:29">
      <c r="AA435" t="s">
        <v>3196</v>
      </c>
      <c r="AB435">
        <v>2025</v>
      </c>
      <c r="AC435" t="s">
        <v>33</v>
      </c>
    </row>
    <row r="436" spans="27:29">
      <c r="AA436" t="s">
        <v>3141</v>
      </c>
      <c r="AB436">
        <v>2025</v>
      </c>
      <c r="AC436" t="s">
        <v>33</v>
      </c>
    </row>
    <row r="437" spans="27:29">
      <c r="AA437" t="s">
        <v>1012</v>
      </c>
      <c r="AB437">
        <v>2025</v>
      </c>
      <c r="AC437" t="s">
        <v>33</v>
      </c>
    </row>
    <row r="438" spans="27:29">
      <c r="AA438" t="s">
        <v>3229</v>
      </c>
      <c r="AB438">
        <v>2025</v>
      </c>
      <c r="AC438" t="s">
        <v>33</v>
      </c>
    </row>
    <row r="439" spans="27:29">
      <c r="AA439" t="s">
        <v>22</v>
      </c>
      <c r="AB439">
        <v>2024</v>
      </c>
      <c r="AC439" t="s">
        <v>33</v>
      </c>
    </row>
    <row r="440" spans="27:29">
      <c r="AA440" t="s">
        <v>3251</v>
      </c>
      <c r="AB440">
        <v>2024</v>
      </c>
      <c r="AC440" t="s">
        <v>3257</v>
      </c>
    </row>
    <row r="441" spans="27:29">
      <c r="AA441" t="s">
        <v>1916</v>
      </c>
      <c r="AB441">
        <v>2025</v>
      </c>
      <c r="AC441" t="s">
        <v>49</v>
      </c>
    </row>
    <row r="442" spans="27:29">
      <c r="AA442" t="s">
        <v>3271</v>
      </c>
      <c r="AB442">
        <v>2025</v>
      </c>
      <c r="AC442" t="s">
        <v>49</v>
      </c>
    </row>
    <row r="443" spans="27:29">
      <c r="AA443" t="s">
        <v>1344</v>
      </c>
      <c r="AB443">
        <v>2025</v>
      </c>
      <c r="AC443" t="s">
        <v>49</v>
      </c>
    </row>
    <row r="444" spans="27:29">
      <c r="AA444" t="s">
        <v>276</v>
      </c>
      <c r="AB444">
        <v>2025</v>
      </c>
      <c r="AC444" t="s">
        <v>33</v>
      </c>
    </row>
    <row r="445" spans="27:29">
      <c r="AA445" t="s">
        <v>3280</v>
      </c>
      <c r="AB445">
        <v>2025</v>
      </c>
      <c r="AC445" t="s">
        <v>33</v>
      </c>
    </row>
    <row r="446" spans="27:29">
      <c r="AA446" t="s">
        <v>1109</v>
      </c>
      <c r="AB446">
        <v>2024</v>
      </c>
      <c r="AC446" t="s">
        <v>33</v>
      </c>
    </row>
    <row r="447" spans="27:29">
      <c r="AA447" t="s">
        <v>1282</v>
      </c>
      <c r="AB447">
        <v>2025</v>
      </c>
      <c r="AC447" t="s">
        <v>33</v>
      </c>
    </row>
    <row r="448" spans="27:29">
      <c r="AA448" t="s">
        <v>2322</v>
      </c>
      <c r="AB448">
        <v>2024</v>
      </c>
      <c r="AC448" t="s">
        <v>33</v>
      </c>
    </row>
    <row r="449" spans="27:29">
      <c r="AA449" t="s">
        <v>790</v>
      </c>
      <c r="AB449">
        <v>2024</v>
      </c>
      <c r="AC449" t="s">
        <v>33</v>
      </c>
    </row>
    <row r="450" spans="27:29">
      <c r="AA450" t="s">
        <v>2608</v>
      </c>
      <c r="AB450">
        <v>2025</v>
      </c>
      <c r="AC450" t="s">
        <v>644</v>
      </c>
    </row>
    <row r="451" spans="27:29">
      <c r="AA451" t="s">
        <v>3032</v>
      </c>
      <c r="AB451">
        <v>2025</v>
      </c>
      <c r="AC451" t="s">
        <v>644</v>
      </c>
    </row>
    <row r="452" spans="27:29">
      <c r="AA452" t="s">
        <v>1344</v>
      </c>
      <c r="AB452">
        <v>2025</v>
      </c>
      <c r="AC452" t="s">
        <v>644</v>
      </c>
    </row>
    <row r="453" spans="27:29">
      <c r="AA453" t="s">
        <v>1916</v>
      </c>
      <c r="AB453">
        <v>2025</v>
      </c>
      <c r="AC453" t="s">
        <v>644</v>
      </c>
    </row>
    <row r="454" spans="27:29">
      <c r="AA454" t="s">
        <v>3329</v>
      </c>
      <c r="AB454">
        <v>2024</v>
      </c>
      <c r="AC454" t="s">
        <v>33</v>
      </c>
    </row>
    <row r="455" spans="27:29">
      <c r="AA455" t="s">
        <v>1355</v>
      </c>
      <c r="AB455">
        <v>2024</v>
      </c>
      <c r="AC455" t="s">
        <v>33</v>
      </c>
    </row>
    <row r="456" spans="27:29">
      <c r="AA456" t="s">
        <v>1619</v>
      </c>
      <c r="AB456">
        <v>2025</v>
      </c>
      <c r="AC456" t="s">
        <v>2112</v>
      </c>
    </row>
    <row r="457" spans="27:29">
      <c r="AA457" t="s">
        <v>3350</v>
      </c>
      <c r="AB457">
        <v>2024</v>
      </c>
      <c r="AC457" t="s">
        <v>49</v>
      </c>
    </row>
    <row r="458" spans="27:29">
      <c r="AA458" t="s">
        <v>3365</v>
      </c>
      <c r="AB458">
        <v>2024</v>
      </c>
      <c r="AC458" t="s">
        <v>49</v>
      </c>
    </row>
    <row r="459" spans="27:29">
      <c r="AA459" t="s">
        <v>1916</v>
      </c>
      <c r="AB459">
        <v>2024</v>
      </c>
      <c r="AC459" t="s">
        <v>33</v>
      </c>
    </row>
    <row r="460" spans="27:29">
      <c r="AA460" t="s">
        <v>2629</v>
      </c>
      <c r="AB460">
        <v>2024</v>
      </c>
      <c r="AC460" t="s">
        <v>33</v>
      </c>
    </row>
    <row r="461" spans="27:29">
      <c r="AA461" t="s">
        <v>1344</v>
      </c>
      <c r="AB461">
        <v>2024</v>
      </c>
      <c r="AC461" t="s">
        <v>33</v>
      </c>
    </row>
    <row r="462" spans="27:29">
      <c r="AA462" t="s">
        <v>433</v>
      </c>
      <c r="AB462">
        <v>2024</v>
      </c>
      <c r="AC462" t="s">
        <v>33</v>
      </c>
    </row>
    <row r="463" spans="27:29">
      <c r="AA463" t="s">
        <v>3141</v>
      </c>
      <c r="AB463">
        <v>2025</v>
      </c>
      <c r="AC463" t="s">
        <v>33</v>
      </c>
    </row>
    <row r="464" spans="27:29">
      <c r="AA464" t="s">
        <v>1024</v>
      </c>
      <c r="AB464">
        <v>2025</v>
      </c>
      <c r="AC464" t="s">
        <v>33</v>
      </c>
    </row>
    <row r="465" spans="27:29">
      <c r="AA465" t="s">
        <v>2100</v>
      </c>
      <c r="AB465">
        <v>2024</v>
      </c>
      <c r="AC465" t="s">
        <v>33</v>
      </c>
    </row>
    <row r="466" spans="27:29">
      <c r="AA466" t="s">
        <v>3386</v>
      </c>
      <c r="AB466">
        <v>2025</v>
      </c>
      <c r="AC466" t="s">
        <v>33</v>
      </c>
    </row>
    <row r="467" spans="27:29">
      <c r="AA467" t="s">
        <v>1024</v>
      </c>
      <c r="AB467">
        <v>2025</v>
      </c>
      <c r="AC467" t="s">
        <v>33</v>
      </c>
    </row>
    <row r="468" spans="27:29">
      <c r="AA468" t="s">
        <v>967</v>
      </c>
      <c r="AB468">
        <v>2025</v>
      </c>
      <c r="AC468" t="s">
        <v>33</v>
      </c>
    </row>
    <row r="469" spans="27:29">
      <c r="AA469" t="s">
        <v>1013</v>
      </c>
      <c r="AB469">
        <v>2025</v>
      </c>
      <c r="AC469" t="s">
        <v>33</v>
      </c>
    </row>
    <row r="470" spans="27:29">
      <c r="AA470" t="s">
        <v>3141</v>
      </c>
      <c r="AB470">
        <v>2025</v>
      </c>
      <c r="AC470" t="s">
        <v>33</v>
      </c>
    </row>
    <row r="471" spans="27:29">
      <c r="AA471" t="s">
        <v>39</v>
      </c>
      <c r="AB471">
        <v>2024</v>
      </c>
      <c r="AC471" t="s">
        <v>2904</v>
      </c>
    </row>
    <row r="472" spans="27:29">
      <c r="AA472" t="s">
        <v>3410</v>
      </c>
      <c r="AB472">
        <v>2025</v>
      </c>
      <c r="AC472" t="s">
        <v>33</v>
      </c>
    </row>
    <row r="473" spans="27:29">
      <c r="AA473" t="s">
        <v>3420</v>
      </c>
      <c r="AB473">
        <v>2025</v>
      </c>
      <c r="AC473" t="s">
        <v>33</v>
      </c>
    </row>
    <row r="474" spans="27:29">
      <c r="AA474" t="s">
        <v>3421</v>
      </c>
      <c r="AB474">
        <v>2024</v>
      </c>
      <c r="AC474" t="s">
        <v>1125</v>
      </c>
    </row>
    <row r="475" spans="27:29">
      <c r="AA475" t="s">
        <v>3433</v>
      </c>
      <c r="AB475">
        <v>2024</v>
      </c>
      <c r="AC475" t="s">
        <v>1125</v>
      </c>
    </row>
    <row r="476" spans="27:29">
      <c r="AA476" t="s">
        <v>3434</v>
      </c>
      <c r="AB476">
        <v>2025</v>
      </c>
      <c r="AC476" t="s">
        <v>33</v>
      </c>
    </row>
    <row r="477" spans="27:29">
      <c r="AA477" t="s">
        <v>3441</v>
      </c>
      <c r="AB477">
        <v>2025</v>
      </c>
      <c r="AC477" t="s">
        <v>33</v>
      </c>
    </row>
    <row r="478" spans="27:29">
      <c r="AA478" t="s">
        <v>635</v>
      </c>
      <c r="AB478">
        <v>2024</v>
      </c>
      <c r="AC478" t="s">
        <v>644</v>
      </c>
    </row>
    <row r="479" spans="27:29">
      <c r="AA479" t="s">
        <v>3141</v>
      </c>
      <c r="AB479">
        <v>2024</v>
      </c>
      <c r="AC479" t="s">
        <v>33</v>
      </c>
    </row>
    <row r="480" spans="27:29">
      <c r="AA480" t="s">
        <v>3152</v>
      </c>
      <c r="AB480">
        <v>2025</v>
      </c>
      <c r="AC480" t="s">
        <v>208</v>
      </c>
    </row>
    <row r="481" spans="27:29">
      <c r="AA481" t="s">
        <v>3470</v>
      </c>
      <c r="AB481">
        <v>2024</v>
      </c>
      <c r="AC481" t="s">
        <v>33</v>
      </c>
    </row>
    <row r="482" spans="27:29">
      <c r="AA482" t="s">
        <v>3482</v>
      </c>
      <c r="AB482">
        <v>2024</v>
      </c>
      <c r="AC482" t="s">
        <v>33</v>
      </c>
    </row>
    <row r="483" spans="27:29">
      <c r="AA483" t="s">
        <v>967</v>
      </c>
      <c r="AB483">
        <v>2025</v>
      </c>
      <c r="AC483" t="s">
        <v>33</v>
      </c>
    </row>
    <row r="484" spans="27:29">
      <c r="AA484" t="s">
        <v>254</v>
      </c>
      <c r="AB484">
        <v>2025</v>
      </c>
      <c r="AC484" t="s">
        <v>49</v>
      </c>
    </row>
    <row r="485" spans="27:29">
      <c r="AA485" t="s">
        <v>1916</v>
      </c>
      <c r="AB485">
        <v>2024</v>
      </c>
      <c r="AC485" t="s">
        <v>644</v>
      </c>
    </row>
    <row r="486" spans="27:29">
      <c r="AA486" t="s">
        <v>1344</v>
      </c>
      <c r="AB486">
        <v>2024</v>
      </c>
      <c r="AC486" t="s">
        <v>644</v>
      </c>
    </row>
    <row r="487" spans="27:29">
      <c r="AA487" t="s">
        <v>2629</v>
      </c>
      <c r="AB487">
        <v>2024</v>
      </c>
      <c r="AC487" t="s">
        <v>644</v>
      </c>
    </row>
    <row r="488" spans="27:29">
      <c r="AA488" t="s">
        <v>3503</v>
      </c>
      <c r="AB488">
        <v>2024</v>
      </c>
      <c r="AC488" t="s">
        <v>33</v>
      </c>
    </row>
    <row r="489" spans="27:29">
      <c r="AA489" t="s">
        <v>3515</v>
      </c>
      <c r="AB489">
        <v>2025</v>
      </c>
      <c r="AC489" t="s">
        <v>33</v>
      </c>
    </row>
    <row r="490" spans="27:29">
      <c r="AA490" t="s">
        <v>3525</v>
      </c>
      <c r="AB490">
        <v>2024</v>
      </c>
      <c r="AC490" t="s">
        <v>33</v>
      </c>
    </row>
    <row r="491" spans="27:29">
      <c r="AA491" t="s">
        <v>1527</v>
      </c>
      <c r="AB491">
        <v>2025</v>
      </c>
      <c r="AC491" t="s">
        <v>33</v>
      </c>
    </row>
    <row r="492" spans="27:29">
      <c r="AA492" t="s">
        <v>3544</v>
      </c>
      <c r="AB492">
        <v>2025</v>
      </c>
      <c r="AC492" t="s">
        <v>33</v>
      </c>
    </row>
    <row r="493" spans="27:29">
      <c r="AA493" t="s">
        <v>3545</v>
      </c>
      <c r="AB493">
        <v>2025</v>
      </c>
      <c r="AC493" t="s">
        <v>33</v>
      </c>
    </row>
    <row r="494" spans="27:29">
      <c r="AA494" t="s">
        <v>1619</v>
      </c>
      <c r="AB494">
        <v>2025</v>
      </c>
      <c r="AC494" t="s">
        <v>33</v>
      </c>
    </row>
    <row r="495" spans="27:29">
      <c r="AA495" t="s">
        <v>128</v>
      </c>
      <c r="AB495">
        <v>2025</v>
      </c>
      <c r="AC495" t="s">
        <v>33</v>
      </c>
    </row>
    <row r="496" spans="27:29">
      <c r="AA496" t="s">
        <v>3553</v>
      </c>
      <c r="AB496">
        <v>2025</v>
      </c>
      <c r="AC496" t="s">
        <v>33</v>
      </c>
    </row>
    <row r="497" spans="27:29">
      <c r="AA497" t="s">
        <v>2100</v>
      </c>
      <c r="AB497">
        <v>2025</v>
      </c>
      <c r="AC497" t="s">
        <v>33</v>
      </c>
    </row>
    <row r="498" spans="27:29">
      <c r="AA498" t="s">
        <v>2046</v>
      </c>
      <c r="AB498">
        <v>2024</v>
      </c>
      <c r="AC498" t="s">
        <v>49</v>
      </c>
    </row>
    <row r="499" spans="27:29">
      <c r="AA499" t="s">
        <v>3562</v>
      </c>
      <c r="AB499">
        <v>2025</v>
      </c>
      <c r="AC499" t="s">
        <v>49</v>
      </c>
    </row>
    <row r="500" spans="27:29">
      <c r="AA500" t="s">
        <v>3141</v>
      </c>
      <c r="AB500">
        <v>2025</v>
      </c>
      <c r="AC500" t="s">
        <v>33</v>
      </c>
    </row>
    <row r="501" spans="27:29">
      <c r="AA501" t="s">
        <v>3582</v>
      </c>
      <c r="AB501">
        <v>2024</v>
      </c>
      <c r="AC501" t="s">
        <v>33</v>
      </c>
    </row>
    <row r="502" spans="27:29">
      <c r="AA502" t="s">
        <v>1916</v>
      </c>
      <c r="AB502">
        <v>2024</v>
      </c>
      <c r="AC502" t="s">
        <v>33</v>
      </c>
    </row>
    <row r="503" spans="27:29">
      <c r="AA503" t="s">
        <v>3588</v>
      </c>
      <c r="AB503">
        <v>2024</v>
      </c>
      <c r="AC503" t="s">
        <v>33</v>
      </c>
    </row>
    <row r="504" spans="27:29">
      <c r="AA504" t="s">
        <v>3589</v>
      </c>
      <c r="AB504">
        <v>2024</v>
      </c>
      <c r="AC504" t="s">
        <v>33</v>
      </c>
    </row>
    <row r="505" spans="27:29">
      <c r="AA505" t="s">
        <v>2608</v>
      </c>
      <c r="AB505">
        <v>2024</v>
      </c>
      <c r="AC505" t="s">
        <v>33</v>
      </c>
    </row>
    <row r="506" spans="27:29">
      <c r="AA506" t="s">
        <v>1344</v>
      </c>
      <c r="AB506">
        <v>2024</v>
      </c>
      <c r="AC506" t="s">
        <v>33</v>
      </c>
    </row>
    <row r="507" spans="27:29">
      <c r="AA507" t="s">
        <v>3590</v>
      </c>
      <c r="AB507">
        <v>2025</v>
      </c>
      <c r="AC507" t="s">
        <v>33</v>
      </c>
    </row>
    <row r="508" spans="27:29">
      <c r="AA508" t="s">
        <v>2563</v>
      </c>
      <c r="AB508">
        <v>2025</v>
      </c>
      <c r="AC508" t="s">
        <v>33</v>
      </c>
    </row>
    <row r="509" spans="27:29">
      <c r="AA509" t="s">
        <v>2100</v>
      </c>
      <c r="AB509">
        <v>2025</v>
      </c>
      <c r="AC509" t="s">
        <v>33</v>
      </c>
    </row>
    <row r="510" spans="27:29">
      <c r="AA510" t="s">
        <v>3606</v>
      </c>
      <c r="AB510">
        <v>2024</v>
      </c>
      <c r="AC510" t="s">
        <v>33</v>
      </c>
    </row>
    <row r="511" spans="27:29">
      <c r="AA511" t="s">
        <v>22</v>
      </c>
      <c r="AB511">
        <v>2025</v>
      </c>
      <c r="AC511" t="s">
        <v>33</v>
      </c>
    </row>
    <row r="512" spans="27:29">
      <c r="AA512" t="s">
        <v>97</v>
      </c>
      <c r="AB512">
        <v>2024</v>
      </c>
      <c r="AC512" t="s">
        <v>33</v>
      </c>
    </row>
    <row r="513" spans="27:29">
      <c r="AA513" t="s">
        <v>3637</v>
      </c>
      <c r="AB513">
        <v>2024</v>
      </c>
      <c r="AC513" t="s">
        <v>33</v>
      </c>
    </row>
    <row r="514" spans="27:29">
      <c r="AA514" t="s">
        <v>3647</v>
      </c>
      <c r="AB514">
        <v>2025</v>
      </c>
      <c r="AC514" t="s">
        <v>49</v>
      </c>
    </row>
    <row r="515" spans="27:29">
      <c r="AA515" t="s">
        <v>164</v>
      </c>
      <c r="AB515">
        <v>2025</v>
      </c>
      <c r="AC515" t="s">
        <v>49</v>
      </c>
    </row>
    <row r="516" spans="27:29">
      <c r="AA516" t="s">
        <v>2763</v>
      </c>
      <c r="AB516">
        <v>2025</v>
      </c>
      <c r="AC516" t="s">
        <v>33</v>
      </c>
    </row>
    <row r="517" spans="27:29">
      <c r="AA517" t="s">
        <v>3668</v>
      </c>
      <c r="AB517">
        <v>2024</v>
      </c>
      <c r="AC517" t="s">
        <v>3676</v>
      </c>
    </row>
    <row r="518" spans="27:29">
      <c r="AA518" t="s">
        <v>3141</v>
      </c>
      <c r="AB518">
        <v>2024</v>
      </c>
      <c r="AC518" t="s">
        <v>644</v>
      </c>
    </row>
    <row r="519" spans="27:29">
      <c r="AA519" t="s">
        <v>1024</v>
      </c>
      <c r="AB519">
        <v>2024</v>
      </c>
      <c r="AC519" t="s">
        <v>644</v>
      </c>
    </row>
    <row r="520" spans="27:29">
      <c r="AA520" t="s">
        <v>3688</v>
      </c>
      <c r="AB520">
        <v>2024</v>
      </c>
      <c r="AC520" t="s">
        <v>644</v>
      </c>
    </row>
    <row r="521" spans="27:29">
      <c r="AA521" t="s">
        <v>3689</v>
      </c>
      <c r="AB521">
        <v>2025</v>
      </c>
      <c r="AC521" t="s">
        <v>33</v>
      </c>
    </row>
    <row r="522" spans="27:29">
      <c r="AA522" t="s">
        <v>3700</v>
      </c>
      <c r="AB522">
        <v>2024</v>
      </c>
      <c r="AC522" t="s">
        <v>2112</v>
      </c>
    </row>
    <row r="523" spans="27:29">
      <c r="AA523" t="s">
        <v>1983</v>
      </c>
      <c r="AB523">
        <v>2025</v>
      </c>
      <c r="AC523" t="s">
        <v>33</v>
      </c>
    </row>
    <row r="524" spans="27:29">
      <c r="AA524" t="s">
        <v>2672</v>
      </c>
      <c r="AB524">
        <v>2025</v>
      </c>
      <c r="AC524" t="s">
        <v>33</v>
      </c>
    </row>
    <row r="525" spans="27:29">
      <c r="AA525" t="s">
        <v>200</v>
      </c>
      <c r="AB525">
        <v>2024</v>
      </c>
      <c r="AC525" t="s">
        <v>33</v>
      </c>
    </row>
    <row r="526" spans="27:29">
      <c r="AA526" t="s">
        <v>1109</v>
      </c>
      <c r="AB526">
        <v>2025</v>
      </c>
      <c r="AC526" t="s">
        <v>33</v>
      </c>
    </row>
    <row r="527" spans="27:29">
      <c r="AA527" t="s">
        <v>967</v>
      </c>
      <c r="AB527">
        <v>2025</v>
      </c>
      <c r="AC527" t="s">
        <v>33</v>
      </c>
    </row>
    <row r="528" spans="27:29">
      <c r="AA528" t="s">
        <v>22</v>
      </c>
      <c r="AB528">
        <v>2025</v>
      </c>
      <c r="AC528" t="s">
        <v>33</v>
      </c>
    </row>
    <row r="529" spans="27:29">
      <c r="AA529" t="s">
        <v>1916</v>
      </c>
      <c r="AB529">
        <v>2024</v>
      </c>
      <c r="AC529" t="s">
        <v>33</v>
      </c>
    </row>
    <row r="530" spans="27:29">
      <c r="AA530" t="s">
        <v>1012</v>
      </c>
      <c r="AB530">
        <v>2025</v>
      </c>
      <c r="AC530" t="s">
        <v>33</v>
      </c>
    </row>
    <row r="531" spans="27:29">
      <c r="AA531" t="s">
        <v>128</v>
      </c>
      <c r="AB531">
        <v>2024</v>
      </c>
      <c r="AC531" t="s">
        <v>1125</v>
      </c>
    </row>
    <row r="532" spans="27:29">
      <c r="AA532" t="s">
        <v>22</v>
      </c>
      <c r="AB532">
        <v>2025</v>
      </c>
      <c r="AC532" t="s">
        <v>33</v>
      </c>
    </row>
    <row r="533" spans="27:29">
      <c r="AA533" t="s">
        <v>22</v>
      </c>
      <c r="AB533">
        <v>2025</v>
      </c>
      <c r="AC533" t="s">
        <v>33</v>
      </c>
    </row>
    <row r="534" spans="27:29">
      <c r="AA534" t="s">
        <v>3803</v>
      </c>
      <c r="AB534">
        <v>2024</v>
      </c>
      <c r="AC534" t="s">
        <v>49</v>
      </c>
    </row>
    <row r="535" spans="27:29">
      <c r="AA535" t="s">
        <v>1013</v>
      </c>
      <c r="AB535">
        <v>2024</v>
      </c>
      <c r="AC535" t="s">
        <v>33</v>
      </c>
    </row>
    <row r="536" spans="27:29">
      <c r="AA536" t="s">
        <v>1024</v>
      </c>
      <c r="AB536">
        <v>2024</v>
      </c>
      <c r="AC536" t="s">
        <v>33</v>
      </c>
    </row>
    <row r="537" spans="27:29">
      <c r="AA537" t="s">
        <v>3826</v>
      </c>
      <c r="AB537">
        <v>2024</v>
      </c>
      <c r="AC537" t="s">
        <v>33</v>
      </c>
    </row>
    <row r="538" spans="27:29">
      <c r="AA538" t="s">
        <v>2815</v>
      </c>
      <c r="AB538">
        <v>2024</v>
      </c>
      <c r="AC538" t="s">
        <v>3843</v>
      </c>
    </row>
    <row r="539" spans="27:29">
      <c r="AA539" t="s">
        <v>3849</v>
      </c>
      <c r="AB539">
        <v>2024</v>
      </c>
      <c r="AC539" t="s">
        <v>49</v>
      </c>
    </row>
    <row r="540" spans="27:29">
      <c r="AA540" t="s">
        <v>3861</v>
      </c>
      <c r="AB540">
        <v>2024</v>
      </c>
      <c r="AC540" t="s">
        <v>49</v>
      </c>
    </row>
    <row r="541" spans="27:29">
      <c r="AA541" t="s">
        <v>433</v>
      </c>
      <c r="AB541">
        <v>2024</v>
      </c>
      <c r="AC541" t="s">
        <v>33</v>
      </c>
    </row>
    <row r="542" spans="27:29">
      <c r="AA542" t="s">
        <v>3880</v>
      </c>
      <c r="AB542">
        <v>2024</v>
      </c>
      <c r="AC542" t="s">
        <v>33</v>
      </c>
    </row>
    <row r="543" spans="27:29">
      <c r="AA543" t="s">
        <v>3892</v>
      </c>
      <c r="AB543">
        <v>2025</v>
      </c>
      <c r="AC543" t="s">
        <v>33</v>
      </c>
    </row>
    <row r="544" spans="27:29">
      <c r="AA544" t="s">
        <v>3900</v>
      </c>
      <c r="AB544">
        <v>2025</v>
      </c>
      <c r="AC544" t="s">
        <v>33</v>
      </c>
    </row>
    <row r="545" spans="27:29">
      <c r="AA545" t="s">
        <v>3901</v>
      </c>
      <c r="AB545">
        <v>2025</v>
      </c>
      <c r="AC545" t="s">
        <v>33</v>
      </c>
    </row>
    <row r="546" spans="27:29">
      <c r="AA546" t="s">
        <v>3902</v>
      </c>
      <c r="AB546">
        <v>2025</v>
      </c>
      <c r="AC546" t="s">
        <v>33</v>
      </c>
    </row>
    <row r="547" spans="27:29">
      <c r="AA547" t="s">
        <v>3903</v>
      </c>
      <c r="AB547">
        <v>2025</v>
      </c>
      <c r="AC547" t="s">
        <v>33</v>
      </c>
    </row>
    <row r="548" spans="27:29">
      <c r="AA548" t="s">
        <v>3904</v>
      </c>
      <c r="AB548">
        <v>2024</v>
      </c>
      <c r="AC548" t="s">
        <v>49</v>
      </c>
    </row>
    <row r="549" spans="27:29">
      <c r="AA549" t="s">
        <v>3910</v>
      </c>
      <c r="AB549">
        <v>2024</v>
      </c>
      <c r="AC549" t="s">
        <v>49</v>
      </c>
    </row>
    <row r="550" spans="27:29">
      <c r="AA550" t="s">
        <v>1344</v>
      </c>
      <c r="AB550">
        <v>2024</v>
      </c>
      <c r="AC550" t="s">
        <v>49</v>
      </c>
    </row>
    <row r="551" spans="27:29">
      <c r="AA551" t="s">
        <v>3911</v>
      </c>
      <c r="AB551">
        <v>2025</v>
      </c>
      <c r="AC551" t="s">
        <v>33</v>
      </c>
    </row>
    <row r="552" spans="27:29">
      <c r="AA552" t="s">
        <v>3919</v>
      </c>
      <c r="AB552">
        <v>2025</v>
      </c>
      <c r="AC552" t="s">
        <v>33</v>
      </c>
    </row>
    <row r="553" spans="27:29">
      <c r="AA553" t="s">
        <v>385</v>
      </c>
      <c r="AB553">
        <v>2025</v>
      </c>
      <c r="AC553" t="s">
        <v>3676</v>
      </c>
    </row>
    <row r="554" spans="27:29">
      <c r="AA554" t="s">
        <v>3938</v>
      </c>
      <c r="AB554">
        <v>2025</v>
      </c>
      <c r="AC554" t="s">
        <v>33</v>
      </c>
    </row>
    <row r="555" spans="27:29">
      <c r="AA555" t="s">
        <v>3944</v>
      </c>
      <c r="AB555">
        <v>2025</v>
      </c>
      <c r="AC555" t="s">
        <v>33</v>
      </c>
    </row>
    <row r="556" spans="27:29">
      <c r="AA556" t="s">
        <v>1344</v>
      </c>
      <c r="AB556">
        <v>2025</v>
      </c>
      <c r="AC556" t="s">
        <v>33</v>
      </c>
    </row>
    <row r="557" spans="27:29">
      <c r="AA557" t="s">
        <v>433</v>
      </c>
      <c r="AB557">
        <v>2025</v>
      </c>
      <c r="AC557" t="s">
        <v>33</v>
      </c>
    </row>
    <row r="558" spans="27:29">
      <c r="AA558" t="s">
        <v>1916</v>
      </c>
      <c r="AB558">
        <v>2025</v>
      </c>
      <c r="AC558" t="s">
        <v>33</v>
      </c>
    </row>
    <row r="559" spans="27:29">
      <c r="AA559" t="s">
        <v>3910</v>
      </c>
      <c r="AB559">
        <v>2025</v>
      </c>
      <c r="AC559" t="s">
        <v>33</v>
      </c>
    </row>
    <row r="560" spans="27:29">
      <c r="AA560" t="s">
        <v>1369</v>
      </c>
      <c r="AB560">
        <v>2025</v>
      </c>
      <c r="AC560" t="s">
        <v>33</v>
      </c>
    </row>
    <row r="561" spans="27:29">
      <c r="AA561" t="s">
        <v>3959</v>
      </c>
      <c r="AB561">
        <v>2025</v>
      </c>
      <c r="AC561" t="s">
        <v>33</v>
      </c>
    </row>
    <row r="562" spans="27:29">
      <c r="AA562" t="s">
        <v>3969</v>
      </c>
      <c r="AB562">
        <v>2025</v>
      </c>
      <c r="AC562" t="s">
        <v>33</v>
      </c>
    </row>
    <row r="563" spans="27:29">
      <c r="AA563" t="s">
        <v>3970</v>
      </c>
      <c r="AB563">
        <v>2025</v>
      </c>
      <c r="AC563" t="s">
        <v>33</v>
      </c>
    </row>
    <row r="564" spans="27:29">
      <c r="AA564" t="s">
        <v>1723</v>
      </c>
      <c r="AB564">
        <v>2025</v>
      </c>
      <c r="AC564" t="s">
        <v>33</v>
      </c>
    </row>
    <row r="565" spans="27:29">
      <c r="AA565" t="s">
        <v>113</v>
      </c>
      <c r="AB565">
        <v>2024</v>
      </c>
      <c r="AC565" t="s">
        <v>33</v>
      </c>
    </row>
    <row r="566" spans="27:29">
      <c r="AA566" t="s">
        <v>1282</v>
      </c>
      <c r="AB566">
        <v>2025</v>
      </c>
      <c r="AC566" t="s">
        <v>3676</v>
      </c>
    </row>
    <row r="567" spans="27:29">
      <c r="AA567" t="s">
        <v>1673</v>
      </c>
      <c r="AB567">
        <v>2025</v>
      </c>
      <c r="AC567" t="s">
        <v>3676</v>
      </c>
    </row>
    <row r="568" spans="27:29">
      <c r="AA568" t="s">
        <v>4017</v>
      </c>
      <c r="AB568">
        <v>2025</v>
      </c>
      <c r="AC568" t="s">
        <v>49</v>
      </c>
    </row>
    <row r="569" spans="27:29">
      <c r="AA569" t="s">
        <v>635</v>
      </c>
      <c r="AB569">
        <v>2025</v>
      </c>
      <c r="AC569" t="s">
        <v>644</v>
      </c>
    </row>
    <row r="570" spans="27:29">
      <c r="AA570" t="s">
        <v>4028</v>
      </c>
      <c r="AB570">
        <v>2025</v>
      </c>
      <c r="AC570" t="s">
        <v>33</v>
      </c>
    </row>
    <row r="571" spans="27:29">
      <c r="AA571" t="s">
        <v>4039</v>
      </c>
      <c r="AB571">
        <v>2025</v>
      </c>
      <c r="AC571" t="s">
        <v>33</v>
      </c>
    </row>
    <row r="572" spans="27:29">
      <c r="AA572" t="s">
        <v>82</v>
      </c>
      <c r="AB572">
        <v>2024</v>
      </c>
      <c r="AC572" t="s">
        <v>33</v>
      </c>
    </row>
    <row r="573" spans="27:29">
      <c r="AA573" t="s">
        <v>4064</v>
      </c>
      <c r="AB573">
        <v>2024</v>
      </c>
      <c r="AC573" t="s">
        <v>33</v>
      </c>
    </row>
    <row r="574" spans="27:29">
      <c r="AA574" t="s">
        <v>3434</v>
      </c>
      <c r="AB574">
        <v>2024</v>
      </c>
      <c r="AC574" t="s">
        <v>33</v>
      </c>
    </row>
    <row r="575" spans="27:29">
      <c r="AA575" t="s">
        <v>214</v>
      </c>
      <c r="AB575">
        <v>2024</v>
      </c>
      <c r="AC575" t="s">
        <v>3843</v>
      </c>
    </row>
    <row r="576" spans="27:29">
      <c r="AA576" t="s">
        <v>996</v>
      </c>
      <c r="AB576">
        <v>2024</v>
      </c>
      <c r="AC576" t="s">
        <v>3843</v>
      </c>
    </row>
    <row r="577" spans="27:29">
      <c r="AA577" t="s">
        <v>4084</v>
      </c>
      <c r="AB577">
        <v>2025</v>
      </c>
      <c r="AC577" t="s">
        <v>2112</v>
      </c>
    </row>
    <row r="578" spans="27:29">
      <c r="AA578" t="s">
        <v>3589</v>
      </c>
      <c r="AB578">
        <v>2025</v>
      </c>
      <c r="AC578" t="s">
        <v>33</v>
      </c>
    </row>
    <row r="579" spans="27:29">
      <c r="AA579" t="s">
        <v>3588</v>
      </c>
      <c r="AB579">
        <v>2025</v>
      </c>
      <c r="AC579" t="s">
        <v>33</v>
      </c>
    </row>
    <row r="580" spans="27:29">
      <c r="AA580" t="s">
        <v>2629</v>
      </c>
      <c r="AB580">
        <v>2025</v>
      </c>
      <c r="AC580" t="s">
        <v>33</v>
      </c>
    </row>
    <row r="581" spans="27:29">
      <c r="AA581" t="s">
        <v>4100</v>
      </c>
      <c r="AB581">
        <v>2024</v>
      </c>
      <c r="AC581" t="s">
        <v>33</v>
      </c>
    </row>
    <row r="582" spans="27:29">
      <c r="AA582" t="s">
        <v>4110</v>
      </c>
      <c r="AB582">
        <v>2024</v>
      </c>
      <c r="AC582" t="s">
        <v>33</v>
      </c>
    </row>
    <row r="583" spans="27:29">
      <c r="AA583" t="s">
        <v>2935</v>
      </c>
      <c r="AB583">
        <v>2025</v>
      </c>
      <c r="AC583" t="s">
        <v>644</v>
      </c>
    </row>
    <row r="584" spans="27:29">
      <c r="AA584" t="s">
        <v>1673</v>
      </c>
      <c r="AB584">
        <v>2025</v>
      </c>
      <c r="AC584" t="s">
        <v>644</v>
      </c>
    </row>
    <row r="585" spans="27:29">
      <c r="AA585" t="s">
        <v>1282</v>
      </c>
      <c r="AB585">
        <v>2025</v>
      </c>
      <c r="AC585" t="s">
        <v>644</v>
      </c>
    </row>
    <row r="586" spans="27:29">
      <c r="AA586" t="s">
        <v>1969</v>
      </c>
      <c r="AB586">
        <v>2025</v>
      </c>
      <c r="AC586" t="s">
        <v>644</v>
      </c>
    </row>
    <row r="587" spans="27:29">
      <c r="AA587" t="s">
        <v>3013</v>
      </c>
      <c r="AB587">
        <v>2025</v>
      </c>
      <c r="AC587" t="s">
        <v>644</v>
      </c>
    </row>
    <row r="588" spans="27:29">
      <c r="AA588" t="s">
        <v>1344</v>
      </c>
      <c r="AB588">
        <v>2025</v>
      </c>
      <c r="AC588" t="s">
        <v>644</v>
      </c>
    </row>
    <row r="589" spans="27:29">
      <c r="AA589" t="s">
        <v>1916</v>
      </c>
      <c r="AB589">
        <v>2025</v>
      </c>
      <c r="AC589" t="s">
        <v>644</v>
      </c>
    </row>
    <row r="590" spans="27:29">
      <c r="AA590" t="s">
        <v>276</v>
      </c>
      <c r="AB590">
        <v>2025</v>
      </c>
      <c r="AC590" t="s">
        <v>2904</v>
      </c>
    </row>
    <row r="591" spans="27:29">
      <c r="AA591" t="s">
        <v>4146</v>
      </c>
      <c r="AB591">
        <v>2024</v>
      </c>
      <c r="AC591" t="s">
        <v>33</v>
      </c>
    </row>
    <row r="592" spans="27:29">
      <c r="AA592" t="s">
        <v>386</v>
      </c>
      <c r="AB592">
        <v>2024</v>
      </c>
      <c r="AC592" t="s">
        <v>33</v>
      </c>
    </row>
    <row r="593" spans="27:29">
      <c r="AA593" t="s">
        <v>4171</v>
      </c>
      <c r="AB593">
        <v>2025</v>
      </c>
      <c r="AC593" t="s">
        <v>33</v>
      </c>
    </row>
    <row r="594" spans="27:29">
      <c r="AA594" t="s">
        <v>39</v>
      </c>
      <c r="AB594">
        <v>2025</v>
      </c>
      <c r="AC594" t="s">
        <v>2904</v>
      </c>
    </row>
    <row r="595" spans="27:29">
      <c r="AA595" t="s">
        <v>4190</v>
      </c>
      <c r="AB595">
        <v>2025</v>
      </c>
      <c r="AC595" t="s">
        <v>33</v>
      </c>
    </row>
    <row r="596" spans="27:29">
      <c r="AA596" t="s">
        <v>1355</v>
      </c>
      <c r="AB596">
        <v>2024</v>
      </c>
      <c r="AC596" t="s">
        <v>33</v>
      </c>
    </row>
    <row r="597" spans="27:29">
      <c r="AA597" t="s">
        <v>3689</v>
      </c>
      <c r="AB597">
        <v>2024</v>
      </c>
      <c r="AC597" t="s">
        <v>33</v>
      </c>
    </row>
    <row r="598" spans="27:29">
      <c r="AA598" t="s">
        <v>2572</v>
      </c>
      <c r="AB598">
        <v>2024</v>
      </c>
      <c r="AC598" t="s">
        <v>33</v>
      </c>
    </row>
    <row r="599" spans="27:29">
      <c r="AA599" t="s">
        <v>3689</v>
      </c>
      <c r="AB599">
        <v>2024</v>
      </c>
      <c r="AC599" t="s">
        <v>33</v>
      </c>
    </row>
    <row r="600" spans="27:29">
      <c r="AA600" t="s">
        <v>4227</v>
      </c>
      <c r="AB600">
        <v>2024</v>
      </c>
      <c r="AC600" t="s">
        <v>33</v>
      </c>
    </row>
    <row r="601" spans="27:29">
      <c r="AA601" t="s">
        <v>4228</v>
      </c>
      <c r="AB601">
        <v>2024</v>
      </c>
      <c r="AC601" t="s">
        <v>33</v>
      </c>
    </row>
    <row r="602" spans="27:29">
      <c r="AA602" t="s">
        <v>4229</v>
      </c>
      <c r="AB602">
        <v>2024</v>
      </c>
      <c r="AC602" t="s">
        <v>33</v>
      </c>
    </row>
    <row r="603" spans="27:29">
      <c r="AA603" t="s">
        <v>1051</v>
      </c>
      <c r="AB603">
        <v>2024</v>
      </c>
      <c r="AC603" t="s">
        <v>33</v>
      </c>
    </row>
    <row r="604" spans="27:29">
      <c r="AA604" t="s">
        <v>4240</v>
      </c>
      <c r="AB604">
        <v>2024</v>
      </c>
      <c r="AC604" t="s">
        <v>33</v>
      </c>
    </row>
    <row r="605" spans="27:29">
      <c r="AA605" t="s">
        <v>4250</v>
      </c>
      <c r="AB605">
        <v>2025</v>
      </c>
      <c r="AC605" t="s">
        <v>33</v>
      </c>
    </row>
    <row r="606" spans="27:29">
      <c r="AA606" t="s">
        <v>22</v>
      </c>
      <c r="AB606">
        <v>2025</v>
      </c>
      <c r="AC606" t="s">
        <v>1125</v>
      </c>
    </row>
    <row r="607" spans="27:29">
      <c r="AA607" t="s">
        <v>200</v>
      </c>
      <c r="AB607">
        <v>2025</v>
      </c>
      <c r="AC607" t="s">
        <v>33</v>
      </c>
    </row>
    <row r="608" spans="27:29">
      <c r="AA608" t="s">
        <v>4283</v>
      </c>
      <c r="AB608">
        <v>2025</v>
      </c>
      <c r="AC608" t="s">
        <v>33</v>
      </c>
    </row>
    <row r="609" spans="27:29">
      <c r="AA609" t="s">
        <v>3074</v>
      </c>
      <c r="AB609">
        <v>2025</v>
      </c>
      <c r="AC609" t="s">
        <v>644</v>
      </c>
    </row>
    <row r="610" spans="27:29">
      <c r="AA610" t="s">
        <v>4300</v>
      </c>
      <c r="AB610">
        <v>2025</v>
      </c>
      <c r="AC610" t="s">
        <v>644</v>
      </c>
    </row>
    <row r="611" spans="27:29">
      <c r="AA611" t="s">
        <v>2006</v>
      </c>
      <c r="AB611">
        <v>2025</v>
      </c>
      <c r="AC611" t="s">
        <v>33</v>
      </c>
    </row>
    <row r="612" spans="27:29">
      <c r="AA612" t="s">
        <v>4312</v>
      </c>
      <c r="AB612">
        <v>2025</v>
      </c>
      <c r="AC612" t="s">
        <v>33</v>
      </c>
    </row>
    <row r="613" spans="27:29">
      <c r="AA613" t="s">
        <v>635</v>
      </c>
      <c r="AB613">
        <v>2025</v>
      </c>
      <c r="AC613" t="s">
        <v>2904</v>
      </c>
    </row>
    <row r="614" spans="27:29">
      <c r="AA614" t="s">
        <v>3141</v>
      </c>
      <c r="AB614">
        <v>2025</v>
      </c>
      <c r="AC614" t="s">
        <v>33</v>
      </c>
    </row>
    <row r="615" spans="27:29">
      <c r="AA615" t="s">
        <v>4344</v>
      </c>
      <c r="AB615">
        <v>2025</v>
      </c>
      <c r="AC615" t="s">
        <v>33</v>
      </c>
    </row>
    <row r="616" spans="27:29">
      <c r="AA616" t="s">
        <v>128</v>
      </c>
      <c r="AB616">
        <v>2025</v>
      </c>
      <c r="AC616" t="s">
        <v>2112</v>
      </c>
    </row>
    <row r="617" spans="27:29">
      <c r="AA617" t="s">
        <v>3365</v>
      </c>
      <c r="AB617">
        <v>2025</v>
      </c>
      <c r="AC617" t="s">
        <v>33</v>
      </c>
    </row>
    <row r="618" spans="27:29">
      <c r="AA618" t="s">
        <v>4376</v>
      </c>
      <c r="AB618">
        <v>2025</v>
      </c>
      <c r="AC618" t="s">
        <v>33</v>
      </c>
    </row>
    <row r="619" spans="27:29">
      <c r="AA619" t="s">
        <v>4388</v>
      </c>
      <c r="AB619">
        <v>2025</v>
      </c>
      <c r="AC619" t="s">
        <v>33</v>
      </c>
    </row>
    <row r="620" spans="27:29">
      <c r="AA620" t="s">
        <v>4389</v>
      </c>
      <c r="AB620">
        <v>2025</v>
      </c>
      <c r="AC620" t="s">
        <v>33</v>
      </c>
    </row>
    <row r="621" spans="27:29">
      <c r="AA621" t="s">
        <v>4395</v>
      </c>
      <c r="AB621">
        <v>2025</v>
      </c>
      <c r="AC621" t="s">
        <v>33</v>
      </c>
    </row>
    <row r="622" spans="27:29">
      <c r="AA622" t="s">
        <v>4396</v>
      </c>
      <c r="AB622">
        <v>2025</v>
      </c>
      <c r="AC622" t="s">
        <v>33</v>
      </c>
    </row>
    <row r="623" spans="27:29">
      <c r="AA623" t="s">
        <v>4397</v>
      </c>
      <c r="AB623">
        <v>2025</v>
      </c>
      <c r="AC623" t="s">
        <v>33</v>
      </c>
    </row>
    <row r="624" spans="27:29">
      <c r="AA624" t="s">
        <v>3919</v>
      </c>
      <c r="AB624">
        <v>2025</v>
      </c>
      <c r="AC624" t="s">
        <v>49</v>
      </c>
    </row>
    <row r="625" spans="27:29">
      <c r="AA625" t="s">
        <v>3141</v>
      </c>
      <c r="AB625">
        <v>2025</v>
      </c>
      <c r="AC625" t="s">
        <v>644</v>
      </c>
    </row>
    <row r="626" spans="27:29">
      <c r="AA626" t="s">
        <v>4412</v>
      </c>
      <c r="AB626">
        <v>2025</v>
      </c>
      <c r="AC626" t="s">
        <v>644</v>
      </c>
    </row>
    <row r="627" spans="27:29">
      <c r="AA627" t="s">
        <v>1319</v>
      </c>
      <c r="AB627">
        <v>2025</v>
      </c>
      <c r="AC627" t="s">
        <v>644</v>
      </c>
    </row>
    <row r="628" spans="27:29">
      <c r="AA628" t="s">
        <v>4414</v>
      </c>
      <c r="AB628">
        <v>2025</v>
      </c>
      <c r="AC628" t="s">
        <v>33</v>
      </c>
    </row>
    <row r="629" spans="27:29">
      <c r="AA629" t="s">
        <v>4426</v>
      </c>
      <c r="AB629">
        <v>2024</v>
      </c>
      <c r="AC629" t="s">
        <v>1125</v>
      </c>
    </row>
    <row r="630" spans="27:29">
      <c r="AA630" t="s">
        <v>4436</v>
      </c>
      <c r="AB630">
        <v>2024</v>
      </c>
      <c r="AC630" t="s">
        <v>33</v>
      </c>
    </row>
    <row r="631" spans="27:29">
      <c r="AA631" t="s">
        <v>4445</v>
      </c>
      <c r="AB631">
        <v>2024</v>
      </c>
      <c r="AC631" t="s">
        <v>33</v>
      </c>
    </row>
    <row r="632" spans="27:29">
      <c r="AA632" t="s">
        <v>3074</v>
      </c>
      <c r="AB632">
        <v>2025</v>
      </c>
      <c r="AC632" t="s">
        <v>33</v>
      </c>
    </row>
    <row r="633" spans="27:29">
      <c r="AA633" t="s">
        <v>128</v>
      </c>
      <c r="AB633">
        <v>2025</v>
      </c>
      <c r="AC633" t="s">
        <v>1125</v>
      </c>
    </row>
    <row r="634" spans="27:29">
      <c r="AA634" t="s">
        <v>4459</v>
      </c>
      <c r="AB634">
        <v>2024</v>
      </c>
      <c r="AC634" t="s">
        <v>33</v>
      </c>
    </row>
    <row r="635" spans="27:29">
      <c r="AA635" t="s">
        <v>39</v>
      </c>
      <c r="AB635">
        <v>2024</v>
      </c>
      <c r="AC635" t="s">
        <v>644</v>
      </c>
    </row>
    <row r="636" spans="27:29">
      <c r="AA636" t="s">
        <v>4478</v>
      </c>
      <c r="AB636">
        <v>2025</v>
      </c>
      <c r="AC636" t="s">
        <v>33</v>
      </c>
    </row>
    <row r="637" spans="27:29">
      <c r="AA637" t="s">
        <v>3093</v>
      </c>
      <c r="AB637">
        <v>2025</v>
      </c>
      <c r="AC637" t="s">
        <v>33</v>
      </c>
    </row>
    <row r="638" spans="27:29">
      <c r="AA638" t="s">
        <v>4491</v>
      </c>
      <c r="AB638">
        <v>2025</v>
      </c>
      <c r="AC638" t="s">
        <v>33</v>
      </c>
    </row>
    <row r="639" spans="27:29">
      <c r="AA639" t="s">
        <v>4503</v>
      </c>
      <c r="AB639">
        <v>2025</v>
      </c>
      <c r="AC639" t="s">
        <v>33</v>
      </c>
    </row>
    <row r="640" spans="27:29">
      <c r="AA640" t="s">
        <v>3959</v>
      </c>
      <c r="AB640">
        <v>2025</v>
      </c>
      <c r="AC640" t="s">
        <v>33</v>
      </c>
    </row>
    <row r="641" spans="27:29">
      <c r="AA641" t="s">
        <v>4504</v>
      </c>
      <c r="AB641">
        <v>2024</v>
      </c>
      <c r="AC641" t="s">
        <v>33</v>
      </c>
    </row>
    <row r="642" spans="27:29">
      <c r="AA642" t="s">
        <v>3141</v>
      </c>
      <c r="AB642">
        <v>2024</v>
      </c>
      <c r="AC642" t="s">
        <v>33</v>
      </c>
    </row>
    <row r="643" spans="27:29">
      <c r="AA643" t="s">
        <v>4521</v>
      </c>
      <c r="AB643">
        <v>2025</v>
      </c>
      <c r="AC643" t="s">
        <v>49</v>
      </c>
    </row>
    <row r="644" spans="27:29">
      <c r="AA644" t="s">
        <v>1012</v>
      </c>
      <c r="AB644">
        <v>2025</v>
      </c>
      <c r="AC644" t="s">
        <v>3843</v>
      </c>
    </row>
    <row r="645" spans="27:29">
      <c r="AA645" t="s">
        <v>1310</v>
      </c>
      <c r="AB645">
        <v>2025</v>
      </c>
      <c r="AC645" t="s">
        <v>3843</v>
      </c>
    </row>
    <row r="646" spans="27:29">
      <c r="AA646" t="s">
        <v>4531</v>
      </c>
      <c r="AB646">
        <v>2025</v>
      </c>
      <c r="AC646" t="s">
        <v>3843</v>
      </c>
    </row>
    <row r="647" spans="27:29">
      <c r="AA647" t="s">
        <v>996</v>
      </c>
      <c r="AB647">
        <v>2025</v>
      </c>
      <c r="AC647" t="s">
        <v>3843</v>
      </c>
    </row>
    <row r="648" spans="27:29">
      <c r="AA648" t="s">
        <v>3689</v>
      </c>
      <c r="AB648">
        <v>2025</v>
      </c>
      <c r="AC648" t="s">
        <v>33</v>
      </c>
    </row>
    <row r="649" spans="27:29">
      <c r="AA649" t="s">
        <v>3861</v>
      </c>
      <c r="AB649">
        <v>2024</v>
      </c>
      <c r="AC649" t="s">
        <v>33</v>
      </c>
    </row>
    <row r="650" spans="27:29">
      <c r="AA650" t="s">
        <v>4553</v>
      </c>
      <c r="AB650">
        <v>2024</v>
      </c>
      <c r="AC650" t="s">
        <v>33</v>
      </c>
    </row>
    <row r="651" spans="27:29">
      <c r="AA651" t="s">
        <v>4554</v>
      </c>
      <c r="AB651">
        <v>2025</v>
      </c>
      <c r="AC651" t="s">
        <v>33</v>
      </c>
    </row>
    <row r="652" spans="27:29">
      <c r="AA652" t="s">
        <v>3970</v>
      </c>
      <c r="AB652">
        <v>2025</v>
      </c>
      <c r="AC652" t="s">
        <v>33</v>
      </c>
    </row>
    <row r="653" spans="27:29">
      <c r="AA653" t="s">
        <v>4559</v>
      </c>
      <c r="AB653">
        <v>2025</v>
      </c>
      <c r="AC653" t="s">
        <v>33</v>
      </c>
    </row>
    <row r="654" spans="27:29">
      <c r="AA654" t="s">
        <v>4572</v>
      </c>
      <c r="AB654">
        <v>2025</v>
      </c>
      <c r="AC654" t="s">
        <v>33</v>
      </c>
    </row>
    <row r="655" spans="27:29">
      <c r="AA655" t="s">
        <v>3553</v>
      </c>
      <c r="AB655">
        <v>2024</v>
      </c>
      <c r="AC655" t="s">
        <v>2112</v>
      </c>
    </row>
    <row r="656" spans="27:29">
      <c r="AA656" t="s">
        <v>1051</v>
      </c>
      <c r="AB656">
        <v>2025</v>
      </c>
      <c r="AC656" t="s">
        <v>2112</v>
      </c>
    </row>
    <row r="657" spans="27:29">
      <c r="AA657" t="s">
        <v>4594</v>
      </c>
      <c r="AB657">
        <v>2025</v>
      </c>
      <c r="AC657" t="s">
        <v>33</v>
      </c>
    </row>
    <row r="658" spans="27:29">
      <c r="AA658" t="s">
        <v>4607</v>
      </c>
      <c r="AB658">
        <v>2025</v>
      </c>
      <c r="AC658" t="s">
        <v>33</v>
      </c>
    </row>
    <row r="659" spans="27:29">
      <c r="AA659" t="s">
        <v>4618</v>
      </c>
      <c r="AB659">
        <v>2025</v>
      </c>
      <c r="AC659" t="s">
        <v>33</v>
      </c>
    </row>
    <row r="660" spans="27:29">
      <c r="AA660" t="s">
        <v>4628</v>
      </c>
      <c r="AB660">
        <v>2025</v>
      </c>
      <c r="AC660" t="s">
        <v>33</v>
      </c>
    </row>
    <row r="661" spans="27:29">
      <c r="AA661" t="s">
        <v>3589</v>
      </c>
      <c r="AB661">
        <v>2025</v>
      </c>
      <c r="AC661" t="s">
        <v>33</v>
      </c>
    </row>
    <row r="662" spans="27:29">
      <c r="AA662" t="s">
        <v>2629</v>
      </c>
      <c r="AB662">
        <v>2025</v>
      </c>
      <c r="AC662" t="s">
        <v>33</v>
      </c>
    </row>
    <row r="663" spans="27:29">
      <c r="AA663" t="s">
        <v>1619</v>
      </c>
      <c r="AB663">
        <v>2025</v>
      </c>
      <c r="AC663" t="s">
        <v>2112</v>
      </c>
    </row>
    <row r="664" spans="27:29">
      <c r="AA664" t="s">
        <v>4644</v>
      </c>
      <c r="AB664">
        <v>2024</v>
      </c>
      <c r="AC664" t="s">
        <v>33</v>
      </c>
    </row>
    <row r="665" spans="27:29">
      <c r="AA665" t="s">
        <v>4649</v>
      </c>
      <c r="AB665">
        <v>2024</v>
      </c>
      <c r="AC665" t="s">
        <v>33</v>
      </c>
    </row>
    <row r="666" spans="27:29">
      <c r="AA666" t="s">
        <v>1344</v>
      </c>
      <c r="AB666">
        <v>2024</v>
      </c>
      <c r="AC666" t="s">
        <v>33</v>
      </c>
    </row>
    <row r="667" spans="27:29">
      <c r="AA667" t="s">
        <v>4650</v>
      </c>
      <c r="AB667">
        <v>2024</v>
      </c>
      <c r="AC667" t="s">
        <v>33</v>
      </c>
    </row>
    <row r="668" spans="27:29">
      <c r="AA668" t="s">
        <v>4655</v>
      </c>
      <c r="AB668">
        <v>2025</v>
      </c>
      <c r="AC668" t="s">
        <v>49</v>
      </c>
    </row>
    <row r="669" spans="27:29">
      <c r="AA669" t="s">
        <v>4667</v>
      </c>
      <c r="AB669">
        <v>2025</v>
      </c>
      <c r="AC669" t="s">
        <v>33</v>
      </c>
    </row>
    <row r="670" spans="27:29">
      <c r="AA670" t="s">
        <v>22</v>
      </c>
      <c r="AB670">
        <v>2025</v>
      </c>
      <c r="AC670" t="s">
        <v>3676</v>
      </c>
    </row>
    <row r="671" spans="27:29">
      <c r="AA671" t="s">
        <v>493</v>
      </c>
      <c r="AB671">
        <v>2025</v>
      </c>
      <c r="AC671" t="s">
        <v>33</v>
      </c>
    </row>
    <row r="672" spans="27:29">
      <c r="AA672" t="s">
        <v>712</v>
      </c>
      <c r="AB672">
        <v>2025</v>
      </c>
      <c r="AC672" t="s">
        <v>33</v>
      </c>
    </row>
    <row r="673" spans="27:29">
      <c r="AA673" t="s">
        <v>4701</v>
      </c>
      <c r="AB673">
        <v>2025</v>
      </c>
      <c r="AC673" t="s">
        <v>33</v>
      </c>
    </row>
    <row r="674" spans="27:29">
      <c r="AA674" t="s">
        <v>635</v>
      </c>
      <c r="AB674">
        <v>2025</v>
      </c>
      <c r="AC674" t="s">
        <v>33</v>
      </c>
    </row>
    <row r="675" spans="27:29">
      <c r="AA675" t="s">
        <v>2358</v>
      </c>
      <c r="AB675">
        <v>2025</v>
      </c>
      <c r="AC675" t="s">
        <v>49</v>
      </c>
    </row>
    <row r="676" spans="27:29">
      <c r="AA676" t="s">
        <v>4726</v>
      </c>
      <c r="AB676">
        <v>2024</v>
      </c>
      <c r="AC676" t="s">
        <v>33</v>
      </c>
    </row>
    <row r="677" spans="27:29">
      <c r="AA677" t="s">
        <v>4732</v>
      </c>
      <c r="AB677">
        <v>2024</v>
      </c>
      <c r="AC677" t="s">
        <v>33</v>
      </c>
    </row>
    <row r="678" spans="27:29">
      <c r="AA678" t="s">
        <v>4743</v>
      </c>
      <c r="AB678">
        <v>2025</v>
      </c>
      <c r="AC678" t="s">
        <v>33</v>
      </c>
    </row>
    <row r="679" spans="27:29">
      <c r="AA679" t="s">
        <v>4756</v>
      </c>
      <c r="AB679">
        <v>2025</v>
      </c>
      <c r="AC679" t="s">
        <v>33</v>
      </c>
    </row>
    <row r="680" spans="27:29">
      <c r="AA680" t="s">
        <v>4768</v>
      </c>
      <c r="AB680">
        <v>2025</v>
      </c>
      <c r="AC680" t="s">
        <v>33</v>
      </c>
    </row>
    <row r="681" spans="27:29">
      <c r="AA681" t="s">
        <v>4300</v>
      </c>
      <c r="AB681">
        <v>2025</v>
      </c>
      <c r="AC681" t="s">
        <v>33</v>
      </c>
    </row>
    <row r="682" spans="27:29">
      <c r="AA682" t="s">
        <v>4789</v>
      </c>
      <c r="AB682">
        <v>2025</v>
      </c>
      <c r="AC682" t="s">
        <v>33</v>
      </c>
    </row>
    <row r="683" spans="27:29">
      <c r="AA683" t="s">
        <v>1396</v>
      </c>
      <c r="AB683">
        <v>2025</v>
      </c>
      <c r="AC683" t="s">
        <v>33</v>
      </c>
    </row>
    <row r="684" spans="27:29">
      <c r="AA684" t="s">
        <v>2815</v>
      </c>
      <c r="AB684">
        <v>2025</v>
      </c>
      <c r="AC684" t="s">
        <v>33</v>
      </c>
    </row>
    <row r="685" spans="27:29">
      <c r="AA685" t="s">
        <v>1024</v>
      </c>
      <c r="AB685">
        <v>2025</v>
      </c>
      <c r="AC685" t="s">
        <v>33</v>
      </c>
    </row>
    <row r="686" spans="27:29">
      <c r="AA686" t="s">
        <v>3141</v>
      </c>
      <c r="AB686">
        <v>2025</v>
      </c>
      <c r="AC686" t="s">
        <v>33</v>
      </c>
    </row>
    <row r="687" spans="27:29">
      <c r="AA687" t="s">
        <v>1319</v>
      </c>
      <c r="AB687">
        <v>2025</v>
      </c>
      <c r="AC687" t="s">
        <v>33</v>
      </c>
    </row>
    <row r="688" spans="27:29">
      <c r="AA688" t="s">
        <v>1024</v>
      </c>
      <c r="AB688">
        <v>2024</v>
      </c>
      <c r="AC688" t="s">
        <v>33</v>
      </c>
    </row>
    <row r="689" spans="27:29">
      <c r="AA689" t="s">
        <v>265</v>
      </c>
      <c r="AB689">
        <v>2024</v>
      </c>
      <c r="AC689" t="s">
        <v>33</v>
      </c>
    </row>
    <row r="690" spans="27:29">
      <c r="AA690" t="s">
        <v>1619</v>
      </c>
      <c r="AB690">
        <v>2025</v>
      </c>
      <c r="AC690" t="s">
        <v>2112</v>
      </c>
    </row>
    <row r="691" spans="27:29">
      <c r="AA691" t="s">
        <v>128</v>
      </c>
      <c r="AB691">
        <v>2024</v>
      </c>
      <c r="AC691" t="s">
        <v>1125</v>
      </c>
    </row>
    <row r="692" spans="27:29">
      <c r="AA692" t="s">
        <v>276</v>
      </c>
      <c r="AB692">
        <v>2025</v>
      </c>
      <c r="AC692" t="s">
        <v>33</v>
      </c>
    </row>
    <row r="693" spans="27:29">
      <c r="AA693" t="s">
        <v>834</v>
      </c>
      <c r="AB693">
        <v>2024</v>
      </c>
      <c r="AC693" t="s">
        <v>33</v>
      </c>
    </row>
    <row r="694" spans="27:29">
      <c r="AA694" t="s">
        <v>4859</v>
      </c>
      <c r="AB694">
        <v>2024</v>
      </c>
      <c r="AC694" t="s">
        <v>33</v>
      </c>
    </row>
    <row r="695" spans="27:29">
      <c r="AA695" t="s">
        <v>2728</v>
      </c>
      <c r="AB695">
        <v>2025</v>
      </c>
      <c r="AC695" t="s">
        <v>33</v>
      </c>
    </row>
    <row r="696" spans="27:29">
      <c r="AA696" t="s">
        <v>4878</v>
      </c>
      <c r="AB696">
        <v>2024</v>
      </c>
      <c r="AC696" t="s">
        <v>33</v>
      </c>
    </row>
    <row r="697" spans="27:29">
      <c r="AA697" t="s">
        <v>4553</v>
      </c>
      <c r="AB697">
        <v>2024</v>
      </c>
      <c r="AC697" t="s">
        <v>33</v>
      </c>
    </row>
    <row r="698" spans="27:29">
      <c r="AA698" t="s">
        <v>4886</v>
      </c>
      <c r="AB698">
        <v>2024</v>
      </c>
      <c r="AC698" t="s">
        <v>33</v>
      </c>
    </row>
    <row r="699" spans="27:29">
      <c r="AA699" t="s">
        <v>4895</v>
      </c>
      <c r="AB699">
        <v>2024</v>
      </c>
      <c r="AC699" t="s">
        <v>33</v>
      </c>
    </row>
    <row r="700" spans="27:29">
      <c r="AA700" t="s">
        <v>4907</v>
      </c>
      <c r="AB700">
        <v>2025</v>
      </c>
      <c r="AC700" t="s">
        <v>33</v>
      </c>
    </row>
    <row r="701" spans="27:29">
      <c r="AA701" t="s">
        <v>296</v>
      </c>
      <c r="AB701">
        <v>2025</v>
      </c>
      <c r="AC701" t="s">
        <v>33</v>
      </c>
    </row>
    <row r="702" spans="27:29">
      <c r="AA702" t="s">
        <v>4916</v>
      </c>
      <c r="AB702">
        <v>2025</v>
      </c>
      <c r="AC702" t="s">
        <v>33</v>
      </c>
    </row>
    <row r="703" spans="27:29">
      <c r="AA703" t="s">
        <v>4917</v>
      </c>
      <c r="AB703">
        <v>2024</v>
      </c>
      <c r="AC703" t="s">
        <v>33</v>
      </c>
    </row>
    <row r="704" spans="27:29">
      <c r="AA704" t="s">
        <v>3093</v>
      </c>
      <c r="AB704">
        <v>2024</v>
      </c>
      <c r="AC704" t="s">
        <v>33</v>
      </c>
    </row>
    <row r="705" spans="27:29">
      <c r="AA705" t="s">
        <v>4923</v>
      </c>
      <c r="AB705">
        <v>2025</v>
      </c>
      <c r="AC705" t="s">
        <v>33</v>
      </c>
    </row>
    <row r="706" spans="27:29">
      <c r="AA706" t="s">
        <v>4935</v>
      </c>
      <c r="AB706">
        <v>2025</v>
      </c>
      <c r="AC706" t="s">
        <v>33</v>
      </c>
    </row>
    <row r="707" spans="27:29">
      <c r="AA707" t="s">
        <v>4936</v>
      </c>
      <c r="AB707">
        <v>2025</v>
      </c>
      <c r="AC707" t="s">
        <v>33</v>
      </c>
    </row>
    <row r="708" spans="27:29">
      <c r="AA708" t="s">
        <v>4937</v>
      </c>
      <c r="AB708">
        <v>2025</v>
      </c>
      <c r="AC708" t="s">
        <v>33</v>
      </c>
    </row>
    <row r="709" spans="27:29">
      <c r="AA709" t="s">
        <v>4938</v>
      </c>
      <c r="AB709">
        <v>2025</v>
      </c>
      <c r="AC709" t="s">
        <v>33</v>
      </c>
    </row>
    <row r="710" spans="27:29">
      <c r="AA710" t="s">
        <v>4939</v>
      </c>
      <c r="AB710">
        <v>2025</v>
      </c>
      <c r="AC710" t="s">
        <v>33</v>
      </c>
    </row>
    <row r="711" spans="27:29">
      <c r="AA711" t="s">
        <v>1320</v>
      </c>
      <c r="AB711">
        <v>2025</v>
      </c>
      <c r="AC711" t="s">
        <v>33</v>
      </c>
    </row>
    <row r="712" spans="27:29">
      <c r="AA712" t="s">
        <v>4948</v>
      </c>
      <c r="AB712">
        <v>2025</v>
      </c>
      <c r="AC712" t="s">
        <v>33</v>
      </c>
    </row>
    <row r="713" spans="27:29">
      <c r="AA713" t="s">
        <v>128</v>
      </c>
      <c r="AB713">
        <v>2025</v>
      </c>
      <c r="AC713" t="s">
        <v>33</v>
      </c>
    </row>
    <row r="714" spans="27:29">
      <c r="AA714" t="s">
        <v>4971</v>
      </c>
      <c r="AB714">
        <v>2025</v>
      </c>
      <c r="AC714" t="s">
        <v>33</v>
      </c>
    </row>
    <row r="715" spans="27:29">
      <c r="AA715" t="s">
        <v>3688</v>
      </c>
      <c r="AB715">
        <v>2025</v>
      </c>
      <c r="AC715" t="s">
        <v>33</v>
      </c>
    </row>
    <row r="716" spans="27:29">
      <c r="AA716" t="s">
        <v>4039</v>
      </c>
      <c r="AB716">
        <v>2025</v>
      </c>
      <c r="AC716" t="s">
        <v>33</v>
      </c>
    </row>
    <row r="717" spans="27:29">
      <c r="AA717" t="s">
        <v>822</v>
      </c>
      <c r="AB717">
        <v>2025</v>
      </c>
      <c r="AC717" t="s">
        <v>33</v>
      </c>
    </row>
    <row r="718" spans="27:29">
      <c r="AA718" t="s">
        <v>5004</v>
      </c>
      <c r="AB718">
        <v>2024</v>
      </c>
      <c r="AC718" t="s">
        <v>33</v>
      </c>
    </row>
    <row r="719" spans="27:29">
      <c r="AA719" t="s">
        <v>635</v>
      </c>
      <c r="AB719">
        <v>2025</v>
      </c>
      <c r="AC719" t="s">
        <v>3676</v>
      </c>
    </row>
    <row r="720" spans="27:29">
      <c r="AA720" t="s">
        <v>276</v>
      </c>
      <c r="AB720">
        <v>2025</v>
      </c>
      <c r="AC720" t="s">
        <v>49</v>
      </c>
    </row>
    <row r="721" spans="27:29">
      <c r="AA721" t="s">
        <v>5027</v>
      </c>
      <c r="AB721">
        <v>2025</v>
      </c>
      <c r="AC721" t="s">
        <v>49</v>
      </c>
    </row>
    <row r="722" spans="27:29">
      <c r="AA722" t="s">
        <v>5036</v>
      </c>
      <c r="AB722">
        <v>2024</v>
      </c>
      <c r="AC722" t="s">
        <v>33</v>
      </c>
    </row>
    <row r="723" spans="27:29">
      <c r="AA723" t="s">
        <v>3589</v>
      </c>
      <c r="AB723">
        <v>2025</v>
      </c>
      <c r="AC723" t="s">
        <v>33</v>
      </c>
    </row>
    <row r="724" spans="27:29">
      <c r="AA724" t="s">
        <v>5052</v>
      </c>
      <c r="AB724">
        <v>2025</v>
      </c>
      <c r="AC724" t="s">
        <v>33</v>
      </c>
    </row>
    <row r="725" spans="27:29">
      <c r="AA725" t="s">
        <v>5053</v>
      </c>
      <c r="AB725">
        <v>2024</v>
      </c>
      <c r="AC725" t="s">
        <v>33</v>
      </c>
    </row>
    <row r="726" spans="27:29">
      <c r="AA726" t="s">
        <v>5062</v>
      </c>
      <c r="AB726">
        <v>2024</v>
      </c>
      <c r="AC726" t="s">
        <v>33</v>
      </c>
    </row>
    <row r="727" spans="27:29">
      <c r="AA727" t="s">
        <v>3386</v>
      </c>
      <c r="AB727">
        <v>2024</v>
      </c>
      <c r="AC727" t="s">
        <v>33</v>
      </c>
    </row>
    <row r="728" spans="27:29">
      <c r="AA728" t="s">
        <v>4395</v>
      </c>
      <c r="AB728">
        <v>2025</v>
      </c>
      <c r="AC728" t="s">
        <v>49</v>
      </c>
    </row>
    <row r="729" spans="27:29">
      <c r="AA729" t="s">
        <v>1480</v>
      </c>
      <c r="AB729">
        <v>2024</v>
      </c>
      <c r="AC729" t="s">
        <v>644</v>
      </c>
    </row>
    <row r="730" spans="27:29">
      <c r="AA730" t="s">
        <v>386</v>
      </c>
      <c r="AB730">
        <v>2024</v>
      </c>
      <c r="AC730" t="s">
        <v>49</v>
      </c>
    </row>
    <row r="731" spans="27:29">
      <c r="AA731" t="s">
        <v>5093</v>
      </c>
      <c r="AB731">
        <v>2025</v>
      </c>
      <c r="AC731" t="s">
        <v>2112</v>
      </c>
    </row>
    <row r="732" spans="27:29">
      <c r="AA732" t="s">
        <v>3700</v>
      </c>
      <c r="AB732">
        <v>2025</v>
      </c>
      <c r="AC732" t="s">
        <v>2112</v>
      </c>
    </row>
    <row r="733" spans="27:29">
      <c r="AA733" t="s">
        <v>5098</v>
      </c>
      <c r="AB733">
        <v>2025</v>
      </c>
      <c r="AC733" t="s">
        <v>33</v>
      </c>
    </row>
    <row r="734" spans="27:29">
      <c r="AA734" t="s">
        <v>39</v>
      </c>
      <c r="AB734">
        <v>2024</v>
      </c>
      <c r="AC734" t="s">
        <v>33</v>
      </c>
    </row>
    <row r="735" spans="27:29">
      <c r="AA735" t="s">
        <v>276</v>
      </c>
      <c r="AB735">
        <v>2024</v>
      </c>
      <c r="AC735" t="s">
        <v>33</v>
      </c>
    </row>
    <row r="736" spans="27:29">
      <c r="AA736" t="s">
        <v>1916</v>
      </c>
      <c r="AB736">
        <v>2025</v>
      </c>
      <c r="AC736" t="s">
        <v>33</v>
      </c>
    </row>
    <row r="737" spans="27:29">
      <c r="AA737" t="s">
        <v>5132</v>
      </c>
      <c r="AB737">
        <v>2024</v>
      </c>
      <c r="AC737" t="s">
        <v>33</v>
      </c>
    </row>
    <row r="738" spans="27:29">
      <c r="AA738" t="s">
        <v>635</v>
      </c>
      <c r="AB738">
        <v>2024</v>
      </c>
      <c r="AC738" t="s">
        <v>33</v>
      </c>
    </row>
    <row r="739" spans="27:29">
      <c r="AA739" t="s">
        <v>5154</v>
      </c>
      <c r="AB739">
        <v>2025</v>
      </c>
      <c r="AC739" t="s">
        <v>49</v>
      </c>
    </row>
    <row r="740" spans="27:29">
      <c r="AA740" t="s">
        <v>2963</v>
      </c>
      <c r="AB740">
        <v>2024</v>
      </c>
      <c r="AC740" t="s">
        <v>33</v>
      </c>
    </row>
    <row r="741" spans="27:29">
      <c r="AA741" t="s">
        <v>4644</v>
      </c>
      <c r="AB741">
        <v>2025</v>
      </c>
      <c r="AC741" t="s">
        <v>33</v>
      </c>
    </row>
    <row r="742" spans="27:29">
      <c r="AA742" t="s">
        <v>433</v>
      </c>
      <c r="AB742">
        <v>2025</v>
      </c>
      <c r="AC742" t="s">
        <v>33</v>
      </c>
    </row>
    <row r="743" spans="27:29">
      <c r="AA743" t="s">
        <v>1344</v>
      </c>
      <c r="AB743">
        <v>2025</v>
      </c>
      <c r="AC743" t="s">
        <v>33</v>
      </c>
    </row>
    <row r="744" spans="27:29">
      <c r="AA744" t="s">
        <v>5173</v>
      </c>
      <c r="AB744">
        <v>2025</v>
      </c>
      <c r="AC744" t="s">
        <v>33</v>
      </c>
    </row>
    <row r="745" spans="27:29">
      <c r="AA745" t="s">
        <v>4414</v>
      </c>
      <c r="AB745">
        <v>2025</v>
      </c>
      <c r="AC745" t="s">
        <v>33</v>
      </c>
    </row>
    <row r="746" spans="27:29">
      <c r="AA746" t="s">
        <v>5190</v>
      </c>
      <c r="AB746">
        <v>2025</v>
      </c>
      <c r="AC746" t="s">
        <v>33</v>
      </c>
    </row>
    <row r="747" spans="27:29">
      <c r="AA747" t="s">
        <v>5199</v>
      </c>
      <c r="AB747">
        <v>2025</v>
      </c>
      <c r="AC747" t="s">
        <v>33</v>
      </c>
    </row>
    <row r="748" spans="27:29">
      <c r="AA748" t="s">
        <v>5207</v>
      </c>
      <c r="AB748">
        <v>2024</v>
      </c>
      <c r="AC748" t="s">
        <v>33</v>
      </c>
    </row>
    <row r="749" spans="27:29">
      <c r="AA749" t="s">
        <v>4100</v>
      </c>
      <c r="AB749">
        <v>2024</v>
      </c>
      <c r="AC749" t="s">
        <v>33</v>
      </c>
    </row>
    <row r="750" spans="27:29">
      <c r="AA750" t="s">
        <v>5215</v>
      </c>
      <c r="AB750">
        <v>2024</v>
      </c>
      <c r="AC750" t="s">
        <v>49</v>
      </c>
    </row>
    <row r="751" spans="27:29">
      <c r="AA751" t="s">
        <v>5227</v>
      </c>
      <c r="AB751">
        <v>2024</v>
      </c>
      <c r="AC751" t="s">
        <v>33</v>
      </c>
    </row>
    <row r="752" spans="27:29">
      <c r="AA752" t="s">
        <v>5232</v>
      </c>
      <c r="AB752">
        <v>2024</v>
      </c>
      <c r="AC752" t="s">
        <v>33</v>
      </c>
    </row>
    <row r="753" spans="27:29">
      <c r="AA753" t="s">
        <v>5233</v>
      </c>
      <c r="AB753">
        <v>2024</v>
      </c>
      <c r="AC753" t="s">
        <v>33</v>
      </c>
    </row>
    <row r="754" spans="27:29">
      <c r="AA754" t="s">
        <v>834</v>
      </c>
      <c r="AB754">
        <v>2025</v>
      </c>
      <c r="AC754" t="s">
        <v>33</v>
      </c>
    </row>
    <row r="755" spans="27:29">
      <c r="AA755" t="s">
        <v>5243</v>
      </c>
      <c r="AB755">
        <v>2025</v>
      </c>
      <c r="AC755" t="s">
        <v>33</v>
      </c>
    </row>
    <row r="756" spans="27:29">
      <c r="AA756" t="s">
        <v>5254</v>
      </c>
      <c r="AB756">
        <v>2024</v>
      </c>
      <c r="AC756" t="s">
        <v>33</v>
      </c>
    </row>
    <row r="757" spans="27:29">
      <c r="AA757" t="s">
        <v>5266</v>
      </c>
      <c r="AB757">
        <v>2024</v>
      </c>
      <c r="AC757" t="s">
        <v>33</v>
      </c>
    </row>
    <row r="758" spans="27:29">
      <c r="AA758" t="s">
        <v>5274</v>
      </c>
      <c r="AB758">
        <v>2024</v>
      </c>
      <c r="AC758" t="s">
        <v>33</v>
      </c>
    </row>
    <row r="759" spans="27:29">
      <c r="AA759" t="s">
        <v>5275</v>
      </c>
      <c r="AB759">
        <v>2024</v>
      </c>
      <c r="AC759" t="s">
        <v>33</v>
      </c>
    </row>
    <row r="760" spans="27:29">
      <c r="AA760" t="s">
        <v>3280</v>
      </c>
      <c r="AB760">
        <v>2025</v>
      </c>
      <c r="AC760" t="s">
        <v>33</v>
      </c>
    </row>
    <row r="761" spans="27:29">
      <c r="AA761" t="s">
        <v>5098</v>
      </c>
      <c r="AB761">
        <v>2025</v>
      </c>
      <c r="AC761" t="s">
        <v>49</v>
      </c>
    </row>
    <row r="762" spans="27:29">
      <c r="AA762" t="s">
        <v>635</v>
      </c>
      <c r="AB762">
        <v>2025</v>
      </c>
      <c r="AC762" t="s">
        <v>33</v>
      </c>
    </row>
    <row r="763" spans="27:29">
      <c r="AA763" t="s">
        <v>5304</v>
      </c>
      <c r="AB763">
        <v>2025</v>
      </c>
      <c r="AC763" t="s">
        <v>33</v>
      </c>
    </row>
    <row r="764" spans="27:29">
      <c r="AA764" t="s">
        <v>5316</v>
      </c>
      <c r="AB764">
        <v>2025</v>
      </c>
      <c r="AC764" t="s">
        <v>49</v>
      </c>
    </row>
    <row r="765" spans="27:29">
      <c r="AA765" t="s">
        <v>5325</v>
      </c>
      <c r="AB765">
        <v>2025</v>
      </c>
      <c r="AC765" t="s">
        <v>49</v>
      </c>
    </row>
    <row r="766" spans="27:29">
      <c r="AA766" t="s">
        <v>5326</v>
      </c>
      <c r="AB766">
        <v>2025</v>
      </c>
      <c r="AC766" t="s">
        <v>49</v>
      </c>
    </row>
    <row r="767" spans="27:29">
      <c r="AA767" t="s">
        <v>5327</v>
      </c>
      <c r="AB767">
        <v>2025</v>
      </c>
      <c r="AC767" t="s">
        <v>49</v>
      </c>
    </row>
    <row r="768" spans="27:29">
      <c r="AA768" t="s">
        <v>5328</v>
      </c>
      <c r="AB768">
        <v>2025</v>
      </c>
      <c r="AC768" t="s">
        <v>49</v>
      </c>
    </row>
    <row r="769" spans="27:29">
      <c r="AA769" t="s">
        <v>5329</v>
      </c>
      <c r="AB769">
        <v>2025</v>
      </c>
      <c r="AC769" t="s">
        <v>49</v>
      </c>
    </row>
    <row r="770" spans="27:29">
      <c r="AA770" t="s">
        <v>5199</v>
      </c>
      <c r="AB770">
        <v>2025</v>
      </c>
      <c r="AC770" t="s">
        <v>33</v>
      </c>
    </row>
    <row r="771" spans="27:29">
      <c r="AA771" t="s">
        <v>386</v>
      </c>
      <c r="AB771">
        <v>2024</v>
      </c>
      <c r="AC771" t="s">
        <v>49</v>
      </c>
    </row>
    <row r="772" spans="27:29">
      <c r="AA772" t="s">
        <v>864</v>
      </c>
      <c r="AB772">
        <v>2025</v>
      </c>
      <c r="AC772" t="s">
        <v>1125</v>
      </c>
    </row>
    <row r="773" spans="27:29">
      <c r="AA773" t="s">
        <v>5347</v>
      </c>
      <c r="AB773">
        <v>2025</v>
      </c>
      <c r="AC773" t="s">
        <v>33</v>
      </c>
    </row>
    <row r="774" spans="27:29">
      <c r="AA774" t="s">
        <v>5355</v>
      </c>
      <c r="AB774">
        <v>2025</v>
      </c>
      <c r="AC774" t="s">
        <v>644</v>
      </c>
    </row>
    <row r="775" spans="27:29">
      <c r="AA775" t="s">
        <v>635</v>
      </c>
      <c r="AB775">
        <v>2025</v>
      </c>
      <c r="AC775" t="s">
        <v>644</v>
      </c>
    </row>
    <row r="776" spans="27:29">
      <c r="AA776" t="s">
        <v>5347</v>
      </c>
      <c r="AB776">
        <v>2025</v>
      </c>
      <c r="AC776" t="s">
        <v>33</v>
      </c>
    </row>
    <row r="777" spans="27:29">
      <c r="AA777" t="s">
        <v>2763</v>
      </c>
      <c r="AB777">
        <v>2025</v>
      </c>
      <c r="AC777" t="s">
        <v>33</v>
      </c>
    </row>
    <row r="778" spans="27:29">
      <c r="AA778" t="s">
        <v>1619</v>
      </c>
      <c r="AB778">
        <v>2025</v>
      </c>
      <c r="AC778" t="s">
        <v>33</v>
      </c>
    </row>
    <row r="779" spans="27:29">
      <c r="AA779" t="s">
        <v>514</v>
      </c>
      <c r="AB779">
        <v>2025</v>
      </c>
      <c r="AC779" t="s">
        <v>49</v>
      </c>
    </row>
    <row r="780" spans="27:29">
      <c r="AA780" t="s">
        <v>5403</v>
      </c>
      <c r="AB780">
        <v>2025</v>
      </c>
      <c r="AC780" t="s">
        <v>33</v>
      </c>
    </row>
    <row r="781" spans="27:29">
      <c r="AA781" t="s">
        <v>2683</v>
      </c>
      <c r="AB781">
        <v>2025</v>
      </c>
      <c r="AC781" t="s">
        <v>33</v>
      </c>
    </row>
    <row r="782" spans="27:29">
      <c r="AA782" t="s">
        <v>5414</v>
      </c>
      <c r="AB782">
        <v>2025</v>
      </c>
      <c r="AC782" t="s">
        <v>33</v>
      </c>
    </row>
    <row r="783" spans="27:29">
      <c r="AA783" t="s">
        <v>5424</v>
      </c>
      <c r="AB783">
        <v>2024</v>
      </c>
      <c r="AC783" t="s">
        <v>33</v>
      </c>
    </row>
    <row r="784" spans="27:29">
      <c r="AA784" t="s">
        <v>5432</v>
      </c>
      <c r="AB784">
        <v>2025</v>
      </c>
      <c r="AC784" t="s">
        <v>33</v>
      </c>
    </row>
    <row r="785" spans="27:29">
      <c r="AA785" t="s">
        <v>3023</v>
      </c>
      <c r="AB785">
        <v>2025</v>
      </c>
      <c r="AC785" t="s">
        <v>33</v>
      </c>
    </row>
    <row r="786" spans="27:29">
      <c r="AA786" t="s">
        <v>5449</v>
      </c>
      <c r="AB786">
        <v>2025</v>
      </c>
      <c r="AC786" t="s">
        <v>49</v>
      </c>
    </row>
    <row r="787" spans="27:29">
      <c r="AA787" t="s">
        <v>2100</v>
      </c>
      <c r="AB787">
        <v>2025</v>
      </c>
      <c r="AC787" t="s">
        <v>33</v>
      </c>
    </row>
    <row r="788" spans="27:29">
      <c r="AA788" t="s">
        <v>2877</v>
      </c>
      <c r="AB788">
        <v>2024</v>
      </c>
      <c r="AC788" t="s">
        <v>1125</v>
      </c>
    </row>
    <row r="789" spans="27:29">
      <c r="AA789" t="s">
        <v>5471</v>
      </c>
      <c r="AB789">
        <v>2025</v>
      </c>
      <c r="AC789" t="s">
        <v>33</v>
      </c>
    </row>
    <row r="790" spans="27:29">
      <c r="AA790" t="s">
        <v>5479</v>
      </c>
      <c r="AB790">
        <v>2024</v>
      </c>
      <c r="AC790" t="s">
        <v>644</v>
      </c>
    </row>
    <row r="791" spans="27:29">
      <c r="AA791" t="s">
        <v>5491</v>
      </c>
      <c r="AB791">
        <v>2025</v>
      </c>
      <c r="AC791" t="s">
        <v>33</v>
      </c>
    </row>
    <row r="792" spans="27:29">
      <c r="AA792" t="s">
        <v>5500</v>
      </c>
      <c r="AB792">
        <v>2025</v>
      </c>
      <c r="AC792" t="s">
        <v>33</v>
      </c>
    </row>
    <row r="793" spans="27:29">
      <c r="AA793" t="s">
        <v>5501</v>
      </c>
      <c r="AB793">
        <v>2025</v>
      </c>
      <c r="AC793" t="s">
        <v>49</v>
      </c>
    </row>
    <row r="794" spans="27:29">
      <c r="AA794" t="s">
        <v>2018</v>
      </c>
      <c r="AB794">
        <v>2025</v>
      </c>
      <c r="AC794" t="s">
        <v>33</v>
      </c>
    </row>
    <row r="795" spans="27:29">
      <c r="AA795" t="s">
        <v>834</v>
      </c>
      <c r="AB795">
        <v>2025</v>
      </c>
      <c r="AC795" t="s">
        <v>33</v>
      </c>
    </row>
    <row r="796" spans="27:29">
      <c r="AA796" t="s">
        <v>5233</v>
      </c>
      <c r="AB796">
        <v>2025</v>
      </c>
      <c r="AC796" t="s">
        <v>33</v>
      </c>
    </row>
    <row r="797" spans="27:29">
      <c r="AA797" t="s">
        <v>1723</v>
      </c>
      <c r="AB797">
        <v>2025</v>
      </c>
      <c r="AC797" t="s">
        <v>33</v>
      </c>
    </row>
    <row r="798" spans="27:29">
      <c r="AA798" t="s">
        <v>5550</v>
      </c>
      <c r="AB798">
        <v>2025</v>
      </c>
      <c r="AC798" t="s">
        <v>33</v>
      </c>
    </row>
    <row r="799" spans="27:29">
      <c r="AA799" t="s">
        <v>3910</v>
      </c>
      <c r="AB799">
        <v>2025</v>
      </c>
      <c r="AC799" t="s">
        <v>33</v>
      </c>
    </row>
    <row r="800" spans="27:29">
      <c r="AA800" t="s">
        <v>5565</v>
      </c>
      <c r="AB800">
        <v>2025</v>
      </c>
      <c r="AC800" t="s">
        <v>33</v>
      </c>
    </row>
    <row r="801" spans="27:29">
      <c r="AA801" t="s">
        <v>3938</v>
      </c>
      <c r="AB801">
        <v>2025</v>
      </c>
      <c r="AC801" t="s">
        <v>33</v>
      </c>
    </row>
    <row r="802" spans="27:29">
      <c r="AA802" t="s">
        <v>1344</v>
      </c>
      <c r="AB802">
        <v>2025</v>
      </c>
      <c r="AC802" t="s">
        <v>33</v>
      </c>
    </row>
    <row r="803" spans="27:29">
      <c r="AA803" t="s">
        <v>113</v>
      </c>
      <c r="AB803">
        <v>2025</v>
      </c>
      <c r="AC803" t="s">
        <v>33</v>
      </c>
    </row>
    <row r="804" spans="27:29">
      <c r="AA804" t="s">
        <v>5579</v>
      </c>
      <c r="AB804">
        <v>2024</v>
      </c>
      <c r="AC804" t="s">
        <v>1125</v>
      </c>
    </row>
    <row r="805" spans="27:29">
      <c r="AA805" t="s">
        <v>178</v>
      </c>
      <c r="AB805">
        <v>2025</v>
      </c>
      <c r="AC805" t="s">
        <v>33</v>
      </c>
    </row>
    <row r="806" spans="27:29">
      <c r="AA806" t="s">
        <v>5596</v>
      </c>
      <c r="AB806">
        <v>2025</v>
      </c>
      <c r="AC806" t="s">
        <v>33</v>
      </c>
    </row>
    <row r="807" spans="27:29">
      <c r="AA807" t="s">
        <v>5602</v>
      </c>
      <c r="AB807">
        <v>2025</v>
      </c>
      <c r="AC807" t="s">
        <v>33</v>
      </c>
    </row>
    <row r="808" spans="27:29">
      <c r="AA808" t="s">
        <v>3553</v>
      </c>
      <c r="AB808">
        <v>2025</v>
      </c>
      <c r="AC808" t="s">
        <v>2112</v>
      </c>
    </row>
    <row r="809" spans="27:29">
      <c r="AA809" t="s">
        <v>5607</v>
      </c>
      <c r="AB809">
        <v>2025</v>
      </c>
      <c r="AC809" t="s">
        <v>2112</v>
      </c>
    </row>
    <row r="810" spans="27:29">
      <c r="AA810" t="s">
        <v>834</v>
      </c>
      <c r="AB810">
        <v>2025</v>
      </c>
      <c r="AC810" t="s">
        <v>33</v>
      </c>
    </row>
    <row r="811" spans="27:29">
      <c r="AA811" t="s">
        <v>493</v>
      </c>
      <c r="AB811">
        <v>2024</v>
      </c>
      <c r="AC811" t="s">
        <v>3843</v>
      </c>
    </row>
    <row r="812" spans="27:29">
      <c r="AA812" t="s">
        <v>727</v>
      </c>
      <c r="AB812">
        <v>2024</v>
      </c>
      <c r="AC812" t="s">
        <v>33</v>
      </c>
    </row>
    <row r="813" spans="27:29">
      <c r="AA813" t="s">
        <v>5629</v>
      </c>
      <c r="AB813">
        <v>2025</v>
      </c>
      <c r="AC813" t="s">
        <v>33</v>
      </c>
    </row>
    <row r="814" spans="27:29">
      <c r="AA814" t="s">
        <v>5636</v>
      </c>
      <c r="AB814">
        <v>2025</v>
      </c>
      <c r="AC814" t="s">
        <v>33</v>
      </c>
    </row>
    <row r="815" spans="27:29">
      <c r="AA815" t="s">
        <v>3903</v>
      </c>
      <c r="AB815">
        <v>2025</v>
      </c>
      <c r="AC815" t="s">
        <v>33</v>
      </c>
    </row>
    <row r="816" spans="27:29">
      <c r="AA816" t="s">
        <v>3892</v>
      </c>
      <c r="AB816">
        <v>2025</v>
      </c>
      <c r="AC816" t="s">
        <v>33</v>
      </c>
    </row>
    <row r="817" spans="27:29">
      <c r="AA817" t="s">
        <v>5637</v>
      </c>
      <c r="AB817">
        <v>2025</v>
      </c>
      <c r="AC817" t="s">
        <v>49</v>
      </c>
    </row>
    <row r="818" spans="27:29">
      <c r="AA818" t="s">
        <v>5646</v>
      </c>
      <c r="AB818">
        <v>2025</v>
      </c>
      <c r="AC818" t="s">
        <v>33</v>
      </c>
    </row>
    <row r="819" spans="27:29">
      <c r="AA819" t="s">
        <v>4395</v>
      </c>
      <c r="AB819">
        <v>2025</v>
      </c>
      <c r="AC819" t="s">
        <v>3676</v>
      </c>
    </row>
    <row r="820" spans="27:29">
      <c r="AA820" t="s">
        <v>22</v>
      </c>
      <c r="AB820">
        <v>2025</v>
      </c>
      <c r="AC820" t="s">
        <v>3676</v>
      </c>
    </row>
    <row r="821" spans="27:29">
      <c r="AA821" t="s">
        <v>5670</v>
      </c>
      <c r="AB821">
        <v>2024</v>
      </c>
      <c r="AC821" t="s">
        <v>33</v>
      </c>
    </row>
    <row r="822" spans="27:29">
      <c r="AA822" t="s">
        <v>622</v>
      </c>
      <c r="AB822">
        <v>2025</v>
      </c>
      <c r="AC822" t="s">
        <v>33</v>
      </c>
    </row>
    <row r="823" spans="27:29">
      <c r="AA823" t="s">
        <v>5690</v>
      </c>
      <c r="AB823">
        <v>2025</v>
      </c>
      <c r="AC823" t="s">
        <v>33</v>
      </c>
    </row>
    <row r="824" spans="27:29">
      <c r="AA824" t="s">
        <v>5702</v>
      </c>
      <c r="AB824">
        <v>2025</v>
      </c>
      <c r="AC824" t="s">
        <v>33</v>
      </c>
    </row>
    <row r="825" spans="27:29">
      <c r="AA825" t="s">
        <v>755</v>
      </c>
      <c r="AB825">
        <v>2025</v>
      </c>
      <c r="AC825" t="s">
        <v>644</v>
      </c>
    </row>
    <row r="826" spans="27:29">
      <c r="AA826" t="s">
        <v>834</v>
      </c>
      <c r="AB826">
        <v>2025</v>
      </c>
      <c r="AC826" t="s">
        <v>33</v>
      </c>
    </row>
    <row r="827" spans="27:29">
      <c r="AA827" t="s">
        <v>128</v>
      </c>
      <c r="AB827">
        <v>2024</v>
      </c>
      <c r="AC827" t="s">
        <v>1125</v>
      </c>
    </row>
    <row r="828" spans="27:29">
      <c r="AA828" t="s">
        <v>635</v>
      </c>
      <c r="AB828">
        <v>2025</v>
      </c>
      <c r="AC828" t="s">
        <v>33</v>
      </c>
    </row>
    <row r="829" spans="27:29">
      <c r="AA829" t="s">
        <v>5734</v>
      </c>
      <c r="AB829">
        <v>2025</v>
      </c>
      <c r="AC829" t="s">
        <v>33</v>
      </c>
    </row>
    <row r="830" spans="27:29">
      <c r="AA830" t="s">
        <v>5742</v>
      </c>
      <c r="AB830">
        <v>2025</v>
      </c>
      <c r="AC830" t="s">
        <v>49</v>
      </c>
    </row>
    <row r="831" spans="27:29">
      <c r="AA831" t="s">
        <v>5750</v>
      </c>
      <c r="AB831">
        <v>2025</v>
      </c>
      <c r="AC831" t="s">
        <v>33</v>
      </c>
    </row>
    <row r="832" spans="27:29">
      <c r="AA832" t="s">
        <v>5761</v>
      </c>
      <c r="AB832">
        <v>2025</v>
      </c>
      <c r="AC832" t="s">
        <v>33</v>
      </c>
    </row>
    <row r="833" spans="27:29">
      <c r="AA833" t="s">
        <v>5762</v>
      </c>
      <c r="AB833">
        <v>2025</v>
      </c>
      <c r="AC833" t="s">
        <v>33</v>
      </c>
    </row>
    <row r="834" spans="27:29">
      <c r="AA834" t="s">
        <v>3181</v>
      </c>
      <c r="AB834">
        <v>2025</v>
      </c>
      <c r="AC834" t="s">
        <v>33</v>
      </c>
    </row>
    <row r="835" spans="27:29">
      <c r="AA835" t="s">
        <v>3141</v>
      </c>
      <c r="AB835">
        <v>2025</v>
      </c>
      <c r="AC835" t="s">
        <v>33</v>
      </c>
    </row>
    <row r="836" spans="27:29">
      <c r="AA836" t="s">
        <v>276</v>
      </c>
      <c r="AB836">
        <v>2025</v>
      </c>
      <c r="AC836" t="s">
        <v>49</v>
      </c>
    </row>
    <row r="837" spans="27:29">
      <c r="AA837" t="s">
        <v>5778</v>
      </c>
      <c r="AB837">
        <v>2025</v>
      </c>
      <c r="AC837" t="s">
        <v>49</v>
      </c>
    </row>
    <row r="838" spans="27:29">
      <c r="AA838" t="s">
        <v>5779</v>
      </c>
      <c r="AB838">
        <v>2025</v>
      </c>
      <c r="AC838" t="s">
        <v>49</v>
      </c>
    </row>
    <row r="839" spans="27:29">
      <c r="AA839" t="s">
        <v>5780</v>
      </c>
      <c r="AB839">
        <v>2025</v>
      </c>
      <c r="AC839" t="s">
        <v>49</v>
      </c>
    </row>
    <row r="840" spans="27:29">
      <c r="AA840" t="s">
        <v>5781</v>
      </c>
      <c r="AB840">
        <v>2025</v>
      </c>
      <c r="AC840" t="s">
        <v>49</v>
      </c>
    </row>
    <row r="841" spans="27:29">
      <c r="AA841" t="s">
        <v>5782</v>
      </c>
      <c r="AB841">
        <v>2025</v>
      </c>
      <c r="AC841" t="s">
        <v>49</v>
      </c>
    </row>
    <row r="842" spans="27:29">
      <c r="AA842" t="s">
        <v>5304</v>
      </c>
      <c r="AB842">
        <v>2025</v>
      </c>
      <c r="AC842" t="s">
        <v>2904</v>
      </c>
    </row>
    <row r="843" spans="27:29">
      <c r="AA843" t="s">
        <v>5790</v>
      </c>
      <c r="AB843">
        <v>2025</v>
      </c>
      <c r="AC843" t="s">
        <v>33</v>
      </c>
    </row>
    <row r="844" spans="27:29">
      <c r="AA844" t="s">
        <v>5802</v>
      </c>
      <c r="AB844">
        <v>2025</v>
      </c>
      <c r="AC844" t="s">
        <v>33</v>
      </c>
    </row>
    <row r="845" spans="27:29">
      <c r="AA845" t="s">
        <v>5803</v>
      </c>
      <c r="AB845">
        <v>2025</v>
      </c>
      <c r="AC845" t="s">
        <v>33</v>
      </c>
    </row>
    <row r="846" spans="27:29">
      <c r="AA846" t="s">
        <v>5804</v>
      </c>
      <c r="AB846">
        <v>2025</v>
      </c>
      <c r="AC846" t="s">
        <v>33</v>
      </c>
    </row>
    <row r="847" spans="27:29">
      <c r="AA847" t="s">
        <v>5805</v>
      </c>
      <c r="AB847">
        <v>2025</v>
      </c>
      <c r="AC847" t="s">
        <v>33</v>
      </c>
    </row>
    <row r="848" spans="27:29">
      <c r="AA848" t="s">
        <v>276</v>
      </c>
      <c r="AB848">
        <v>2025</v>
      </c>
      <c r="AC848" t="s">
        <v>49</v>
      </c>
    </row>
    <row r="849" spans="27:29">
      <c r="AA849" t="s">
        <v>5813</v>
      </c>
      <c r="AB849">
        <v>2024</v>
      </c>
      <c r="AC849" t="s">
        <v>644</v>
      </c>
    </row>
    <row r="850" spans="27:29">
      <c r="AA850" t="s">
        <v>5827</v>
      </c>
      <c r="AB850">
        <v>2024</v>
      </c>
      <c r="AC850" t="s">
        <v>33</v>
      </c>
    </row>
    <row r="851" spans="27:29">
      <c r="AA851" t="s">
        <v>3229</v>
      </c>
      <c r="AB851">
        <v>2024</v>
      </c>
      <c r="AC851" t="s">
        <v>33</v>
      </c>
    </row>
    <row r="852" spans="27:29">
      <c r="AA852" t="s">
        <v>5850</v>
      </c>
      <c r="AB852">
        <v>2024</v>
      </c>
      <c r="AC852" t="s">
        <v>33</v>
      </c>
    </row>
    <row r="853" spans="27:29">
      <c r="AA853" t="s">
        <v>834</v>
      </c>
      <c r="AB853">
        <v>2025</v>
      </c>
      <c r="AC853" t="s">
        <v>33</v>
      </c>
    </row>
    <row r="854" spans="27:29">
      <c r="AA854" t="s">
        <v>3503</v>
      </c>
      <c r="AB854">
        <v>2025</v>
      </c>
      <c r="AC854" t="s">
        <v>2112</v>
      </c>
    </row>
  </sheetData>
  <mergeCells count="2">
    <mergeCell ref="A1:N1"/>
    <mergeCell ref="A2:N2"/>
  </mergeCells>
  <printOptions horizontalCentered="1" verticalCentered="1"/>
  <pageMargins left="0.7" right="0.7" top="0.75" bottom="0.75" header="0.3" footer="0.3"/>
  <pageSetup paperSize="9" scale="45" orientation="landscape" horizontalDpi="4294967293" verticalDpi="4294967293" r:id="rId1"/>
  <headerFooter>
    <oddHeader>&amp;C&amp;"-,Bold"&amp;12Productividad de investigadores UFT · 2024–2025</oddHeader>
    <oddFooter>&amp;CPágina &amp;P de &amp;F&amp;LFuente: Scopus – Afiliación UFT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ED6AF-F8D5-40C7-99F5-3060C546424C}">
  <dimension ref="A1:J590"/>
  <sheetViews>
    <sheetView topLeftCell="C1" workbookViewId="0">
      <pane ySplit="1" topLeftCell="A59" activePane="bottomLeft" state="frozen"/>
      <selection pane="bottomLeft" activeCell="D75" sqref="D75"/>
    </sheetView>
  </sheetViews>
  <sheetFormatPr baseColWidth="10" defaultRowHeight="14.4"/>
  <cols>
    <col min="1" max="1" width="5.88671875" customWidth="1"/>
    <col min="2" max="2" width="77.77734375" customWidth="1"/>
    <col min="3" max="3" width="8.109375" customWidth="1"/>
    <col min="4" max="4" width="18.5546875" customWidth="1"/>
    <col min="5" max="5" width="35.21875" customWidth="1"/>
    <col min="6" max="6" width="10.77734375" customWidth="1"/>
    <col min="7" max="7" width="63" customWidth="1"/>
    <col min="8" max="8" width="38.88671875" customWidth="1"/>
    <col min="9" max="9" width="12.5546875" customWidth="1"/>
    <col min="10" max="10" width="13" customWidth="1"/>
  </cols>
  <sheetData>
    <row r="1" spans="1:10">
      <c r="A1" t="s">
        <v>5876</v>
      </c>
      <c r="B1" t="s">
        <v>1</v>
      </c>
      <c r="C1" t="s">
        <v>5874</v>
      </c>
      <c r="D1" t="s">
        <v>5875</v>
      </c>
      <c r="E1" t="s">
        <v>5882</v>
      </c>
      <c r="F1" t="s">
        <v>5883</v>
      </c>
      <c r="G1" t="s">
        <v>5884</v>
      </c>
      <c r="H1" t="s">
        <v>15</v>
      </c>
      <c r="I1" t="s">
        <v>6017</v>
      </c>
      <c r="J1" t="s">
        <v>6018</v>
      </c>
    </row>
    <row r="2" spans="1:10" ht="28.8">
      <c r="A2" s="16">
        <v>1</v>
      </c>
      <c r="B2" s="15" t="s">
        <v>5200</v>
      </c>
      <c r="C2" s="17">
        <v>2025</v>
      </c>
      <c r="D2" s="14" t="s">
        <v>33</v>
      </c>
      <c r="E2" s="15" t="s">
        <v>5202</v>
      </c>
      <c r="F2" s="16">
        <f t="shared" ref="F2:F65" si="0">IF($G2="",0,LEN($G2)-LEN(SUBSTITUTE($G2,"|",""))+1)</f>
        <v>1</v>
      </c>
      <c r="G2" s="15" t="s">
        <v>5199</v>
      </c>
      <c r="H2" s="18" t="s">
        <v>5205</v>
      </c>
      <c r="I2" s="19">
        <v>1</v>
      </c>
      <c r="J2" s="20">
        <f t="shared" ref="J2:J65" si="1">IFERROR(F2/I2,"")</f>
        <v>1</v>
      </c>
    </row>
    <row r="3" spans="1:10" ht="43.2">
      <c r="A3" s="16">
        <v>2</v>
      </c>
      <c r="B3" s="15" t="s">
        <v>5094</v>
      </c>
      <c r="C3" s="17">
        <v>2025</v>
      </c>
      <c r="D3" s="14" t="s">
        <v>2112</v>
      </c>
      <c r="E3" s="15" t="s">
        <v>3703</v>
      </c>
      <c r="F3" s="16">
        <f t="shared" si="0"/>
        <v>2</v>
      </c>
      <c r="G3" s="15" t="s">
        <v>5885</v>
      </c>
      <c r="H3" s="18" t="s">
        <v>5096</v>
      </c>
      <c r="I3" s="19">
        <v>2</v>
      </c>
      <c r="J3" s="20">
        <f t="shared" si="1"/>
        <v>1</v>
      </c>
    </row>
    <row r="4" spans="1:10" ht="43.2">
      <c r="A4" s="16">
        <v>3</v>
      </c>
      <c r="B4" s="15" t="s">
        <v>4769</v>
      </c>
      <c r="C4" s="17">
        <v>2025</v>
      </c>
      <c r="D4" s="14" t="s">
        <v>33</v>
      </c>
      <c r="E4" s="15" t="s">
        <v>4771</v>
      </c>
      <c r="F4" s="16">
        <f t="shared" si="0"/>
        <v>1</v>
      </c>
      <c r="G4" s="15" t="s">
        <v>4768</v>
      </c>
      <c r="H4" s="18" t="s">
        <v>4775</v>
      </c>
      <c r="I4" s="19">
        <v>1</v>
      </c>
      <c r="J4" s="20">
        <f t="shared" si="1"/>
        <v>1</v>
      </c>
    </row>
    <row r="5" spans="1:10" ht="28.8">
      <c r="A5" s="16">
        <v>4</v>
      </c>
      <c r="B5" s="15" t="s">
        <v>4634</v>
      </c>
      <c r="C5" s="17">
        <v>2025</v>
      </c>
      <c r="D5" s="14" t="s">
        <v>2112</v>
      </c>
      <c r="E5" s="15" t="s">
        <v>4635</v>
      </c>
      <c r="F5" s="16">
        <f t="shared" si="0"/>
        <v>1</v>
      </c>
      <c r="G5" s="15" t="s">
        <v>1619</v>
      </c>
      <c r="H5" s="18" t="s">
        <v>4639</v>
      </c>
      <c r="I5" s="19">
        <v>3</v>
      </c>
      <c r="J5" s="20">
        <f t="shared" si="1"/>
        <v>0.33333333333333331</v>
      </c>
    </row>
    <row r="6" spans="1:10">
      <c r="A6" s="16">
        <v>5</v>
      </c>
      <c r="B6" s="15" t="s">
        <v>3596</v>
      </c>
      <c r="C6" s="17">
        <v>2025</v>
      </c>
      <c r="D6" s="14" t="s">
        <v>33</v>
      </c>
      <c r="E6" s="15" t="s">
        <v>3598</v>
      </c>
      <c r="F6" s="16">
        <f t="shared" si="0"/>
        <v>1</v>
      </c>
      <c r="G6" s="15" t="s">
        <v>2100</v>
      </c>
      <c r="H6" s="18" t="s">
        <v>3601</v>
      </c>
      <c r="I6" s="19">
        <v>10</v>
      </c>
      <c r="J6" s="20">
        <f t="shared" si="1"/>
        <v>0.1</v>
      </c>
    </row>
    <row r="7" spans="1:10" ht="28.8">
      <c r="A7" s="16">
        <v>6</v>
      </c>
      <c r="B7" s="15" t="s">
        <v>2990</v>
      </c>
      <c r="C7" s="17">
        <v>2025</v>
      </c>
      <c r="D7" s="14" t="s">
        <v>49</v>
      </c>
      <c r="E7" s="15" t="s">
        <v>1784</v>
      </c>
      <c r="F7" s="16">
        <f t="shared" si="0"/>
        <v>1</v>
      </c>
      <c r="G7" s="15" t="s">
        <v>276</v>
      </c>
      <c r="H7" s="18" t="s">
        <v>2992</v>
      </c>
      <c r="I7" s="19">
        <v>13</v>
      </c>
      <c r="J7" s="20">
        <f t="shared" si="1"/>
        <v>7.6923076923076927E-2</v>
      </c>
    </row>
    <row r="8" spans="1:10" ht="28.8">
      <c r="A8" s="16">
        <v>7</v>
      </c>
      <c r="B8" s="15" t="s">
        <v>2742</v>
      </c>
      <c r="C8" s="17">
        <v>2025</v>
      </c>
      <c r="D8" s="14" t="s">
        <v>49</v>
      </c>
      <c r="E8" s="15" t="s">
        <v>1470</v>
      </c>
      <c r="F8" s="16">
        <f t="shared" si="0"/>
        <v>1</v>
      </c>
      <c r="G8" s="15" t="s">
        <v>276</v>
      </c>
      <c r="H8" s="18" t="s">
        <v>2744</v>
      </c>
      <c r="I8" s="19">
        <v>12</v>
      </c>
      <c r="J8" s="20">
        <f t="shared" si="1"/>
        <v>8.3333333333333329E-2</v>
      </c>
    </row>
    <row r="9" spans="1:10" ht="28.8">
      <c r="A9" s="16">
        <v>8</v>
      </c>
      <c r="B9" s="15" t="s">
        <v>2529</v>
      </c>
      <c r="C9" s="17">
        <v>2025</v>
      </c>
      <c r="D9" s="14" t="s">
        <v>49</v>
      </c>
      <c r="E9" s="15" t="s">
        <v>1819</v>
      </c>
      <c r="F9" s="16">
        <f t="shared" si="0"/>
        <v>1</v>
      </c>
      <c r="G9" s="15" t="s">
        <v>276</v>
      </c>
      <c r="H9" s="18" t="s">
        <v>2532</v>
      </c>
      <c r="I9" s="19">
        <v>14</v>
      </c>
      <c r="J9" s="20">
        <f t="shared" si="1"/>
        <v>7.1428571428571425E-2</v>
      </c>
    </row>
    <row r="10" spans="1:10" ht="28.8">
      <c r="A10" s="16">
        <v>9</v>
      </c>
      <c r="B10" s="15" t="s">
        <v>129</v>
      </c>
      <c r="C10" s="17">
        <v>2025</v>
      </c>
      <c r="D10" s="14" t="s">
        <v>49</v>
      </c>
      <c r="E10" s="15" t="s">
        <v>131</v>
      </c>
      <c r="F10" s="16">
        <f t="shared" si="0"/>
        <v>1</v>
      </c>
      <c r="G10" s="15" t="s">
        <v>128</v>
      </c>
      <c r="H10" s="18" t="s">
        <v>136</v>
      </c>
      <c r="I10" s="19">
        <v>3</v>
      </c>
      <c r="J10" s="20">
        <f t="shared" si="1"/>
        <v>0.33333333333333331</v>
      </c>
    </row>
    <row r="11" spans="1:10" ht="28.8">
      <c r="A11" s="16">
        <v>10</v>
      </c>
      <c r="B11" s="15" t="s">
        <v>3463</v>
      </c>
      <c r="C11" s="17">
        <v>2025</v>
      </c>
      <c r="D11" s="14" t="s">
        <v>208</v>
      </c>
      <c r="E11" s="15" t="s">
        <v>2611</v>
      </c>
      <c r="F11" s="16">
        <f t="shared" si="0"/>
        <v>1</v>
      </c>
      <c r="G11" s="15" t="s">
        <v>3152</v>
      </c>
      <c r="H11" s="18" t="s">
        <v>3465</v>
      </c>
      <c r="I11" s="19">
        <v>4</v>
      </c>
      <c r="J11" s="20">
        <f t="shared" si="1"/>
        <v>0.25</v>
      </c>
    </row>
    <row r="12" spans="1:10" ht="28.8">
      <c r="A12" s="16">
        <v>11</v>
      </c>
      <c r="B12" s="15" t="s">
        <v>2019</v>
      </c>
      <c r="C12" s="17">
        <v>2025</v>
      </c>
      <c r="D12" s="14" t="s">
        <v>33</v>
      </c>
      <c r="E12" s="15" t="s">
        <v>2021</v>
      </c>
      <c r="F12" s="16">
        <f t="shared" si="0"/>
        <v>1</v>
      </c>
      <c r="G12" s="15" t="s">
        <v>2018</v>
      </c>
      <c r="H12" s="18" t="s">
        <v>2025</v>
      </c>
      <c r="I12" s="19">
        <v>7</v>
      </c>
      <c r="J12" s="20">
        <f t="shared" si="1"/>
        <v>0.14285714285714285</v>
      </c>
    </row>
    <row r="13" spans="1:10">
      <c r="A13" s="16">
        <v>12</v>
      </c>
      <c r="B13" s="15" t="s">
        <v>1603</v>
      </c>
      <c r="C13" s="17">
        <v>2025</v>
      </c>
      <c r="D13" s="14" t="s">
        <v>33</v>
      </c>
      <c r="E13" s="15" t="s">
        <v>804</v>
      </c>
      <c r="F13" s="16">
        <f t="shared" si="0"/>
        <v>1</v>
      </c>
      <c r="G13" s="15" t="s">
        <v>128</v>
      </c>
      <c r="H13" s="18" t="s">
        <v>1605</v>
      </c>
      <c r="I13" s="19">
        <v>3</v>
      </c>
      <c r="J13" s="20">
        <f t="shared" si="1"/>
        <v>0.33333333333333331</v>
      </c>
    </row>
    <row r="14" spans="1:10" ht="28.8">
      <c r="A14" s="16">
        <v>13</v>
      </c>
      <c r="B14" s="15" t="s">
        <v>1382</v>
      </c>
      <c r="C14" s="17">
        <v>2025</v>
      </c>
      <c r="D14" s="14" t="s">
        <v>33</v>
      </c>
      <c r="E14" s="15" t="s">
        <v>1384</v>
      </c>
      <c r="F14" s="16">
        <f t="shared" si="0"/>
        <v>1</v>
      </c>
      <c r="G14" s="15" t="s">
        <v>265</v>
      </c>
      <c r="H14" s="18" t="s">
        <v>1386</v>
      </c>
      <c r="I14" s="19">
        <v>8</v>
      </c>
      <c r="J14" s="20">
        <f t="shared" si="1"/>
        <v>0.125</v>
      </c>
    </row>
    <row r="15" spans="1:10">
      <c r="A15" s="16">
        <v>14</v>
      </c>
      <c r="B15" s="15" t="s">
        <v>5551</v>
      </c>
      <c r="C15" s="17">
        <v>2025</v>
      </c>
      <c r="D15" s="14" t="s">
        <v>33</v>
      </c>
      <c r="E15" s="15" t="s">
        <v>5553</v>
      </c>
      <c r="F15" s="16">
        <f t="shared" si="0"/>
        <v>1</v>
      </c>
      <c r="G15" s="15" t="s">
        <v>5550</v>
      </c>
      <c r="H15" s="18" t="s">
        <v>5558</v>
      </c>
      <c r="I15" s="19">
        <v>1</v>
      </c>
      <c r="J15" s="20">
        <f t="shared" si="1"/>
        <v>1</v>
      </c>
    </row>
    <row r="16" spans="1:10" ht="28.8">
      <c r="A16" s="16">
        <v>15</v>
      </c>
      <c r="B16" s="15" t="s">
        <v>5363</v>
      </c>
      <c r="C16" s="17">
        <v>2025</v>
      </c>
      <c r="D16" s="14" t="s">
        <v>33</v>
      </c>
      <c r="E16" s="15" t="s">
        <v>5365</v>
      </c>
      <c r="F16" s="16">
        <f t="shared" si="0"/>
        <v>1</v>
      </c>
      <c r="G16" s="15" t="s">
        <v>5347</v>
      </c>
      <c r="H16" s="18" t="s">
        <v>5369</v>
      </c>
      <c r="I16" s="19">
        <v>1</v>
      </c>
      <c r="J16" s="20">
        <f t="shared" si="1"/>
        <v>1</v>
      </c>
    </row>
    <row r="17" spans="1:10" ht="28.8">
      <c r="A17" s="16">
        <v>16</v>
      </c>
      <c r="B17" s="15" t="s">
        <v>2446</v>
      </c>
      <c r="C17" s="17">
        <v>2025</v>
      </c>
      <c r="D17" s="14" t="s">
        <v>33</v>
      </c>
      <c r="E17" s="15" t="s">
        <v>2448</v>
      </c>
      <c r="F17" s="16">
        <f t="shared" si="0"/>
        <v>1</v>
      </c>
      <c r="G17" s="15" t="s">
        <v>2445</v>
      </c>
      <c r="H17" s="18" t="s">
        <v>2451</v>
      </c>
      <c r="I17" s="19">
        <v>6</v>
      </c>
      <c r="J17" s="20">
        <f t="shared" si="1"/>
        <v>0.16666666666666666</v>
      </c>
    </row>
    <row r="18" spans="1:10" ht="43.2">
      <c r="A18" s="16">
        <v>17</v>
      </c>
      <c r="B18" s="15" t="s">
        <v>2186</v>
      </c>
      <c r="C18" s="17">
        <v>2025</v>
      </c>
      <c r="D18" s="14" t="s">
        <v>33</v>
      </c>
      <c r="E18" s="15" t="s">
        <v>2188</v>
      </c>
      <c r="F18" s="16">
        <f t="shared" si="0"/>
        <v>1</v>
      </c>
      <c r="G18" s="15" t="s">
        <v>164</v>
      </c>
      <c r="H18" s="18" t="s">
        <v>2192</v>
      </c>
      <c r="I18" s="19">
        <v>21</v>
      </c>
      <c r="J18" s="20">
        <f t="shared" si="1"/>
        <v>4.7619047619047616E-2</v>
      </c>
    </row>
    <row r="19" spans="1:10" ht="28.8">
      <c r="A19" s="16">
        <v>18</v>
      </c>
      <c r="B19" s="15" t="s">
        <v>5244</v>
      </c>
      <c r="C19" s="17">
        <v>2025</v>
      </c>
      <c r="D19" s="14" t="s">
        <v>33</v>
      </c>
      <c r="E19" s="15" t="s">
        <v>5246</v>
      </c>
      <c r="F19" s="16">
        <f t="shared" si="0"/>
        <v>1</v>
      </c>
      <c r="G19" s="15" t="s">
        <v>5243</v>
      </c>
      <c r="H19" s="18" t="s">
        <v>5249</v>
      </c>
      <c r="I19" s="19">
        <v>6</v>
      </c>
      <c r="J19" s="20">
        <f t="shared" si="1"/>
        <v>0.16666666666666666</v>
      </c>
    </row>
    <row r="20" spans="1:10" ht="28.8">
      <c r="A20" s="16">
        <v>19</v>
      </c>
      <c r="B20" s="15" t="s">
        <v>4377</v>
      </c>
      <c r="C20" s="17">
        <v>2025</v>
      </c>
      <c r="D20" s="14" t="s">
        <v>33</v>
      </c>
      <c r="E20" s="15" t="s">
        <v>4379</v>
      </c>
      <c r="F20" s="16">
        <f t="shared" si="0"/>
        <v>2</v>
      </c>
      <c r="G20" s="15" t="s">
        <v>5886</v>
      </c>
      <c r="H20" s="18" t="s">
        <v>4383</v>
      </c>
      <c r="I20" s="19">
        <v>5</v>
      </c>
      <c r="J20" s="20">
        <f t="shared" si="1"/>
        <v>0.4</v>
      </c>
    </row>
    <row r="21" spans="1:10">
      <c r="A21" s="16">
        <v>20</v>
      </c>
      <c r="B21" s="15" t="s">
        <v>3230</v>
      </c>
      <c r="C21" s="17">
        <v>2025</v>
      </c>
      <c r="D21" s="14" t="s">
        <v>33</v>
      </c>
      <c r="E21" s="15" t="s">
        <v>3232</v>
      </c>
      <c r="F21" s="16">
        <f t="shared" si="0"/>
        <v>1</v>
      </c>
      <c r="G21" s="15" t="s">
        <v>3229</v>
      </c>
      <c r="H21" s="18" t="s">
        <v>3237</v>
      </c>
      <c r="I21" s="19">
        <v>4</v>
      </c>
      <c r="J21" s="20">
        <f t="shared" si="1"/>
        <v>0.25</v>
      </c>
    </row>
    <row r="22" spans="1:10" ht="28.8">
      <c r="A22" s="16">
        <v>21</v>
      </c>
      <c r="B22" s="15" t="s">
        <v>2428</v>
      </c>
      <c r="C22" s="17">
        <v>2025</v>
      </c>
      <c r="D22" s="14" t="s">
        <v>33</v>
      </c>
      <c r="E22" s="15" t="s">
        <v>1676</v>
      </c>
      <c r="F22" s="16">
        <f t="shared" si="0"/>
        <v>1</v>
      </c>
      <c r="G22" s="15" t="s">
        <v>1282</v>
      </c>
      <c r="H22" s="18" t="s">
        <v>2431</v>
      </c>
      <c r="I22" s="19">
        <v>7</v>
      </c>
      <c r="J22" s="20">
        <f t="shared" si="1"/>
        <v>0.14285714285714285</v>
      </c>
    </row>
    <row r="23" spans="1:10" ht="28.8">
      <c r="A23" s="16">
        <v>22</v>
      </c>
      <c r="B23" s="15" t="s">
        <v>5529</v>
      </c>
      <c r="C23" s="17">
        <v>2025</v>
      </c>
      <c r="D23" s="14" t="s">
        <v>33</v>
      </c>
      <c r="E23" s="15" t="s">
        <v>5531</v>
      </c>
      <c r="F23" s="16">
        <f t="shared" si="0"/>
        <v>1</v>
      </c>
      <c r="G23" s="15" t="s">
        <v>5233</v>
      </c>
      <c r="H23" s="18" t="s">
        <v>5535</v>
      </c>
      <c r="I23" s="19">
        <v>3</v>
      </c>
      <c r="J23" s="20">
        <f t="shared" si="1"/>
        <v>0.33333333333333331</v>
      </c>
    </row>
    <row r="24" spans="1:10" ht="43.2">
      <c r="A24" s="16">
        <v>23</v>
      </c>
      <c r="B24" s="15" t="s">
        <v>2211</v>
      </c>
      <c r="C24" s="17">
        <v>2025</v>
      </c>
      <c r="D24" s="14" t="s">
        <v>33</v>
      </c>
      <c r="E24" s="15" t="s">
        <v>2213</v>
      </c>
      <c r="F24" s="16">
        <f t="shared" si="0"/>
        <v>1</v>
      </c>
      <c r="G24" s="15" t="s">
        <v>2210</v>
      </c>
      <c r="H24" s="18" t="s">
        <v>2217</v>
      </c>
      <c r="I24" s="19">
        <v>9</v>
      </c>
      <c r="J24" s="20">
        <f t="shared" si="1"/>
        <v>0.1111111111111111</v>
      </c>
    </row>
    <row r="25" spans="1:10">
      <c r="A25" s="16">
        <v>24</v>
      </c>
      <c r="B25" s="15" t="s">
        <v>3435</v>
      </c>
      <c r="C25" s="17">
        <v>2025</v>
      </c>
      <c r="D25" s="14" t="s">
        <v>33</v>
      </c>
      <c r="E25" s="15" t="s">
        <v>2392</v>
      </c>
      <c r="F25" s="16">
        <f t="shared" si="0"/>
        <v>2</v>
      </c>
      <c r="G25" s="15" t="s">
        <v>5887</v>
      </c>
      <c r="H25" s="18" t="s">
        <v>3439</v>
      </c>
      <c r="I25" s="19">
        <v>2</v>
      </c>
      <c r="J25" s="20">
        <f t="shared" si="1"/>
        <v>1</v>
      </c>
    </row>
    <row r="26" spans="1:10" ht="28.8">
      <c r="A26" s="16">
        <v>25</v>
      </c>
      <c r="B26" s="15" t="s">
        <v>4533</v>
      </c>
      <c r="C26" s="17">
        <v>2025</v>
      </c>
      <c r="D26" s="14" t="s">
        <v>33</v>
      </c>
      <c r="E26" s="15" t="s">
        <v>1470</v>
      </c>
      <c r="F26" s="16">
        <f t="shared" si="0"/>
        <v>1</v>
      </c>
      <c r="G26" s="15" t="s">
        <v>3689</v>
      </c>
      <c r="H26" s="18" t="s">
        <v>4535</v>
      </c>
      <c r="I26" s="19">
        <v>9</v>
      </c>
      <c r="J26" s="20">
        <f t="shared" si="1"/>
        <v>0.1111111111111111</v>
      </c>
    </row>
    <row r="27" spans="1:10" ht="43.2">
      <c r="A27" s="16">
        <v>26</v>
      </c>
      <c r="B27" s="15" t="s">
        <v>2490</v>
      </c>
      <c r="C27" s="17">
        <v>2025</v>
      </c>
      <c r="D27" s="14" t="s">
        <v>33</v>
      </c>
      <c r="E27" s="15" t="s">
        <v>1411</v>
      </c>
      <c r="F27" s="16">
        <f t="shared" si="0"/>
        <v>1</v>
      </c>
      <c r="G27" s="15" t="s">
        <v>113</v>
      </c>
      <c r="H27" s="18" t="s">
        <v>2493</v>
      </c>
      <c r="I27" s="19">
        <v>9</v>
      </c>
      <c r="J27" s="20">
        <f t="shared" si="1"/>
        <v>0.1111111111111111</v>
      </c>
    </row>
    <row r="28" spans="1:10">
      <c r="A28" s="16">
        <v>27</v>
      </c>
      <c r="B28" s="15" t="s">
        <v>2554</v>
      </c>
      <c r="C28" s="17">
        <v>2025</v>
      </c>
      <c r="D28" s="14" t="s">
        <v>33</v>
      </c>
      <c r="E28" s="15" t="s">
        <v>2556</v>
      </c>
      <c r="F28" s="16">
        <f t="shared" si="0"/>
        <v>4</v>
      </c>
      <c r="G28" s="15" t="s">
        <v>5888</v>
      </c>
      <c r="H28" s="18" t="s">
        <v>2559</v>
      </c>
      <c r="I28" s="19">
        <v>4</v>
      </c>
      <c r="J28" s="20">
        <f t="shared" si="1"/>
        <v>1</v>
      </c>
    </row>
    <row r="29" spans="1:10">
      <c r="A29" s="16">
        <v>28</v>
      </c>
      <c r="B29" s="15" t="s">
        <v>661</v>
      </c>
      <c r="C29" s="17">
        <v>2025</v>
      </c>
      <c r="D29" s="14" t="s">
        <v>33</v>
      </c>
      <c r="E29" s="15" t="s">
        <v>663</v>
      </c>
      <c r="F29" s="16">
        <f t="shared" si="0"/>
        <v>1</v>
      </c>
      <c r="G29" s="15" t="s">
        <v>22</v>
      </c>
      <c r="H29" s="18" t="s">
        <v>669</v>
      </c>
      <c r="I29" s="19">
        <v>6</v>
      </c>
      <c r="J29" s="20">
        <f t="shared" si="1"/>
        <v>0.16666666666666666</v>
      </c>
    </row>
    <row r="30" spans="1:10" ht="28.8">
      <c r="A30" s="16">
        <v>29</v>
      </c>
      <c r="B30" s="15" t="s">
        <v>3044</v>
      </c>
      <c r="C30" s="17">
        <v>2025</v>
      </c>
      <c r="D30" s="14" t="s">
        <v>33</v>
      </c>
      <c r="E30" s="15" t="s">
        <v>3046</v>
      </c>
      <c r="F30" s="16">
        <f t="shared" si="0"/>
        <v>2</v>
      </c>
      <c r="G30" s="15" t="s">
        <v>5889</v>
      </c>
      <c r="H30" s="18" t="s">
        <v>3052</v>
      </c>
      <c r="I30" s="19">
        <v>2</v>
      </c>
      <c r="J30" s="20">
        <f t="shared" si="1"/>
        <v>1</v>
      </c>
    </row>
    <row r="31" spans="1:10" ht="28.8">
      <c r="A31" s="16">
        <v>30</v>
      </c>
      <c r="B31" s="15" t="s">
        <v>2127</v>
      </c>
      <c r="C31" s="17">
        <v>2025</v>
      </c>
      <c r="D31" s="14" t="s">
        <v>49</v>
      </c>
      <c r="E31" s="15" t="s">
        <v>2129</v>
      </c>
      <c r="F31" s="16">
        <f t="shared" si="0"/>
        <v>1</v>
      </c>
      <c r="G31" s="15" t="s">
        <v>276</v>
      </c>
      <c r="H31" s="18" t="s">
        <v>2132</v>
      </c>
      <c r="I31" s="19">
        <v>12</v>
      </c>
      <c r="J31" s="20">
        <f t="shared" si="1"/>
        <v>8.3333333333333329E-2</v>
      </c>
    </row>
    <row r="32" spans="1:10" ht="28.8">
      <c r="A32" s="16">
        <v>31</v>
      </c>
      <c r="B32" s="15" t="s">
        <v>5292</v>
      </c>
      <c r="C32" s="17">
        <v>2025</v>
      </c>
      <c r="D32" s="14" t="s">
        <v>49</v>
      </c>
      <c r="E32" s="15" t="s">
        <v>4678</v>
      </c>
      <c r="F32" s="16">
        <f t="shared" si="0"/>
        <v>1</v>
      </c>
      <c r="G32" s="15" t="s">
        <v>5098</v>
      </c>
      <c r="H32" s="18" t="s">
        <v>5295</v>
      </c>
      <c r="I32" s="19">
        <v>9</v>
      </c>
      <c r="J32" s="20">
        <f t="shared" si="1"/>
        <v>0.1111111111111111</v>
      </c>
    </row>
    <row r="33" spans="1:10">
      <c r="A33" s="16">
        <v>32</v>
      </c>
      <c r="B33" s="15" t="s">
        <v>4979</v>
      </c>
      <c r="C33" s="17">
        <v>2025</v>
      </c>
      <c r="D33" s="14" t="s">
        <v>33</v>
      </c>
      <c r="E33" s="15" t="s">
        <v>2912</v>
      </c>
      <c r="F33" s="16">
        <f t="shared" si="0"/>
        <v>1</v>
      </c>
      <c r="G33" s="15" t="s">
        <v>3688</v>
      </c>
      <c r="H33" s="18" t="s">
        <v>4982</v>
      </c>
      <c r="I33" s="19">
        <v>4</v>
      </c>
      <c r="J33" s="20">
        <f t="shared" si="1"/>
        <v>0.25</v>
      </c>
    </row>
    <row r="34" spans="1:10" ht="28.8">
      <c r="A34" s="16">
        <v>33</v>
      </c>
      <c r="B34" s="15" t="s">
        <v>4018</v>
      </c>
      <c r="C34" s="17">
        <v>2025</v>
      </c>
      <c r="D34" s="14" t="s">
        <v>49</v>
      </c>
      <c r="E34" s="15" t="s">
        <v>2392</v>
      </c>
      <c r="F34" s="16">
        <f t="shared" si="0"/>
        <v>1</v>
      </c>
      <c r="G34" s="15" t="s">
        <v>4017</v>
      </c>
      <c r="H34" s="18" t="s">
        <v>4021</v>
      </c>
      <c r="I34" s="19">
        <v>1</v>
      </c>
      <c r="J34" s="20">
        <f t="shared" si="1"/>
        <v>1</v>
      </c>
    </row>
    <row r="35" spans="1:10" ht="28.8">
      <c r="A35" s="16">
        <v>34</v>
      </c>
      <c r="B35" s="15" t="s">
        <v>2233</v>
      </c>
      <c r="C35" s="17">
        <v>2025</v>
      </c>
      <c r="D35" s="14" t="s">
        <v>49</v>
      </c>
      <c r="E35" s="15" t="s">
        <v>2235</v>
      </c>
      <c r="F35" s="16">
        <f t="shared" si="0"/>
        <v>2</v>
      </c>
      <c r="G35" s="15" t="s">
        <v>5890</v>
      </c>
      <c r="H35" s="18" t="s">
        <v>2238</v>
      </c>
      <c r="I35" s="19">
        <v>3</v>
      </c>
      <c r="J35" s="20">
        <f t="shared" si="1"/>
        <v>0.66666666666666663</v>
      </c>
    </row>
    <row r="36" spans="1:10" ht="28.8">
      <c r="A36" s="16">
        <v>35</v>
      </c>
      <c r="B36" s="15" t="s">
        <v>3142</v>
      </c>
      <c r="C36" s="17">
        <v>2025</v>
      </c>
      <c r="D36" s="14" t="s">
        <v>33</v>
      </c>
      <c r="E36" s="15" t="s">
        <v>3144</v>
      </c>
      <c r="F36" s="16">
        <f t="shared" si="0"/>
        <v>1</v>
      </c>
      <c r="G36" s="15" t="s">
        <v>3141</v>
      </c>
      <c r="H36" s="18" t="s">
        <v>3147</v>
      </c>
      <c r="I36" s="19">
        <v>5</v>
      </c>
      <c r="J36" s="20">
        <f t="shared" si="1"/>
        <v>0.2</v>
      </c>
    </row>
    <row r="37" spans="1:10" ht="28.8">
      <c r="A37" s="16">
        <v>36</v>
      </c>
      <c r="B37" s="15" t="s">
        <v>2538</v>
      </c>
      <c r="C37" s="17">
        <v>2025</v>
      </c>
      <c r="D37" s="14" t="s">
        <v>33</v>
      </c>
      <c r="E37" s="15" t="s">
        <v>167</v>
      </c>
      <c r="F37" s="16">
        <f t="shared" si="0"/>
        <v>2</v>
      </c>
      <c r="G37" s="15" t="s">
        <v>5891</v>
      </c>
      <c r="H37" s="18" t="s">
        <v>2540</v>
      </c>
      <c r="I37" s="19">
        <v>4</v>
      </c>
      <c r="J37" s="20">
        <f t="shared" si="1"/>
        <v>0.5</v>
      </c>
    </row>
    <row r="38" spans="1:10" ht="28.8">
      <c r="A38" s="16">
        <v>37</v>
      </c>
      <c r="B38" s="15" t="s">
        <v>3483</v>
      </c>
      <c r="C38" s="17">
        <v>2025</v>
      </c>
      <c r="D38" s="14" t="s">
        <v>33</v>
      </c>
      <c r="E38" s="15" t="s">
        <v>167</v>
      </c>
      <c r="F38" s="16">
        <f t="shared" si="0"/>
        <v>1</v>
      </c>
      <c r="G38" s="15" t="s">
        <v>967</v>
      </c>
      <c r="H38" s="18" t="s">
        <v>3485</v>
      </c>
      <c r="I38" s="19">
        <v>4</v>
      </c>
      <c r="J38" s="20">
        <f t="shared" si="1"/>
        <v>0.25</v>
      </c>
    </row>
    <row r="39" spans="1:10" ht="43.2">
      <c r="A39" s="16">
        <v>38</v>
      </c>
      <c r="B39" s="15" t="s">
        <v>5678</v>
      </c>
      <c r="C39" s="17">
        <v>2025</v>
      </c>
      <c r="D39" s="14" t="s">
        <v>33</v>
      </c>
      <c r="E39" s="15" t="s">
        <v>5680</v>
      </c>
      <c r="F39" s="16">
        <f t="shared" si="0"/>
        <v>1</v>
      </c>
      <c r="G39" s="15" t="s">
        <v>622</v>
      </c>
      <c r="H39" s="18" t="s">
        <v>5685</v>
      </c>
      <c r="I39" s="19">
        <v>6</v>
      </c>
      <c r="J39" s="20">
        <f t="shared" si="1"/>
        <v>0.16666666666666666</v>
      </c>
    </row>
    <row r="40" spans="1:10">
      <c r="A40" s="16">
        <v>39</v>
      </c>
      <c r="B40" s="15" t="s">
        <v>4191</v>
      </c>
      <c r="C40" s="17">
        <v>2025</v>
      </c>
      <c r="D40" s="14" t="s">
        <v>33</v>
      </c>
      <c r="E40" s="15" t="s">
        <v>2419</v>
      </c>
      <c r="F40" s="16">
        <f t="shared" si="0"/>
        <v>1</v>
      </c>
      <c r="G40" s="15" t="s">
        <v>4190</v>
      </c>
      <c r="H40" s="18" t="s">
        <v>4195</v>
      </c>
      <c r="I40" s="19">
        <v>3</v>
      </c>
      <c r="J40" s="20">
        <f t="shared" si="1"/>
        <v>0.33333333333333331</v>
      </c>
    </row>
    <row r="41" spans="1:10" ht="28.8">
      <c r="A41" s="16">
        <v>40</v>
      </c>
      <c r="B41" s="15" t="s">
        <v>5028</v>
      </c>
      <c r="C41" s="17">
        <v>2025</v>
      </c>
      <c r="D41" s="14" t="s">
        <v>49</v>
      </c>
      <c r="E41" s="15" t="s">
        <v>2392</v>
      </c>
      <c r="F41" s="16">
        <f t="shared" si="0"/>
        <v>1</v>
      </c>
      <c r="G41" s="15" t="s">
        <v>5027</v>
      </c>
      <c r="H41" s="18" t="s">
        <v>5031</v>
      </c>
      <c r="I41" s="19">
        <v>4</v>
      </c>
      <c r="J41" s="20">
        <f t="shared" si="1"/>
        <v>0.25</v>
      </c>
    </row>
    <row r="42" spans="1:10" ht="28.8">
      <c r="A42" s="16">
        <v>41</v>
      </c>
      <c r="B42" s="15" t="s">
        <v>700</v>
      </c>
      <c r="C42" s="17">
        <v>2025</v>
      </c>
      <c r="D42" s="14" t="s">
        <v>33</v>
      </c>
      <c r="E42" s="15" t="s">
        <v>702</v>
      </c>
      <c r="F42" s="16">
        <f t="shared" si="0"/>
        <v>2</v>
      </c>
      <c r="G42" s="15" t="s">
        <v>5892</v>
      </c>
      <c r="H42" s="18" t="s">
        <v>706</v>
      </c>
      <c r="I42" s="19">
        <v>68</v>
      </c>
      <c r="J42" s="20">
        <f t="shared" si="1"/>
        <v>2.9411764705882353E-2</v>
      </c>
    </row>
    <row r="43" spans="1:10" ht="28.8">
      <c r="A43" s="16">
        <v>42</v>
      </c>
      <c r="B43" s="15" t="s">
        <v>3939</v>
      </c>
      <c r="C43" s="17">
        <v>2025</v>
      </c>
      <c r="D43" s="14" t="s">
        <v>33</v>
      </c>
      <c r="E43" s="15" t="s">
        <v>2392</v>
      </c>
      <c r="F43" s="16">
        <f t="shared" si="0"/>
        <v>6</v>
      </c>
      <c r="G43" s="15" t="s">
        <v>5893</v>
      </c>
      <c r="H43" s="18" t="s">
        <v>3942</v>
      </c>
      <c r="I43" s="19">
        <v>6</v>
      </c>
      <c r="J43" s="20">
        <f t="shared" si="1"/>
        <v>1</v>
      </c>
    </row>
    <row r="44" spans="1:10">
      <c r="A44" s="16">
        <v>43</v>
      </c>
      <c r="B44" s="15" t="s">
        <v>4790</v>
      </c>
      <c r="C44" s="17">
        <v>2025</v>
      </c>
      <c r="D44" s="14" t="s">
        <v>33</v>
      </c>
      <c r="E44" s="15" t="s">
        <v>4792</v>
      </c>
      <c r="F44" s="16">
        <f t="shared" si="0"/>
        <v>1</v>
      </c>
      <c r="G44" s="15" t="s">
        <v>4789</v>
      </c>
      <c r="H44" s="18" t="s">
        <v>4797</v>
      </c>
      <c r="I44" s="19">
        <v>4</v>
      </c>
      <c r="J44" s="20">
        <f t="shared" si="1"/>
        <v>0.25</v>
      </c>
    </row>
    <row r="45" spans="1:10">
      <c r="A45" s="16">
        <v>44</v>
      </c>
      <c r="B45" s="15" t="s">
        <v>4293</v>
      </c>
      <c r="C45" s="17">
        <v>2025</v>
      </c>
      <c r="D45" s="14" t="s">
        <v>644</v>
      </c>
      <c r="E45" s="15" t="s">
        <v>2392</v>
      </c>
      <c r="F45" s="16">
        <f t="shared" si="0"/>
        <v>2</v>
      </c>
      <c r="G45" s="15" t="s">
        <v>5894</v>
      </c>
      <c r="H45" s="18" t="s">
        <v>4296</v>
      </c>
      <c r="I45" s="19">
        <v>2</v>
      </c>
      <c r="J45" s="20">
        <f t="shared" si="1"/>
        <v>1</v>
      </c>
    </row>
    <row r="46" spans="1:10" ht="28.8">
      <c r="A46" s="16">
        <v>45</v>
      </c>
      <c r="B46" s="15" t="s">
        <v>2653</v>
      </c>
      <c r="C46" s="17">
        <v>2025</v>
      </c>
      <c r="D46" s="14" t="s">
        <v>33</v>
      </c>
      <c r="E46" s="15" t="s">
        <v>2655</v>
      </c>
      <c r="F46" s="16">
        <f t="shared" si="0"/>
        <v>1</v>
      </c>
      <c r="G46" s="15" t="s">
        <v>39</v>
      </c>
      <c r="H46" s="18" t="s">
        <v>2658</v>
      </c>
      <c r="I46" s="19">
        <v>7</v>
      </c>
      <c r="J46" s="20">
        <f t="shared" si="1"/>
        <v>0.14285714285714285</v>
      </c>
    </row>
    <row r="47" spans="1:10">
      <c r="A47" s="16">
        <v>46</v>
      </c>
      <c r="B47" s="15" t="s">
        <v>5492</v>
      </c>
      <c r="C47" s="17">
        <v>2025</v>
      </c>
      <c r="D47" s="14" t="s">
        <v>33</v>
      </c>
      <c r="E47" s="15" t="s">
        <v>3883</v>
      </c>
      <c r="F47" s="16">
        <f t="shared" si="0"/>
        <v>2</v>
      </c>
      <c r="G47" s="15" t="s">
        <v>5895</v>
      </c>
      <c r="H47" s="15" t="s">
        <v>43</v>
      </c>
      <c r="I47" s="19">
        <v>3</v>
      </c>
      <c r="J47" s="20">
        <f t="shared" si="1"/>
        <v>0.66666666666666663</v>
      </c>
    </row>
    <row r="48" spans="1:10" ht="43.2">
      <c r="A48" s="16">
        <v>47</v>
      </c>
      <c r="B48" s="15" t="s">
        <v>4757</v>
      </c>
      <c r="C48" s="17">
        <v>2025</v>
      </c>
      <c r="D48" s="14" t="s">
        <v>33</v>
      </c>
      <c r="E48" s="15" t="s">
        <v>4759</v>
      </c>
      <c r="F48" s="16">
        <f t="shared" si="0"/>
        <v>1</v>
      </c>
      <c r="G48" s="15" t="s">
        <v>4756</v>
      </c>
      <c r="H48" s="18" t="s">
        <v>4764</v>
      </c>
      <c r="I48" s="19">
        <v>1</v>
      </c>
      <c r="J48" s="20">
        <f t="shared" si="1"/>
        <v>1</v>
      </c>
    </row>
    <row r="49" spans="1:10">
      <c r="A49" s="16">
        <v>48</v>
      </c>
      <c r="B49" s="15" t="s">
        <v>5371</v>
      </c>
      <c r="C49" s="17">
        <v>2025</v>
      </c>
      <c r="D49" s="14" t="s">
        <v>33</v>
      </c>
      <c r="E49" s="15" t="s">
        <v>5373</v>
      </c>
      <c r="F49" s="16">
        <f t="shared" si="0"/>
        <v>1</v>
      </c>
      <c r="G49" s="15" t="s">
        <v>2763</v>
      </c>
      <c r="H49" s="18" t="s">
        <v>5377</v>
      </c>
      <c r="I49" s="19">
        <v>2</v>
      </c>
      <c r="J49" s="20">
        <f t="shared" si="1"/>
        <v>0.5</v>
      </c>
    </row>
    <row r="50" spans="1:10" ht="28.8">
      <c r="A50" s="16">
        <v>49</v>
      </c>
      <c r="B50" s="15" t="s">
        <v>2715</v>
      </c>
      <c r="C50" s="17">
        <v>2025</v>
      </c>
      <c r="D50" s="14" t="s">
        <v>33</v>
      </c>
      <c r="E50" s="15" t="s">
        <v>2717</v>
      </c>
      <c r="F50" s="16">
        <f t="shared" si="0"/>
        <v>2</v>
      </c>
      <c r="G50" s="15" t="s">
        <v>5896</v>
      </c>
      <c r="H50" s="18" t="s">
        <v>2721</v>
      </c>
      <c r="I50" s="19">
        <v>5</v>
      </c>
      <c r="J50" s="20">
        <f t="shared" si="1"/>
        <v>0.4</v>
      </c>
    </row>
    <row r="51" spans="1:10" ht="28.8">
      <c r="A51" s="16">
        <v>50</v>
      </c>
      <c r="B51" s="15" t="s">
        <v>5743</v>
      </c>
      <c r="C51" s="17">
        <v>2025</v>
      </c>
      <c r="D51" s="14" t="s">
        <v>49</v>
      </c>
      <c r="E51" s="15" t="s">
        <v>5745</v>
      </c>
      <c r="F51" s="16">
        <f t="shared" si="0"/>
        <v>1</v>
      </c>
      <c r="G51" s="15" t="s">
        <v>5742</v>
      </c>
      <c r="H51" s="18" t="s">
        <v>5748</v>
      </c>
      <c r="I51" s="19">
        <v>3</v>
      </c>
      <c r="J51" s="20">
        <f t="shared" si="1"/>
        <v>0.33333333333333331</v>
      </c>
    </row>
    <row r="52" spans="1:10" ht="28.8">
      <c r="A52" s="16">
        <v>51</v>
      </c>
      <c r="B52" s="15" t="s">
        <v>1014</v>
      </c>
      <c r="C52" s="17">
        <v>2025</v>
      </c>
      <c r="D52" s="14" t="s">
        <v>49</v>
      </c>
      <c r="E52" s="15" t="s">
        <v>731</v>
      </c>
      <c r="F52" s="16">
        <f t="shared" si="0"/>
        <v>2</v>
      </c>
      <c r="G52" s="15" t="s">
        <v>5897</v>
      </c>
      <c r="H52" s="18" t="s">
        <v>1018</v>
      </c>
      <c r="I52" s="19">
        <v>8</v>
      </c>
      <c r="J52" s="20">
        <f t="shared" si="1"/>
        <v>0.25</v>
      </c>
    </row>
    <row r="53" spans="1:10">
      <c r="A53" s="16">
        <v>52</v>
      </c>
      <c r="B53" s="15" t="s">
        <v>2835</v>
      </c>
      <c r="C53" s="17">
        <v>2025</v>
      </c>
      <c r="D53" s="14" t="s">
        <v>33</v>
      </c>
      <c r="E53" s="15" t="s">
        <v>2837</v>
      </c>
      <c r="F53" s="16">
        <f t="shared" si="0"/>
        <v>1</v>
      </c>
      <c r="G53" s="15" t="s">
        <v>1282</v>
      </c>
      <c r="H53" s="18" t="s">
        <v>2840</v>
      </c>
      <c r="I53" s="19">
        <v>7</v>
      </c>
      <c r="J53" s="20">
        <f t="shared" si="1"/>
        <v>0.14285714285714285</v>
      </c>
    </row>
    <row r="54" spans="1:10" ht="28.8">
      <c r="A54" s="16">
        <v>53</v>
      </c>
      <c r="B54" s="15" t="s">
        <v>5286</v>
      </c>
      <c r="C54" s="17">
        <v>2025</v>
      </c>
      <c r="D54" s="14" t="s">
        <v>33</v>
      </c>
      <c r="E54" s="15" t="s">
        <v>5288</v>
      </c>
      <c r="F54" s="16">
        <f t="shared" si="0"/>
        <v>1</v>
      </c>
      <c r="G54" s="15" t="s">
        <v>3280</v>
      </c>
      <c r="H54" s="18" t="s">
        <v>5290</v>
      </c>
      <c r="I54" s="19">
        <v>3</v>
      </c>
      <c r="J54" s="20">
        <f t="shared" si="1"/>
        <v>0.33333333333333331</v>
      </c>
    </row>
    <row r="55" spans="1:10">
      <c r="A55" s="16">
        <v>54</v>
      </c>
      <c r="B55" s="15" t="s">
        <v>1496</v>
      </c>
      <c r="C55" s="17">
        <v>2025</v>
      </c>
      <c r="D55" s="14" t="s">
        <v>49</v>
      </c>
      <c r="E55" s="15" t="s">
        <v>1498</v>
      </c>
      <c r="F55" s="16">
        <f t="shared" si="0"/>
        <v>1</v>
      </c>
      <c r="G55" s="15" t="s">
        <v>39</v>
      </c>
      <c r="H55" s="18" t="s">
        <v>1502</v>
      </c>
      <c r="I55" s="19">
        <v>3</v>
      </c>
      <c r="J55" s="20">
        <f t="shared" si="1"/>
        <v>0.33333333333333331</v>
      </c>
    </row>
    <row r="56" spans="1:10">
      <c r="A56" s="16">
        <v>55</v>
      </c>
      <c r="B56" s="15" t="s">
        <v>5630</v>
      </c>
      <c r="C56" s="17">
        <v>2025</v>
      </c>
      <c r="D56" s="14" t="s">
        <v>33</v>
      </c>
      <c r="E56" s="15" t="s">
        <v>2392</v>
      </c>
      <c r="F56" s="16">
        <f t="shared" si="0"/>
        <v>4</v>
      </c>
      <c r="G56" s="15" t="s">
        <v>5898</v>
      </c>
      <c r="H56" s="18" t="s">
        <v>5632</v>
      </c>
      <c r="I56" s="19">
        <v>5</v>
      </c>
      <c r="J56" s="20">
        <f t="shared" si="1"/>
        <v>0.8</v>
      </c>
    </row>
    <row r="57" spans="1:10" ht="28.8">
      <c r="A57" s="16">
        <v>56</v>
      </c>
      <c r="B57" s="15" t="s">
        <v>1656</v>
      </c>
      <c r="C57" s="17">
        <v>2025</v>
      </c>
      <c r="D57" s="14" t="s">
        <v>33</v>
      </c>
      <c r="E57" s="15" t="s">
        <v>1132</v>
      </c>
      <c r="F57" s="16">
        <f t="shared" si="0"/>
        <v>1</v>
      </c>
      <c r="G57" s="15" t="s">
        <v>178</v>
      </c>
      <c r="H57" s="18" t="s">
        <v>1659</v>
      </c>
      <c r="I57" s="19">
        <v>3</v>
      </c>
      <c r="J57" s="20">
        <f t="shared" si="1"/>
        <v>0.33333333333333331</v>
      </c>
    </row>
    <row r="58" spans="1:10" ht="28.8">
      <c r="A58" s="16">
        <v>57</v>
      </c>
      <c r="B58" s="15" t="s">
        <v>922</v>
      </c>
      <c r="C58" s="17">
        <v>2025</v>
      </c>
      <c r="D58" s="14" t="s">
        <v>33</v>
      </c>
      <c r="E58" s="15" t="s">
        <v>924</v>
      </c>
      <c r="F58" s="16">
        <f t="shared" si="0"/>
        <v>1</v>
      </c>
      <c r="G58" s="15" t="s">
        <v>921</v>
      </c>
      <c r="H58" s="18" t="s">
        <v>928</v>
      </c>
      <c r="I58" s="19">
        <v>17</v>
      </c>
      <c r="J58" s="20">
        <f t="shared" si="1"/>
        <v>5.8823529411764705E-2</v>
      </c>
    </row>
    <row r="59" spans="1:10">
      <c r="A59" s="16">
        <v>58</v>
      </c>
      <c r="B59" s="15" t="s">
        <v>2350</v>
      </c>
      <c r="C59" s="17">
        <v>2025</v>
      </c>
      <c r="D59" s="14" t="s">
        <v>33</v>
      </c>
      <c r="E59" s="15" t="s">
        <v>889</v>
      </c>
      <c r="F59" s="16">
        <f t="shared" si="0"/>
        <v>1</v>
      </c>
      <c r="G59" s="15" t="s">
        <v>385</v>
      </c>
      <c r="H59" s="18" t="s">
        <v>2352</v>
      </c>
      <c r="I59" s="19">
        <v>15</v>
      </c>
      <c r="J59" s="20">
        <f t="shared" si="1"/>
        <v>6.6666666666666666E-2</v>
      </c>
    </row>
    <row r="60" spans="1:10">
      <c r="A60" s="16">
        <v>59</v>
      </c>
      <c r="B60" s="15" t="s">
        <v>5330</v>
      </c>
      <c r="C60" s="17">
        <v>2025</v>
      </c>
      <c r="D60" s="14" t="s">
        <v>33</v>
      </c>
      <c r="E60" s="15" t="s">
        <v>3413</v>
      </c>
      <c r="F60" s="16">
        <f t="shared" si="0"/>
        <v>1</v>
      </c>
      <c r="G60" s="15" t="s">
        <v>5199</v>
      </c>
      <c r="H60" s="18" t="s">
        <v>5332</v>
      </c>
      <c r="I60" s="19">
        <v>1</v>
      </c>
      <c r="J60" s="20">
        <f t="shared" si="1"/>
        <v>1</v>
      </c>
    </row>
    <row r="61" spans="1:10" ht="28.8">
      <c r="A61" s="16">
        <v>60</v>
      </c>
      <c r="B61" s="15" t="s">
        <v>4972</v>
      </c>
      <c r="C61" s="17">
        <v>2025</v>
      </c>
      <c r="D61" s="14" t="s">
        <v>33</v>
      </c>
      <c r="E61" s="15" t="s">
        <v>4974</v>
      </c>
      <c r="F61" s="16">
        <f t="shared" si="0"/>
        <v>1</v>
      </c>
      <c r="G61" s="15" t="s">
        <v>4971</v>
      </c>
      <c r="H61" s="18" t="s">
        <v>4976</v>
      </c>
      <c r="I61" s="19">
        <v>2</v>
      </c>
      <c r="J61" s="20">
        <f t="shared" si="1"/>
        <v>0.5</v>
      </c>
    </row>
    <row r="62" spans="1:10" ht="28.8">
      <c r="A62" s="16">
        <v>61</v>
      </c>
      <c r="B62" s="15" t="s">
        <v>4364</v>
      </c>
      <c r="C62" s="17">
        <v>2025</v>
      </c>
      <c r="D62" s="14" t="s">
        <v>33</v>
      </c>
      <c r="E62" s="15" t="s">
        <v>4366</v>
      </c>
      <c r="F62" s="16">
        <f t="shared" si="0"/>
        <v>1</v>
      </c>
      <c r="G62" s="15" t="s">
        <v>3365</v>
      </c>
      <c r="H62" s="18" t="s">
        <v>4370</v>
      </c>
      <c r="I62" s="19">
        <v>12</v>
      </c>
      <c r="J62" s="20">
        <f t="shared" si="1"/>
        <v>8.3333333333333329E-2</v>
      </c>
    </row>
    <row r="63" spans="1:10" ht="28.8">
      <c r="A63" s="16">
        <v>62</v>
      </c>
      <c r="B63" s="15" t="s">
        <v>968</v>
      </c>
      <c r="C63" s="17">
        <v>2025</v>
      </c>
      <c r="D63" s="14" t="s">
        <v>49</v>
      </c>
      <c r="E63" s="15" t="s">
        <v>73</v>
      </c>
      <c r="F63" s="16">
        <f t="shared" si="0"/>
        <v>3</v>
      </c>
      <c r="G63" s="15" t="s">
        <v>5899</v>
      </c>
      <c r="H63" s="18" t="s">
        <v>970</v>
      </c>
      <c r="I63" s="19">
        <v>5</v>
      </c>
      <c r="J63" s="20">
        <f t="shared" si="1"/>
        <v>0.6</v>
      </c>
    </row>
    <row r="64" spans="1:10" ht="28.8">
      <c r="A64" s="16">
        <v>63</v>
      </c>
      <c r="B64" s="15" t="s">
        <v>4095</v>
      </c>
      <c r="C64" s="17">
        <v>2025</v>
      </c>
      <c r="D64" s="14" t="s">
        <v>33</v>
      </c>
      <c r="E64" s="15" t="s">
        <v>2392</v>
      </c>
      <c r="F64" s="16">
        <f t="shared" si="0"/>
        <v>3</v>
      </c>
      <c r="G64" s="15" t="s">
        <v>5900</v>
      </c>
      <c r="H64" s="18" t="s">
        <v>4098</v>
      </c>
      <c r="I64" s="19">
        <v>3</v>
      </c>
      <c r="J64" s="20">
        <f t="shared" si="1"/>
        <v>1</v>
      </c>
    </row>
    <row r="65" spans="1:10" ht="28.8">
      <c r="A65" s="16">
        <v>64</v>
      </c>
      <c r="B65" s="15" t="s">
        <v>2323</v>
      </c>
      <c r="C65" s="17">
        <v>2025</v>
      </c>
      <c r="D65" s="14" t="s">
        <v>33</v>
      </c>
      <c r="E65" s="15" t="s">
        <v>2325</v>
      </c>
      <c r="F65" s="16">
        <f t="shared" si="0"/>
        <v>1</v>
      </c>
      <c r="G65" s="15" t="s">
        <v>2322</v>
      </c>
      <c r="H65" s="18" t="s">
        <v>2329</v>
      </c>
      <c r="I65" s="19">
        <v>8</v>
      </c>
      <c r="J65" s="20">
        <f t="shared" si="1"/>
        <v>0.125</v>
      </c>
    </row>
    <row r="66" spans="1:10" ht="28.8">
      <c r="A66" s="16">
        <v>65</v>
      </c>
      <c r="B66" s="15" t="s">
        <v>2334</v>
      </c>
      <c r="C66" s="17">
        <v>2025</v>
      </c>
      <c r="D66" s="14" t="s">
        <v>49</v>
      </c>
      <c r="E66" s="15" t="s">
        <v>1470</v>
      </c>
      <c r="F66" s="16">
        <f t="shared" ref="F66:F129" si="2">IF($G66="",0,LEN($G66)-LEN(SUBSTITUTE($G66,"|",""))+1)</f>
        <v>1</v>
      </c>
      <c r="G66" s="15" t="s">
        <v>276</v>
      </c>
      <c r="H66" s="18" t="s">
        <v>2337</v>
      </c>
      <c r="I66" s="19">
        <v>13</v>
      </c>
      <c r="J66" s="20">
        <f t="shared" ref="J66:J129" si="3">IFERROR(F66/I66,"")</f>
        <v>7.6923076923076927E-2</v>
      </c>
    </row>
    <row r="67" spans="1:10">
      <c r="A67" s="16">
        <v>66</v>
      </c>
      <c r="B67" s="15" t="s">
        <v>4023</v>
      </c>
      <c r="C67" s="17">
        <v>2025</v>
      </c>
      <c r="D67" s="14" t="s">
        <v>644</v>
      </c>
      <c r="E67" s="15" t="s">
        <v>3046</v>
      </c>
      <c r="F67" s="16">
        <f t="shared" si="2"/>
        <v>1</v>
      </c>
      <c r="G67" s="15" t="s">
        <v>635</v>
      </c>
      <c r="H67" s="18" t="s">
        <v>4026</v>
      </c>
      <c r="I67" s="19">
        <v>3</v>
      </c>
      <c r="J67" s="20">
        <f t="shared" si="3"/>
        <v>0.33333333333333331</v>
      </c>
    </row>
    <row r="68" spans="1:10">
      <c r="A68" s="16">
        <v>67</v>
      </c>
      <c r="B68" s="15" t="s">
        <v>5415</v>
      </c>
      <c r="C68" s="17">
        <v>2025</v>
      </c>
      <c r="D68" s="14" t="s">
        <v>33</v>
      </c>
      <c r="E68" s="15" t="s">
        <v>1323</v>
      </c>
      <c r="F68" s="16">
        <f t="shared" si="2"/>
        <v>1</v>
      </c>
      <c r="G68" s="15" t="s">
        <v>5414</v>
      </c>
      <c r="H68" s="18" t="s">
        <v>5419</v>
      </c>
      <c r="I68" s="19">
        <v>5</v>
      </c>
      <c r="J68" s="20">
        <f t="shared" si="3"/>
        <v>0.2</v>
      </c>
    </row>
    <row r="69" spans="1:10" ht="28.8">
      <c r="A69" s="16">
        <v>68</v>
      </c>
      <c r="B69" s="15" t="s">
        <v>4272</v>
      </c>
      <c r="C69" s="17">
        <v>2025</v>
      </c>
      <c r="D69" s="14" t="s">
        <v>33</v>
      </c>
      <c r="E69" s="15" t="s">
        <v>4274</v>
      </c>
      <c r="F69" s="16">
        <f t="shared" si="2"/>
        <v>1</v>
      </c>
      <c r="G69" s="15" t="s">
        <v>200</v>
      </c>
      <c r="H69" s="18" t="s">
        <v>4277</v>
      </c>
      <c r="I69" s="19">
        <v>9</v>
      </c>
      <c r="J69" s="20">
        <f t="shared" si="3"/>
        <v>0.1111111111111111</v>
      </c>
    </row>
    <row r="70" spans="1:10" ht="28.8">
      <c r="A70" s="16">
        <v>69</v>
      </c>
      <c r="B70" s="15" t="s">
        <v>1896</v>
      </c>
      <c r="C70" s="17">
        <v>2025</v>
      </c>
      <c r="D70" s="14" t="s">
        <v>33</v>
      </c>
      <c r="E70" s="15" t="s">
        <v>1898</v>
      </c>
      <c r="F70" s="16">
        <f t="shared" si="2"/>
        <v>3</v>
      </c>
      <c r="G70" s="15" t="s">
        <v>5901</v>
      </c>
      <c r="H70" s="18" t="s">
        <v>1902</v>
      </c>
      <c r="I70" s="19">
        <v>12</v>
      </c>
      <c r="J70" s="20">
        <f t="shared" si="3"/>
        <v>0.25</v>
      </c>
    </row>
    <row r="71" spans="1:10" ht="28.8">
      <c r="A71" s="16">
        <v>70</v>
      </c>
      <c r="B71" s="15" t="s">
        <v>552</v>
      </c>
      <c r="C71" s="17">
        <v>2025</v>
      </c>
      <c r="D71" s="14" t="s">
        <v>49</v>
      </c>
      <c r="E71" s="15" t="s">
        <v>73</v>
      </c>
      <c r="F71" s="16">
        <f t="shared" si="2"/>
        <v>1</v>
      </c>
      <c r="G71" s="15" t="s">
        <v>276</v>
      </c>
      <c r="H71" s="18" t="s">
        <v>554</v>
      </c>
      <c r="I71" s="19">
        <v>14</v>
      </c>
      <c r="J71" s="20">
        <f t="shared" si="3"/>
        <v>7.1428571428571425E-2</v>
      </c>
    </row>
    <row r="72" spans="1:10" ht="28.8">
      <c r="A72" s="16">
        <v>71</v>
      </c>
      <c r="B72" s="15" t="s">
        <v>3197</v>
      </c>
      <c r="C72" s="17">
        <v>2025</v>
      </c>
      <c r="D72" s="14" t="s">
        <v>33</v>
      </c>
      <c r="E72" s="15" t="s">
        <v>3199</v>
      </c>
      <c r="F72" s="16">
        <f t="shared" si="2"/>
        <v>1</v>
      </c>
      <c r="G72" s="15" t="s">
        <v>3196</v>
      </c>
      <c r="H72" s="18" t="s">
        <v>3205</v>
      </c>
      <c r="I72" s="19">
        <v>5</v>
      </c>
      <c r="J72" s="20">
        <f t="shared" si="3"/>
        <v>0.2</v>
      </c>
    </row>
    <row r="73" spans="1:10">
      <c r="A73" s="16">
        <v>72</v>
      </c>
      <c r="B73" s="15" t="s">
        <v>5783</v>
      </c>
      <c r="C73" s="17">
        <v>2025</v>
      </c>
      <c r="D73" s="14" t="s">
        <v>2904</v>
      </c>
      <c r="E73" s="15" t="s">
        <v>5785</v>
      </c>
      <c r="F73" s="16">
        <f t="shared" si="2"/>
        <v>1</v>
      </c>
      <c r="G73" s="15" t="s">
        <v>5304</v>
      </c>
      <c r="H73" s="15" t="s">
        <v>43</v>
      </c>
      <c r="I73" s="19">
        <v>1</v>
      </c>
      <c r="J73" s="20">
        <f t="shared" si="3"/>
        <v>1</v>
      </c>
    </row>
    <row r="74" spans="1:10">
      <c r="A74" s="16">
        <v>73</v>
      </c>
      <c r="B74" s="15" t="s">
        <v>3774</v>
      </c>
      <c r="C74" s="17">
        <v>2025</v>
      </c>
      <c r="D74" s="14" t="s">
        <v>33</v>
      </c>
      <c r="E74" s="15" t="s">
        <v>743</v>
      </c>
      <c r="F74" s="16">
        <f t="shared" si="2"/>
        <v>1</v>
      </c>
      <c r="G74" s="15" t="s">
        <v>1012</v>
      </c>
      <c r="H74" s="18" t="s">
        <v>3776</v>
      </c>
      <c r="I74" s="19">
        <v>6</v>
      </c>
      <c r="J74" s="20">
        <f t="shared" si="3"/>
        <v>0.16666666666666666</v>
      </c>
    </row>
    <row r="75" spans="1:10" ht="43.2">
      <c r="A75" s="16">
        <v>74</v>
      </c>
      <c r="B75" s="15" t="s">
        <v>4527</v>
      </c>
      <c r="C75" s="17">
        <v>2025</v>
      </c>
      <c r="D75" s="14" t="s">
        <v>3843</v>
      </c>
      <c r="E75" s="15" t="s">
        <v>1304</v>
      </c>
      <c r="F75" s="16">
        <f t="shared" si="2"/>
        <v>4</v>
      </c>
      <c r="G75" s="15" t="s">
        <v>5902</v>
      </c>
      <c r="H75" s="18" t="s">
        <v>4529</v>
      </c>
      <c r="I75" s="19">
        <v>6</v>
      </c>
      <c r="J75" s="20">
        <f t="shared" si="3"/>
        <v>0.66666666666666663</v>
      </c>
    </row>
    <row r="76" spans="1:10" ht="28.8">
      <c r="A76" s="16">
        <v>75</v>
      </c>
      <c r="B76" s="15" t="s">
        <v>4778</v>
      </c>
      <c r="C76" s="17">
        <v>2025</v>
      </c>
      <c r="D76" s="14" t="s">
        <v>33</v>
      </c>
      <c r="E76" s="15" t="s">
        <v>4780</v>
      </c>
      <c r="F76" s="16">
        <f t="shared" si="2"/>
        <v>1</v>
      </c>
      <c r="G76" s="15" t="s">
        <v>4300</v>
      </c>
      <c r="H76" s="18" t="s">
        <v>4783</v>
      </c>
      <c r="I76" s="19">
        <v>6</v>
      </c>
      <c r="J76" s="20">
        <f t="shared" si="3"/>
        <v>0.16666666666666666</v>
      </c>
    </row>
    <row r="77" spans="1:10" ht="43.2">
      <c r="A77" s="16">
        <v>76</v>
      </c>
      <c r="B77" s="15" t="s">
        <v>4118</v>
      </c>
      <c r="C77" s="17">
        <v>2025</v>
      </c>
      <c r="D77" s="14" t="s">
        <v>644</v>
      </c>
      <c r="E77" s="15" t="s">
        <v>1676</v>
      </c>
      <c r="F77" s="16">
        <f t="shared" si="2"/>
        <v>3</v>
      </c>
      <c r="G77" s="15" t="s">
        <v>5903</v>
      </c>
      <c r="H77" s="18" t="s">
        <v>4121</v>
      </c>
      <c r="I77" s="19">
        <v>7</v>
      </c>
      <c r="J77" s="20">
        <f t="shared" si="3"/>
        <v>0.42857142857142855</v>
      </c>
    </row>
    <row r="78" spans="1:10" ht="28.8">
      <c r="A78" s="16">
        <v>77</v>
      </c>
      <c r="B78" s="15" t="s">
        <v>3167</v>
      </c>
      <c r="C78" s="17">
        <v>2025</v>
      </c>
      <c r="D78" s="14" t="s">
        <v>644</v>
      </c>
      <c r="E78" s="15" t="s">
        <v>3169</v>
      </c>
      <c r="F78" s="16">
        <f t="shared" si="2"/>
        <v>1</v>
      </c>
      <c r="G78" s="15" t="s">
        <v>635</v>
      </c>
      <c r="H78" s="18" t="s">
        <v>3171</v>
      </c>
      <c r="I78" s="19">
        <v>4</v>
      </c>
      <c r="J78" s="20">
        <f t="shared" si="3"/>
        <v>0.25</v>
      </c>
    </row>
    <row r="79" spans="1:10" ht="28.8">
      <c r="A79" s="16">
        <v>78</v>
      </c>
      <c r="B79" s="15" t="s">
        <v>1091</v>
      </c>
      <c r="C79" s="17">
        <v>2025</v>
      </c>
      <c r="D79" s="14" t="s">
        <v>49</v>
      </c>
      <c r="E79" s="15" t="s">
        <v>889</v>
      </c>
      <c r="F79" s="16">
        <f t="shared" si="2"/>
        <v>1</v>
      </c>
      <c r="G79" s="15" t="s">
        <v>83</v>
      </c>
      <c r="H79" s="18" t="s">
        <v>1094</v>
      </c>
      <c r="I79" s="19">
        <v>3</v>
      </c>
      <c r="J79" s="20">
        <f t="shared" si="3"/>
        <v>0.33333333333333331</v>
      </c>
    </row>
    <row r="80" spans="1:10" ht="28.8">
      <c r="A80" s="16">
        <v>79</v>
      </c>
      <c r="B80" s="15" t="s">
        <v>1587</v>
      </c>
      <c r="C80" s="17">
        <v>2025</v>
      </c>
      <c r="D80" s="14" t="s">
        <v>33</v>
      </c>
      <c r="E80" s="15" t="s">
        <v>676</v>
      </c>
      <c r="F80" s="16">
        <f t="shared" si="2"/>
        <v>2</v>
      </c>
      <c r="G80" s="15" t="s">
        <v>5904</v>
      </c>
      <c r="H80" s="18" t="s">
        <v>1590</v>
      </c>
      <c r="I80" s="19">
        <v>5</v>
      </c>
      <c r="J80" s="20">
        <f t="shared" si="3"/>
        <v>0.4</v>
      </c>
    </row>
    <row r="81" spans="1:10" ht="28.8">
      <c r="A81" s="16">
        <v>80</v>
      </c>
      <c r="B81" s="15" t="s">
        <v>1697</v>
      </c>
      <c r="C81" s="17">
        <v>2025</v>
      </c>
      <c r="D81" s="14" t="s">
        <v>33</v>
      </c>
      <c r="E81" s="15" t="s">
        <v>357</v>
      </c>
      <c r="F81" s="16">
        <f t="shared" si="2"/>
        <v>1</v>
      </c>
      <c r="G81" s="15" t="s">
        <v>22</v>
      </c>
      <c r="H81" s="18" t="s">
        <v>1700</v>
      </c>
      <c r="I81" s="19">
        <v>8</v>
      </c>
      <c r="J81" s="20">
        <f t="shared" si="3"/>
        <v>0.125</v>
      </c>
    </row>
    <row r="82" spans="1:10" ht="28.8">
      <c r="A82" s="16">
        <v>81</v>
      </c>
      <c r="B82" s="15" t="s">
        <v>1917</v>
      </c>
      <c r="C82" s="17">
        <v>2025</v>
      </c>
      <c r="D82" s="14" t="s">
        <v>33</v>
      </c>
      <c r="E82" s="15" t="s">
        <v>651</v>
      </c>
      <c r="F82" s="16">
        <f t="shared" si="2"/>
        <v>1</v>
      </c>
      <c r="G82" s="15" t="s">
        <v>1916</v>
      </c>
      <c r="H82" s="18" t="s">
        <v>1920</v>
      </c>
      <c r="I82" s="19">
        <v>11</v>
      </c>
      <c r="J82" s="20">
        <f t="shared" si="3"/>
        <v>9.0909090909090912E-2</v>
      </c>
    </row>
    <row r="83" spans="1:10" ht="28.8">
      <c r="A83" s="16">
        <v>82</v>
      </c>
      <c r="B83" s="15" t="s">
        <v>3945</v>
      </c>
      <c r="C83" s="17">
        <v>2025</v>
      </c>
      <c r="D83" s="14" t="s">
        <v>33</v>
      </c>
      <c r="E83" s="15" t="s">
        <v>3947</v>
      </c>
      <c r="F83" s="16">
        <f t="shared" si="2"/>
        <v>1</v>
      </c>
      <c r="G83" s="15" t="s">
        <v>1369</v>
      </c>
      <c r="H83" s="18" t="s">
        <v>3953</v>
      </c>
      <c r="I83" s="19">
        <v>5</v>
      </c>
      <c r="J83" s="20">
        <f t="shared" si="3"/>
        <v>0.2</v>
      </c>
    </row>
    <row r="84" spans="1:10" ht="28.8">
      <c r="A84" s="16">
        <v>83</v>
      </c>
      <c r="B84" s="15" t="s">
        <v>337</v>
      </c>
      <c r="C84" s="17">
        <v>2025</v>
      </c>
      <c r="D84" s="14" t="s">
        <v>33</v>
      </c>
      <c r="E84" s="15" t="s">
        <v>131</v>
      </c>
      <c r="F84" s="16">
        <f t="shared" si="2"/>
        <v>1</v>
      </c>
      <c r="G84" s="15" t="s">
        <v>128</v>
      </c>
      <c r="H84" s="18" t="s">
        <v>338</v>
      </c>
      <c r="I84" s="19">
        <v>3</v>
      </c>
      <c r="J84" s="20">
        <f t="shared" si="3"/>
        <v>0.33333333333333331</v>
      </c>
    </row>
    <row r="85" spans="1:10">
      <c r="A85" s="16">
        <v>84</v>
      </c>
      <c r="B85" s="15" t="s">
        <v>5181</v>
      </c>
      <c r="C85" s="17">
        <v>2025</v>
      </c>
      <c r="D85" s="14" t="s">
        <v>33</v>
      </c>
      <c r="E85" s="15" t="s">
        <v>5183</v>
      </c>
      <c r="F85" s="16">
        <f t="shared" si="2"/>
        <v>1</v>
      </c>
      <c r="G85" s="15" t="s">
        <v>4414</v>
      </c>
      <c r="H85" s="18" t="s">
        <v>5185</v>
      </c>
      <c r="I85" s="19">
        <v>6</v>
      </c>
      <c r="J85" s="20">
        <f t="shared" si="3"/>
        <v>0.16666666666666666</v>
      </c>
    </row>
    <row r="86" spans="1:10">
      <c r="A86" s="16">
        <v>85</v>
      </c>
      <c r="B86" s="15" t="s">
        <v>1793</v>
      </c>
      <c r="C86" s="17">
        <v>2025</v>
      </c>
      <c r="D86" s="14" t="s">
        <v>49</v>
      </c>
      <c r="E86" s="15" t="s">
        <v>1795</v>
      </c>
      <c r="F86" s="16">
        <f t="shared" si="2"/>
        <v>1</v>
      </c>
      <c r="G86" s="15" t="s">
        <v>1282</v>
      </c>
      <c r="H86" s="18" t="s">
        <v>1798</v>
      </c>
      <c r="I86" s="19">
        <v>15</v>
      </c>
      <c r="J86" s="20">
        <f t="shared" si="3"/>
        <v>6.6666666666666666E-2</v>
      </c>
    </row>
    <row r="87" spans="1:10" ht="28.8">
      <c r="A87" s="16">
        <v>86</v>
      </c>
      <c r="B87" s="15" t="s">
        <v>5560</v>
      </c>
      <c r="C87" s="17">
        <v>2025</v>
      </c>
      <c r="D87" s="14" t="s">
        <v>33</v>
      </c>
      <c r="E87" s="15" t="s">
        <v>2392</v>
      </c>
      <c r="F87" s="16">
        <f t="shared" si="2"/>
        <v>4</v>
      </c>
      <c r="G87" s="15" t="s">
        <v>5905</v>
      </c>
      <c r="H87" s="18" t="s">
        <v>5563</v>
      </c>
      <c r="I87" s="19">
        <v>5</v>
      </c>
      <c r="J87" s="20">
        <f t="shared" si="3"/>
        <v>0.8</v>
      </c>
    </row>
    <row r="88" spans="1:10" ht="28.8">
      <c r="A88" s="16">
        <v>87</v>
      </c>
      <c r="B88" s="15" t="s">
        <v>4582</v>
      </c>
      <c r="C88" s="17">
        <v>2025</v>
      </c>
      <c r="D88" s="14" t="s">
        <v>2112</v>
      </c>
      <c r="E88" s="15" t="s">
        <v>4584</v>
      </c>
      <c r="F88" s="16">
        <f t="shared" si="2"/>
        <v>1</v>
      </c>
      <c r="G88" s="15" t="s">
        <v>1051</v>
      </c>
      <c r="H88" s="18" t="s">
        <v>4588</v>
      </c>
      <c r="I88" s="19">
        <v>4</v>
      </c>
      <c r="J88" s="20">
        <f t="shared" si="3"/>
        <v>0.25</v>
      </c>
    </row>
    <row r="89" spans="1:10" ht="28.8">
      <c r="A89" s="16">
        <v>88</v>
      </c>
      <c r="B89" s="15" t="s">
        <v>5450</v>
      </c>
      <c r="C89" s="17">
        <v>2025</v>
      </c>
      <c r="D89" s="14" t="s">
        <v>49</v>
      </c>
      <c r="E89" s="15" t="s">
        <v>2392</v>
      </c>
      <c r="F89" s="16">
        <f t="shared" si="2"/>
        <v>1</v>
      </c>
      <c r="G89" s="15" t="s">
        <v>5449</v>
      </c>
      <c r="H89" s="18" t="s">
        <v>5453</v>
      </c>
      <c r="I89" s="19">
        <v>1</v>
      </c>
      <c r="J89" s="20">
        <f t="shared" si="3"/>
        <v>1</v>
      </c>
    </row>
    <row r="90" spans="1:10" ht="57.6">
      <c r="A90" s="16">
        <v>89</v>
      </c>
      <c r="B90" s="15" t="s">
        <v>5338</v>
      </c>
      <c r="C90" s="17">
        <v>2025</v>
      </c>
      <c r="D90" s="14" t="s">
        <v>1125</v>
      </c>
      <c r="E90" s="15" t="s">
        <v>5340</v>
      </c>
      <c r="F90" s="16">
        <f t="shared" si="2"/>
        <v>1</v>
      </c>
      <c r="G90" s="15" t="s">
        <v>864</v>
      </c>
      <c r="H90" s="18" t="s">
        <v>5342</v>
      </c>
      <c r="I90" s="19">
        <v>7</v>
      </c>
      <c r="J90" s="20">
        <f t="shared" si="3"/>
        <v>0.14285714285714285</v>
      </c>
    </row>
    <row r="91" spans="1:10" ht="28.8">
      <c r="A91" s="16">
        <v>90</v>
      </c>
      <c r="B91" s="15" t="s">
        <v>5404</v>
      </c>
      <c r="C91" s="17">
        <v>2025</v>
      </c>
      <c r="D91" s="14" t="s">
        <v>33</v>
      </c>
      <c r="E91" s="15" t="s">
        <v>5406</v>
      </c>
      <c r="F91" s="16">
        <f t="shared" si="2"/>
        <v>2</v>
      </c>
      <c r="G91" s="15" t="s">
        <v>5906</v>
      </c>
      <c r="H91" s="18" t="s">
        <v>5410</v>
      </c>
      <c r="I91" s="19">
        <v>4</v>
      </c>
      <c r="J91" s="20">
        <f t="shared" si="3"/>
        <v>0.5</v>
      </c>
    </row>
    <row r="92" spans="1:10">
      <c r="A92" s="16">
        <v>91</v>
      </c>
      <c r="B92" s="15" t="s">
        <v>4008</v>
      </c>
      <c r="C92" s="17">
        <v>2025</v>
      </c>
      <c r="D92" s="14" t="s">
        <v>3676</v>
      </c>
      <c r="E92" s="15" t="s">
        <v>1676</v>
      </c>
      <c r="F92" s="16">
        <f t="shared" si="2"/>
        <v>2</v>
      </c>
      <c r="G92" s="15" t="s">
        <v>5907</v>
      </c>
      <c r="H92" s="18" t="s">
        <v>4011</v>
      </c>
      <c r="I92" s="19">
        <v>7</v>
      </c>
      <c r="J92" s="20">
        <f t="shared" si="3"/>
        <v>0.2857142857142857</v>
      </c>
    </row>
    <row r="93" spans="1:10">
      <c r="A93" s="16">
        <v>92</v>
      </c>
      <c r="B93" s="15" t="s">
        <v>3742</v>
      </c>
      <c r="C93" s="17">
        <v>2025</v>
      </c>
      <c r="D93" s="14" t="s">
        <v>33</v>
      </c>
      <c r="E93" s="15" t="s">
        <v>1112</v>
      </c>
      <c r="F93" s="16">
        <f t="shared" si="2"/>
        <v>1</v>
      </c>
      <c r="G93" s="15" t="s">
        <v>1109</v>
      </c>
      <c r="H93" s="18" t="s">
        <v>3744</v>
      </c>
      <c r="I93" s="19">
        <v>3</v>
      </c>
      <c r="J93" s="20">
        <f t="shared" si="3"/>
        <v>0.33333333333333331</v>
      </c>
    </row>
    <row r="94" spans="1:10" ht="28.8">
      <c r="A94" s="16">
        <v>93</v>
      </c>
      <c r="B94" s="15" t="s">
        <v>3746</v>
      </c>
      <c r="C94" s="17">
        <v>2025</v>
      </c>
      <c r="D94" s="14" t="s">
        <v>33</v>
      </c>
      <c r="E94" s="15" t="s">
        <v>3748</v>
      </c>
      <c r="F94" s="16">
        <f t="shared" si="2"/>
        <v>1</v>
      </c>
      <c r="G94" s="15" t="s">
        <v>967</v>
      </c>
      <c r="H94" s="18" t="s">
        <v>3752</v>
      </c>
      <c r="I94" s="19">
        <v>8</v>
      </c>
      <c r="J94" s="20">
        <f t="shared" si="3"/>
        <v>0.125</v>
      </c>
    </row>
    <row r="95" spans="1:10">
      <c r="A95" s="16">
        <v>94</v>
      </c>
      <c r="B95" s="15" t="s">
        <v>2857</v>
      </c>
      <c r="C95" s="17">
        <v>2025</v>
      </c>
      <c r="D95" s="14" t="s">
        <v>644</v>
      </c>
      <c r="E95" s="15" t="s">
        <v>231</v>
      </c>
      <c r="F95" s="16">
        <f t="shared" si="2"/>
        <v>1</v>
      </c>
      <c r="G95" s="15" t="s">
        <v>228</v>
      </c>
      <c r="H95" s="18" t="s">
        <v>2859</v>
      </c>
      <c r="I95" s="19">
        <v>2</v>
      </c>
      <c r="J95" s="20">
        <f t="shared" si="3"/>
        <v>0.5</v>
      </c>
    </row>
    <row r="96" spans="1:10" ht="43.2">
      <c r="A96" s="16">
        <v>95</v>
      </c>
      <c r="B96" s="15" t="s">
        <v>3109</v>
      </c>
      <c r="C96" s="17">
        <v>2025</v>
      </c>
      <c r="D96" s="14" t="s">
        <v>2112</v>
      </c>
      <c r="E96" s="15" t="s">
        <v>3111</v>
      </c>
      <c r="F96" s="16">
        <f t="shared" si="2"/>
        <v>1</v>
      </c>
      <c r="G96" s="15" t="s">
        <v>1619</v>
      </c>
      <c r="H96" s="18" t="s">
        <v>3114</v>
      </c>
      <c r="I96" s="19">
        <v>3</v>
      </c>
      <c r="J96" s="20">
        <f t="shared" si="3"/>
        <v>0.33333333333333331</v>
      </c>
    </row>
    <row r="97" spans="1:10" ht="43.2">
      <c r="A97" s="16">
        <v>96</v>
      </c>
      <c r="B97" s="15" t="s">
        <v>1451</v>
      </c>
      <c r="C97" s="17">
        <v>2025</v>
      </c>
      <c r="D97" s="14" t="s">
        <v>49</v>
      </c>
      <c r="E97" s="15" t="s">
        <v>167</v>
      </c>
      <c r="F97" s="16">
        <f t="shared" si="2"/>
        <v>1</v>
      </c>
      <c r="G97" s="15" t="s">
        <v>276</v>
      </c>
      <c r="H97" s="18" t="s">
        <v>1453</v>
      </c>
      <c r="I97" s="19">
        <v>14</v>
      </c>
      <c r="J97" s="20">
        <f t="shared" si="3"/>
        <v>7.1428571428571425E-2</v>
      </c>
    </row>
    <row r="98" spans="1:10" ht="43.2">
      <c r="A98" s="16">
        <v>97</v>
      </c>
      <c r="B98" s="15" t="s">
        <v>3153</v>
      </c>
      <c r="C98" s="17">
        <v>2025</v>
      </c>
      <c r="D98" s="14" t="s">
        <v>49</v>
      </c>
      <c r="E98" s="15" t="s">
        <v>73</v>
      </c>
      <c r="F98" s="16">
        <f t="shared" si="2"/>
        <v>2</v>
      </c>
      <c r="G98" s="15" t="s">
        <v>5908</v>
      </c>
      <c r="H98" s="18" t="s">
        <v>3155</v>
      </c>
      <c r="I98" s="19">
        <v>13</v>
      </c>
      <c r="J98" s="20">
        <f t="shared" si="3"/>
        <v>0.15384615384615385</v>
      </c>
    </row>
    <row r="99" spans="1:10" ht="28.8">
      <c r="A99" s="16">
        <v>98</v>
      </c>
      <c r="B99" s="15" t="s">
        <v>3656</v>
      </c>
      <c r="C99" s="17">
        <v>2025</v>
      </c>
      <c r="D99" s="14" t="s">
        <v>33</v>
      </c>
      <c r="E99" s="15" t="s">
        <v>3658</v>
      </c>
      <c r="F99" s="16">
        <f t="shared" si="2"/>
        <v>1</v>
      </c>
      <c r="G99" s="15" t="s">
        <v>2763</v>
      </c>
      <c r="H99" s="18" t="s">
        <v>3663</v>
      </c>
      <c r="I99" s="19">
        <v>3</v>
      </c>
      <c r="J99" s="20">
        <f t="shared" si="3"/>
        <v>0.33333333333333331</v>
      </c>
    </row>
    <row r="100" spans="1:10" ht="28.8">
      <c r="A100" s="16">
        <v>99</v>
      </c>
      <c r="B100" s="15" t="s">
        <v>1283</v>
      </c>
      <c r="C100" s="17">
        <v>2025</v>
      </c>
      <c r="D100" s="14" t="s">
        <v>49</v>
      </c>
      <c r="E100" s="15" t="s">
        <v>167</v>
      </c>
      <c r="F100" s="16">
        <f t="shared" si="2"/>
        <v>1</v>
      </c>
      <c r="G100" s="15" t="s">
        <v>1282</v>
      </c>
      <c r="H100" s="18" t="s">
        <v>1286</v>
      </c>
      <c r="I100" s="19">
        <v>7</v>
      </c>
      <c r="J100" s="20">
        <f t="shared" si="3"/>
        <v>0.14285714285714285</v>
      </c>
    </row>
    <row r="101" spans="1:10" ht="28.8">
      <c r="A101" s="16">
        <v>100</v>
      </c>
      <c r="B101" s="15" t="s">
        <v>2173</v>
      </c>
      <c r="C101" s="17">
        <v>2025</v>
      </c>
      <c r="D101" s="14" t="s">
        <v>49</v>
      </c>
      <c r="E101" s="15" t="s">
        <v>2175</v>
      </c>
      <c r="F101" s="16">
        <f t="shared" si="2"/>
        <v>1</v>
      </c>
      <c r="G101" s="15" t="s">
        <v>622</v>
      </c>
      <c r="H101" s="18" t="s">
        <v>2180</v>
      </c>
      <c r="I101" s="19">
        <v>6</v>
      </c>
      <c r="J101" s="20">
        <f t="shared" si="3"/>
        <v>0.16666666666666666</v>
      </c>
    </row>
    <row r="102" spans="1:10" ht="28.8">
      <c r="A102" s="16">
        <v>101</v>
      </c>
      <c r="B102" s="15" t="s">
        <v>3160</v>
      </c>
      <c r="C102" s="17">
        <v>2025</v>
      </c>
      <c r="D102" s="14" t="s">
        <v>49</v>
      </c>
      <c r="E102" s="15" t="s">
        <v>2175</v>
      </c>
      <c r="F102" s="16">
        <f t="shared" si="2"/>
        <v>1</v>
      </c>
      <c r="G102" s="15" t="s">
        <v>622</v>
      </c>
      <c r="H102" s="18" t="s">
        <v>3162</v>
      </c>
      <c r="I102" s="19">
        <v>7</v>
      </c>
      <c r="J102" s="20">
        <f t="shared" si="3"/>
        <v>0.14285714285714285</v>
      </c>
    </row>
    <row r="103" spans="1:10" ht="28.8">
      <c r="A103" s="16">
        <v>102</v>
      </c>
      <c r="B103" s="15" t="s">
        <v>3756</v>
      </c>
      <c r="C103" s="17">
        <v>2025</v>
      </c>
      <c r="D103" s="14" t="s">
        <v>33</v>
      </c>
      <c r="E103" s="15" t="s">
        <v>3758</v>
      </c>
      <c r="F103" s="16">
        <f t="shared" si="2"/>
        <v>1</v>
      </c>
      <c r="G103" s="15" t="s">
        <v>22</v>
      </c>
      <c r="H103" s="18" t="s">
        <v>3761</v>
      </c>
      <c r="I103" s="19">
        <v>7</v>
      </c>
      <c r="J103" s="20">
        <f t="shared" si="3"/>
        <v>0.14285714285714285</v>
      </c>
    </row>
    <row r="104" spans="1:10" ht="28.8">
      <c r="A104" s="16">
        <v>103</v>
      </c>
      <c r="B104" s="15" t="s">
        <v>2150</v>
      </c>
      <c r="C104" s="17">
        <v>2025</v>
      </c>
      <c r="D104" s="14" t="s">
        <v>49</v>
      </c>
      <c r="E104" s="15" t="s">
        <v>2152</v>
      </c>
      <c r="F104" s="16">
        <f t="shared" si="2"/>
        <v>1</v>
      </c>
      <c r="G104" s="15" t="s">
        <v>622</v>
      </c>
      <c r="H104" s="18" t="s">
        <v>2158</v>
      </c>
      <c r="I104" s="19">
        <v>9</v>
      </c>
      <c r="J104" s="20">
        <f t="shared" si="3"/>
        <v>0.1111111111111111</v>
      </c>
    </row>
    <row r="105" spans="1:10" ht="28.8">
      <c r="A105" s="16">
        <v>104</v>
      </c>
      <c r="B105" s="15" t="s">
        <v>5155</v>
      </c>
      <c r="C105" s="17">
        <v>2025</v>
      </c>
      <c r="D105" s="14" t="s">
        <v>49</v>
      </c>
      <c r="E105" s="15" t="s">
        <v>2518</v>
      </c>
      <c r="F105" s="16">
        <f t="shared" si="2"/>
        <v>1</v>
      </c>
      <c r="G105" s="15" t="s">
        <v>5154</v>
      </c>
      <c r="H105" s="18" t="s">
        <v>5158</v>
      </c>
      <c r="I105" s="19">
        <v>5</v>
      </c>
      <c r="J105" s="20">
        <f t="shared" si="3"/>
        <v>0.2</v>
      </c>
    </row>
    <row r="106" spans="1:10" ht="28.8">
      <c r="A106" s="16">
        <v>105</v>
      </c>
      <c r="B106" s="15" t="s">
        <v>5638</v>
      </c>
      <c r="C106" s="17">
        <v>2025</v>
      </c>
      <c r="D106" s="14" t="s">
        <v>49</v>
      </c>
      <c r="E106" s="15" t="s">
        <v>2518</v>
      </c>
      <c r="F106" s="16">
        <f t="shared" si="2"/>
        <v>1</v>
      </c>
      <c r="G106" s="15" t="s">
        <v>5637</v>
      </c>
      <c r="H106" s="18" t="s">
        <v>5641</v>
      </c>
      <c r="I106" s="19">
        <v>6</v>
      </c>
      <c r="J106" s="20">
        <f t="shared" si="3"/>
        <v>0.16666666666666666</v>
      </c>
    </row>
    <row r="107" spans="1:10" ht="28.8">
      <c r="A107" s="16">
        <v>106</v>
      </c>
      <c r="B107" s="15" t="s">
        <v>5019</v>
      </c>
      <c r="C107" s="17">
        <v>2025</v>
      </c>
      <c r="D107" s="14" t="s">
        <v>49</v>
      </c>
      <c r="E107" s="15" t="s">
        <v>3144</v>
      </c>
      <c r="F107" s="16">
        <f t="shared" si="2"/>
        <v>1</v>
      </c>
      <c r="G107" s="15" t="s">
        <v>276</v>
      </c>
      <c r="H107" s="18" t="s">
        <v>5021</v>
      </c>
      <c r="I107" s="19">
        <v>14</v>
      </c>
      <c r="J107" s="20">
        <f t="shared" si="3"/>
        <v>7.1428571428571425E-2</v>
      </c>
    </row>
    <row r="108" spans="1:10" ht="28.8">
      <c r="A108" s="16">
        <v>107</v>
      </c>
      <c r="B108" s="15" t="s">
        <v>2775</v>
      </c>
      <c r="C108" s="17">
        <v>2025</v>
      </c>
      <c r="D108" s="14" t="s">
        <v>33</v>
      </c>
      <c r="E108" s="15" t="s">
        <v>1132</v>
      </c>
      <c r="F108" s="16">
        <f t="shared" si="2"/>
        <v>1</v>
      </c>
      <c r="G108" s="15" t="s">
        <v>2774</v>
      </c>
      <c r="H108" s="18" t="s">
        <v>2777</v>
      </c>
      <c r="I108" s="19">
        <v>2</v>
      </c>
      <c r="J108" s="20">
        <f t="shared" si="3"/>
        <v>0.5</v>
      </c>
    </row>
    <row r="109" spans="1:10">
      <c r="A109" s="16">
        <v>108</v>
      </c>
      <c r="B109" s="15" t="s">
        <v>4126</v>
      </c>
      <c r="C109" s="17">
        <v>2025</v>
      </c>
      <c r="D109" s="14" t="s">
        <v>644</v>
      </c>
      <c r="E109" s="15" t="s">
        <v>4128</v>
      </c>
      <c r="F109" s="16">
        <f t="shared" si="2"/>
        <v>4</v>
      </c>
      <c r="G109" s="15" t="s">
        <v>5909</v>
      </c>
      <c r="H109" s="18" t="s">
        <v>4130</v>
      </c>
      <c r="I109" s="19">
        <v>5</v>
      </c>
      <c r="J109" s="20">
        <f t="shared" si="3"/>
        <v>0.8</v>
      </c>
    </row>
    <row r="110" spans="1:10" ht="28.8">
      <c r="A110" s="16">
        <v>109</v>
      </c>
      <c r="B110" s="15" t="s">
        <v>2702</v>
      </c>
      <c r="C110" s="17">
        <v>2025</v>
      </c>
      <c r="D110" s="14" t="s">
        <v>33</v>
      </c>
      <c r="E110" s="15" t="s">
        <v>2704</v>
      </c>
      <c r="F110" s="16">
        <f t="shared" si="2"/>
        <v>2</v>
      </c>
      <c r="G110" s="15" t="s">
        <v>5910</v>
      </c>
      <c r="H110" s="18" t="s">
        <v>2709</v>
      </c>
      <c r="I110" s="19">
        <v>18</v>
      </c>
      <c r="J110" s="20">
        <f t="shared" si="3"/>
        <v>0.1111111111111111</v>
      </c>
    </row>
    <row r="111" spans="1:10" ht="28.8">
      <c r="A111" s="16">
        <v>110</v>
      </c>
      <c r="B111" s="15" t="s">
        <v>1346</v>
      </c>
      <c r="C111" s="17">
        <v>2025</v>
      </c>
      <c r="D111" s="14" t="s">
        <v>49</v>
      </c>
      <c r="E111" s="15" t="s">
        <v>167</v>
      </c>
      <c r="F111" s="16">
        <f t="shared" si="2"/>
        <v>3</v>
      </c>
      <c r="G111" s="15" t="s">
        <v>5911</v>
      </c>
      <c r="H111" s="18" t="s">
        <v>1348</v>
      </c>
      <c r="I111" s="19">
        <v>8</v>
      </c>
      <c r="J111" s="20">
        <f t="shared" si="3"/>
        <v>0.375</v>
      </c>
    </row>
    <row r="112" spans="1:10">
      <c r="A112" s="16">
        <v>111</v>
      </c>
      <c r="B112" s="15" t="s">
        <v>3005</v>
      </c>
      <c r="C112" s="17">
        <v>2025</v>
      </c>
      <c r="D112" s="14" t="s">
        <v>644</v>
      </c>
      <c r="E112" s="15" t="s">
        <v>3007</v>
      </c>
      <c r="F112" s="16">
        <f t="shared" si="2"/>
        <v>3</v>
      </c>
      <c r="G112" s="15" t="s">
        <v>5912</v>
      </c>
      <c r="H112" s="18" t="s">
        <v>3011</v>
      </c>
      <c r="I112" s="19">
        <v>3</v>
      </c>
      <c r="J112" s="20">
        <f t="shared" si="3"/>
        <v>1</v>
      </c>
    </row>
    <row r="113" spans="1:10" ht="43.2">
      <c r="A113" s="16">
        <v>112</v>
      </c>
      <c r="B113" s="15" t="s">
        <v>5099</v>
      </c>
      <c r="C113" s="17">
        <v>2025</v>
      </c>
      <c r="D113" s="14" t="s">
        <v>33</v>
      </c>
      <c r="E113" s="15" t="s">
        <v>5101</v>
      </c>
      <c r="F113" s="16">
        <f t="shared" si="2"/>
        <v>1</v>
      </c>
      <c r="G113" s="15" t="s">
        <v>5098</v>
      </c>
      <c r="H113" s="18" t="s">
        <v>5104</v>
      </c>
      <c r="I113" s="19">
        <v>25</v>
      </c>
      <c r="J113" s="20">
        <f t="shared" si="3"/>
        <v>0.04</v>
      </c>
    </row>
    <row r="114" spans="1:10" ht="28.8">
      <c r="A114" s="16">
        <v>113</v>
      </c>
      <c r="B114" s="15" t="s">
        <v>2565</v>
      </c>
      <c r="C114" s="17">
        <v>2025</v>
      </c>
      <c r="D114" s="14" t="s">
        <v>33</v>
      </c>
      <c r="E114" s="15" t="s">
        <v>2567</v>
      </c>
      <c r="F114" s="16">
        <f t="shared" si="2"/>
        <v>1</v>
      </c>
      <c r="G114" s="15" t="s">
        <v>2564</v>
      </c>
      <c r="H114" s="18" t="s">
        <v>2570</v>
      </c>
      <c r="I114" s="19">
        <v>3</v>
      </c>
      <c r="J114" s="20">
        <f t="shared" si="3"/>
        <v>0.33333333333333331</v>
      </c>
    </row>
    <row r="115" spans="1:10" ht="28.8">
      <c r="A115" s="16">
        <v>114</v>
      </c>
      <c r="B115" s="15" t="s">
        <v>5860</v>
      </c>
      <c r="C115" s="17">
        <v>2025</v>
      </c>
      <c r="D115" s="14" t="s">
        <v>33</v>
      </c>
      <c r="E115" s="15" t="s">
        <v>389</v>
      </c>
      <c r="F115" s="16">
        <f t="shared" si="2"/>
        <v>1</v>
      </c>
      <c r="G115" s="15" t="s">
        <v>834</v>
      </c>
      <c r="H115" s="18" t="s">
        <v>5863</v>
      </c>
      <c r="I115" s="19">
        <v>6</v>
      </c>
      <c r="J115" s="20">
        <f t="shared" si="3"/>
        <v>0.16666666666666666</v>
      </c>
    </row>
    <row r="116" spans="1:10" ht="28.8">
      <c r="A116" s="16">
        <v>115</v>
      </c>
      <c r="B116" s="15" t="s">
        <v>3535</v>
      </c>
      <c r="C116" s="17">
        <v>2025</v>
      </c>
      <c r="D116" s="14" t="s">
        <v>33</v>
      </c>
      <c r="E116" s="15" t="s">
        <v>3537</v>
      </c>
      <c r="F116" s="16">
        <f t="shared" si="2"/>
        <v>3</v>
      </c>
      <c r="G116" s="15" t="s">
        <v>5913</v>
      </c>
      <c r="H116" s="18" t="s">
        <v>3541</v>
      </c>
      <c r="I116" s="19">
        <v>3</v>
      </c>
      <c r="J116" s="20">
        <f t="shared" si="3"/>
        <v>1</v>
      </c>
    </row>
    <row r="117" spans="1:10" ht="28.8">
      <c r="A117" s="16">
        <v>116</v>
      </c>
      <c r="B117" s="15" t="s">
        <v>4555</v>
      </c>
      <c r="C117" s="17">
        <v>2025</v>
      </c>
      <c r="D117" s="14" t="s">
        <v>33</v>
      </c>
      <c r="E117" s="15" t="s">
        <v>4462</v>
      </c>
      <c r="F117" s="16">
        <f t="shared" si="2"/>
        <v>2</v>
      </c>
      <c r="G117" s="15" t="s">
        <v>5914</v>
      </c>
      <c r="H117" s="18" t="s">
        <v>4557</v>
      </c>
      <c r="I117" s="19">
        <v>2</v>
      </c>
      <c r="J117" s="20">
        <f t="shared" si="3"/>
        <v>1</v>
      </c>
    </row>
    <row r="118" spans="1:10" ht="28.8">
      <c r="A118" s="16">
        <v>117</v>
      </c>
      <c r="B118" s="15" t="s">
        <v>1926</v>
      </c>
      <c r="C118" s="17">
        <v>2025</v>
      </c>
      <c r="D118" s="14" t="s">
        <v>49</v>
      </c>
      <c r="E118" s="15" t="s">
        <v>1928</v>
      </c>
      <c r="F118" s="16">
        <f t="shared" si="2"/>
        <v>1</v>
      </c>
      <c r="G118" s="15" t="s">
        <v>3141</v>
      </c>
      <c r="H118" s="18" t="s">
        <v>1931</v>
      </c>
      <c r="I118" s="19">
        <v>4</v>
      </c>
      <c r="J118" s="20">
        <f t="shared" si="3"/>
        <v>0.25</v>
      </c>
    </row>
    <row r="119" spans="1:10" ht="28.8">
      <c r="A119" s="16">
        <v>118</v>
      </c>
      <c r="B119" s="15" t="s">
        <v>2038</v>
      </c>
      <c r="C119" s="17">
        <v>2025</v>
      </c>
      <c r="D119" s="14" t="s">
        <v>33</v>
      </c>
      <c r="E119" s="15" t="s">
        <v>1372</v>
      </c>
      <c r="F119" s="16">
        <f t="shared" si="2"/>
        <v>1</v>
      </c>
      <c r="G119" s="15" t="s">
        <v>635</v>
      </c>
      <c r="H119" s="18" t="s">
        <v>2042</v>
      </c>
      <c r="I119" s="19">
        <v>8</v>
      </c>
      <c r="J119" s="20">
        <f t="shared" si="3"/>
        <v>0.125</v>
      </c>
    </row>
    <row r="120" spans="1:10" ht="28.8">
      <c r="A120" s="16">
        <v>119</v>
      </c>
      <c r="B120" s="15" t="s">
        <v>5589</v>
      </c>
      <c r="C120" s="17">
        <v>2025</v>
      </c>
      <c r="D120" s="14" t="s">
        <v>33</v>
      </c>
      <c r="E120" s="15" t="s">
        <v>5590</v>
      </c>
      <c r="F120" s="16">
        <f t="shared" si="2"/>
        <v>1</v>
      </c>
      <c r="G120" s="15" t="s">
        <v>178</v>
      </c>
      <c r="H120" s="18" t="s">
        <v>5592</v>
      </c>
      <c r="I120" s="19">
        <v>2</v>
      </c>
      <c r="J120" s="20">
        <f t="shared" si="3"/>
        <v>0.5</v>
      </c>
    </row>
    <row r="121" spans="1:10">
      <c r="A121" s="16">
        <v>120</v>
      </c>
      <c r="B121" s="15" t="s">
        <v>5608</v>
      </c>
      <c r="C121" s="17">
        <v>2025</v>
      </c>
      <c r="D121" s="14" t="s">
        <v>33</v>
      </c>
      <c r="E121" s="15" t="s">
        <v>389</v>
      </c>
      <c r="F121" s="16">
        <f t="shared" si="2"/>
        <v>1</v>
      </c>
      <c r="G121" s="15" t="s">
        <v>834</v>
      </c>
      <c r="H121" s="18" t="s">
        <v>5611</v>
      </c>
      <c r="I121" s="19">
        <v>6</v>
      </c>
      <c r="J121" s="20">
        <f t="shared" si="3"/>
        <v>0.16666666666666666</v>
      </c>
    </row>
    <row r="122" spans="1:10">
      <c r="A122" s="16">
        <v>121</v>
      </c>
      <c r="B122" s="15" t="s">
        <v>1110</v>
      </c>
      <c r="C122" s="17">
        <v>2025</v>
      </c>
      <c r="D122" s="14" t="s">
        <v>33</v>
      </c>
      <c r="E122" s="15" t="s">
        <v>1112</v>
      </c>
      <c r="F122" s="16">
        <f t="shared" si="2"/>
        <v>1</v>
      </c>
      <c r="G122" s="15" t="s">
        <v>1109</v>
      </c>
      <c r="H122" s="18" t="s">
        <v>1115</v>
      </c>
      <c r="I122" s="19">
        <v>3</v>
      </c>
      <c r="J122" s="20">
        <f t="shared" si="3"/>
        <v>0.33333333333333331</v>
      </c>
    </row>
    <row r="123" spans="1:10">
      <c r="A123" s="16">
        <v>122</v>
      </c>
      <c r="B123" s="15" t="s">
        <v>5520</v>
      </c>
      <c r="C123" s="17">
        <v>2025</v>
      </c>
      <c r="D123" s="14" t="s">
        <v>33</v>
      </c>
      <c r="E123" s="15" t="s">
        <v>4161</v>
      </c>
      <c r="F123" s="16">
        <f t="shared" si="2"/>
        <v>1</v>
      </c>
      <c r="G123" s="15" t="s">
        <v>834</v>
      </c>
      <c r="H123" s="18" t="s">
        <v>5524</v>
      </c>
      <c r="I123" s="19">
        <v>6</v>
      </c>
      <c r="J123" s="20">
        <f t="shared" si="3"/>
        <v>0.16666666666666666</v>
      </c>
    </row>
    <row r="124" spans="1:10" ht="28.8">
      <c r="A124" s="16">
        <v>123</v>
      </c>
      <c r="B124" s="15" t="s">
        <v>3619</v>
      </c>
      <c r="C124" s="17">
        <v>2025</v>
      </c>
      <c r="D124" s="14" t="s">
        <v>33</v>
      </c>
      <c r="E124" s="15" t="s">
        <v>3332</v>
      </c>
      <c r="F124" s="16">
        <f t="shared" si="2"/>
        <v>1</v>
      </c>
      <c r="G124" s="15" t="s">
        <v>22</v>
      </c>
      <c r="H124" s="18" t="s">
        <v>3621</v>
      </c>
      <c r="I124" s="19">
        <v>5</v>
      </c>
      <c r="J124" s="20">
        <f t="shared" si="3"/>
        <v>0.2</v>
      </c>
    </row>
    <row r="125" spans="1:10" ht="28.8">
      <c r="A125" s="16">
        <v>124</v>
      </c>
      <c r="B125" s="15" t="s">
        <v>3787</v>
      </c>
      <c r="C125" s="17">
        <v>2025</v>
      </c>
      <c r="D125" s="14" t="s">
        <v>33</v>
      </c>
      <c r="E125" s="15" t="s">
        <v>357</v>
      </c>
      <c r="F125" s="16">
        <f t="shared" si="2"/>
        <v>1</v>
      </c>
      <c r="G125" s="15" t="s">
        <v>22</v>
      </c>
      <c r="H125" s="18" t="s">
        <v>3790</v>
      </c>
      <c r="I125" s="19">
        <v>4</v>
      </c>
      <c r="J125" s="20">
        <f t="shared" si="3"/>
        <v>0.25</v>
      </c>
    </row>
    <row r="126" spans="1:10">
      <c r="A126" s="16">
        <v>125</v>
      </c>
      <c r="B126" s="15" t="s">
        <v>4399</v>
      </c>
      <c r="C126" s="17">
        <v>2025</v>
      </c>
      <c r="D126" s="14" t="s">
        <v>49</v>
      </c>
      <c r="E126" s="15" t="s">
        <v>2392</v>
      </c>
      <c r="F126" s="16">
        <f t="shared" si="2"/>
        <v>1</v>
      </c>
      <c r="G126" s="15" t="s">
        <v>3919</v>
      </c>
      <c r="H126" s="18" t="s">
        <v>4402</v>
      </c>
      <c r="I126" s="19">
        <v>2</v>
      </c>
      <c r="J126" s="20">
        <f t="shared" si="3"/>
        <v>0.5</v>
      </c>
    </row>
    <row r="127" spans="1:10" ht="28.8">
      <c r="A127" s="16">
        <v>126</v>
      </c>
      <c r="B127" s="15" t="s">
        <v>2816</v>
      </c>
      <c r="C127" s="17">
        <v>2025</v>
      </c>
      <c r="D127" s="14" t="s">
        <v>33</v>
      </c>
      <c r="E127" s="15" t="s">
        <v>2818</v>
      </c>
      <c r="F127" s="16">
        <f t="shared" si="2"/>
        <v>1</v>
      </c>
      <c r="G127" s="15" t="s">
        <v>2815</v>
      </c>
      <c r="H127" s="18" t="s">
        <v>2820</v>
      </c>
      <c r="I127" s="19">
        <v>79</v>
      </c>
      <c r="J127" s="20">
        <f t="shared" si="3"/>
        <v>1.2658227848101266E-2</v>
      </c>
    </row>
    <row r="128" spans="1:10" ht="28.8">
      <c r="A128" s="16">
        <v>127</v>
      </c>
      <c r="B128" s="15" t="s">
        <v>3033</v>
      </c>
      <c r="C128" s="17">
        <v>2025</v>
      </c>
      <c r="D128" s="14" t="s">
        <v>33</v>
      </c>
      <c r="E128" s="15" t="s">
        <v>3035</v>
      </c>
      <c r="F128" s="16">
        <f t="shared" si="2"/>
        <v>3</v>
      </c>
      <c r="G128" s="15" t="s">
        <v>5915</v>
      </c>
      <c r="H128" s="18" t="s">
        <v>3040</v>
      </c>
      <c r="I128" s="19">
        <v>4</v>
      </c>
      <c r="J128" s="20">
        <f t="shared" si="3"/>
        <v>0.75</v>
      </c>
    </row>
    <row r="129" spans="1:10">
      <c r="A129" s="16">
        <v>128</v>
      </c>
      <c r="B129" s="15" t="s">
        <v>2116</v>
      </c>
      <c r="C129" s="17">
        <v>2025</v>
      </c>
      <c r="D129" s="14" t="s">
        <v>49</v>
      </c>
      <c r="E129" s="15" t="s">
        <v>1399</v>
      </c>
      <c r="F129" s="16">
        <f t="shared" si="2"/>
        <v>1</v>
      </c>
      <c r="G129" s="15" t="s">
        <v>22</v>
      </c>
      <c r="H129" s="18" t="s">
        <v>2121</v>
      </c>
      <c r="I129" s="19">
        <v>4</v>
      </c>
      <c r="J129" s="20">
        <f t="shared" si="3"/>
        <v>0.25</v>
      </c>
    </row>
    <row r="130" spans="1:10">
      <c r="A130" s="16">
        <v>129</v>
      </c>
      <c r="B130" s="15" t="s">
        <v>5356</v>
      </c>
      <c r="C130" s="17">
        <v>2025</v>
      </c>
      <c r="D130" s="14" t="s">
        <v>644</v>
      </c>
      <c r="E130" s="15" t="s">
        <v>3046</v>
      </c>
      <c r="F130" s="16">
        <f t="shared" ref="F130:F193" si="4">IF($G130="",0,LEN($G130)-LEN(SUBSTITUTE($G130,"|",""))+1)</f>
        <v>2</v>
      </c>
      <c r="G130" s="15" t="s">
        <v>5916</v>
      </c>
      <c r="H130" s="18" t="s">
        <v>5359</v>
      </c>
      <c r="I130" s="19">
        <v>3</v>
      </c>
      <c r="J130" s="20">
        <f t="shared" ref="J130:J193" si="5">IFERROR(F130/I130,"")</f>
        <v>0.66666666666666663</v>
      </c>
    </row>
    <row r="131" spans="1:10">
      <c r="A131" s="16">
        <v>130</v>
      </c>
      <c r="B131" s="15" t="s">
        <v>5751</v>
      </c>
      <c r="C131" s="17">
        <v>2025</v>
      </c>
      <c r="D131" s="14" t="s">
        <v>33</v>
      </c>
      <c r="E131" s="15" t="s">
        <v>5753</v>
      </c>
      <c r="F131" s="16">
        <f t="shared" si="4"/>
        <v>4</v>
      </c>
      <c r="G131" s="15" t="s">
        <v>5917</v>
      </c>
      <c r="H131" s="18" t="s">
        <v>5757</v>
      </c>
      <c r="I131" s="19">
        <v>4</v>
      </c>
      <c r="J131" s="20">
        <f t="shared" si="5"/>
        <v>1</v>
      </c>
    </row>
    <row r="132" spans="1:10" ht="28.8">
      <c r="A132" s="16">
        <v>131</v>
      </c>
      <c r="B132" s="15" t="s">
        <v>1202</v>
      </c>
      <c r="C132" s="17">
        <v>2025</v>
      </c>
      <c r="D132" s="14" t="s">
        <v>49</v>
      </c>
      <c r="E132" s="15" t="s">
        <v>1204</v>
      </c>
      <c r="F132" s="16">
        <v>1</v>
      </c>
      <c r="G132" s="15" t="s">
        <v>113</v>
      </c>
      <c r="H132" s="18" t="s">
        <v>1208</v>
      </c>
      <c r="I132" s="19">
        <v>7</v>
      </c>
      <c r="J132" s="20">
        <f t="shared" si="5"/>
        <v>0.14285714285714285</v>
      </c>
    </row>
    <row r="133" spans="1:10" ht="28.8">
      <c r="A133" s="16">
        <v>132</v>
      </c>
      <c r="B133" s="15" t="s">
        <v>2760</v>
      </c>
      <c r="C133" s="17">
        <v>2025</v>
      </c>
      <c r="D133" s="14" t="s">
        <v>49</v>
      </c>
      <c r="E133" s="15" t="s">
        <v>1784</v>
      </c>
      <c r="F133" s="16">
        <f t="shared" si="4"/>
        <v>1</v>
      </c>
      <c r="G133" s="15" t="s">
        <v>422</v>
      </c>
      <c r="H133" s="18" t="s">
        <v>2761</v>
      </c>
      <c r="I133" s="19">
        <v>1</v>
      </c>
      <c r="J133" s="20">
        <f t="shared" si="5"/>
        <v>1</v>
      </c>
    </row>
    <row r="134" spans="1:10" ht="28.8">
      <c r="A134" s="16">
        <v>133</v>
      </c>
      <c r="B134" s="15" t="s">
        <v>5647</v>
      </c>
      <c r="C134" s="17">
        <v>2025</v>
      </c>
      <c r="D134" s="14" t="s">
        <v>33</v>
      </c>
      <c r="E134" s="15" t="s">
        <v>5649</v>
      </c>
      <c r="F134" s="16">
        <f t="shared" si="4"/>
        <v>1</v>
      </c>
      <c r="G134" s="15" t="s">
        <v>5646</v>
      </c>
      <c r="H134" s="18" t="s">
        <v>5652</v>
      </c>
      <c r="I134" s="19">
        <v>5</v>
      </c>
      <c r="J134" s="20">
        <f t="shared" si="5"/>
        <v>0.2</v>
      </c>
    </row>
    <row r="135" spans="1:10" ht="28.8">
      <c r="A135" s="16">
        <v>134</v>
      </c>
      <c r="B135" s="15" t="s">
        <v>2793</v>
      </c>
      <c r="C135" s="17">
        <v>2025</v>
      </c>
      <c r="D135" s="14" t="s">
        <v>33</v>
      </c>
      <c r="E135" s="15" t="s">
        <v>2795</v>
      </c>
      <c r="F135" s="16">
        <f t="shared" si="4"/>
        <v>1</v>
      </c>
      <c r="G135" s="15" t="s">
        <v>2792</v>
      </c>
      <c r="H135" s="18" t="s">
        <v>2799</v>
      </c>
      <c r="I135" s="19">
        <v>18</v>
      </c>
      <c r="J135" s="20">
        <f t="shared" si="5"/>
        <v>5.5555555555555552E-2</v>
      </c>
    </row>
    <row r="136" spans="1:10" ht="28.8">
      <c r="A136" s="16">
        <v>135</v>
      </c>
      <c r="B136" s="15" t="s">
        <v>2275</v>
      </c>
      <c r="C136" s="17">
        <v>2025</v>
      </c>
      <c r="D136" s="14" t="s">
        <v>33</v>
      </c>
      <c r="E136" s="15" t="s">
        <v>2277</v>
      </c>
      <c r="F136" s="16">
        <f t="shared" si="4"/>
        <v>1</v>
      </c>
      <c r="G136" s="15" t="s">
        <v>822</v>
      </c>
      <c r="H136" s="18" t="s">
        <v>2281</v>
      </c>
      <c r="I136" s="19">
        <v>8</v>
      </c>
      <c r="J136" s="20">
        <f t="shared" si="5"/>
        <v>0.125</v>
      </c>
    </row>
    <row r="137" spans="1:10">
      <c r="A137" s="16">
        <v>136</v>
      </c>
      <c r="B137" s="15" t="s">
        <v>1956</v>
      </c>
      <c r="C137" s="17">
        <v>2025</v>
      </c>
      <c r="D137" s="14" t="s">
        <v>33</v>
      </c>
      <c r="E137" s="15" t="s">
        <v>1958</v>
      </c>
      <c r="F137" s="16">
        <f t="shared" si="4"/>
        <v>6</v>
      </c>
      <c r="G137" s="15" t="s">
        <v>5918</v>
      </c>
      <c r="H137" s="18" t="s">
        <v>1962</v>
      </c>
      <c r="I137" s="19">
        <v>9</v>
      </c>
      <c r="J137" s="20">
        <f t="shared" si="5"/>
        <v>0.66666666666666663</v>
      </c>
    </row>
    <row r="138" spans="1:10" ht="43.2">
      <c r="A138" s="16">
        <v>137</v>
      </c>
      <c r="B138" s="15" t="s">
        <v>1428</v>
      </c>
      <c r="C138" s="17">
        <v>2025</v>
      </c>
      <c r="D138" s="14" t="s">
        <v>33</v>
      </c>
      <c r="E138" s="15" t="s">
        <v>1430</v>
      </c>
      <c r="F138" s="16">
        <f t="shared" si="4"/>
        <v>1</v>
      </c>
      <c r="G138" s="15" t="s">
        <v>113</v>
      </c>
      <c r="H138" s="18" t="s">
        <v>1434</v>
      </c>
      <c r="I138" s="19">
        <v>6</v>
      </c>
      <c r="J138" s="20">
        <f t="shared" si="5"/>
        <v>0.16666666666666666</v>
      </c>
    </row>
    <row r="139" spans="1:10" ht="43.2">
      <c r="A139" s="16">
        <v>138</v>
      </c>
      <c r="B139" s="15" t="s">
        <v>1069</v>
      </c>
      <c r="C139" s="17">
        <v>2025</v>
      </c>
      <c r="D139" s="14" t="s">
        <v>33</v>
      </c>
      <c r="E139" s="15" t="s">
        <v>167</v>
      </c>
      <c r="F139" s="16">
        <f t="shared" si="4"/>
        <v>1</v>
      </c>
      <c r="G139" s="15" t="s">
        <v>83</v>
      </c>
      <c r="H139" s="18" t="s">
        <v>1073</v>
      </c>
      <c r="I139" s="19">
        <v>11</v>
      </c>
      <c r="J139" s="20">
        <f t="shared" si="5"/>
        <v>9.0909090909090912E-2</v>
      </c>
    </row>
    <row r="140" spans="1:10" ht="28.8">
      <c r="A140" s="16">
        <v>139</v>
      </c>
      <c r="B140" s="15" t="s">
        <v>3210</v>
      </c>
      <c r="C140" s="17">
        <v>2025</v>
      </c>
      <c r="D140" s="14" t="s">
        <v>33</v>
      </c>
      <c r="E140" s="15" t="s">
        <v>3212</v>
      </c>
      <c r="F140" s="16">
        <f t="shared" si="4"/>
        <v>1</v>
      </c>
      <c r="G140" s="15" t="s">
        <v>3141</v>
      </c>
      <c r="H140" s="18" t="s">
        <v>3216</v>
      </c>
      <c r="I140" s="19">
        <v>6</v>
      </c>
      <c r="J140" s="20">
        <f t="shared" si="5"/>
        <v>0.16666666666666666</v>
      </c>
    </row>
    <row r="141" spans="1:10" ht="28.8">
      <c r="A141" s="16">
        <v>140</v>
      </c>
      <c r="B141" s="15" t="s">
        <v>1886</v>
      </c>
      <c r="C141" s="17">
        <v>2025</v>
      </c>
      <c r="D141" s="14" t="s">
        <v>33</v>
      </c>
      <c r="E141" s="15" t="s">
        <v>1888</v>
      </c>
      <c r="F141" s="16">
        <f t="shared" si="4"/>
        <v>1</v>
      </c>
      <c r="G141" s="15" t="s">
        <v>342</v>
      </c>
      <c r="H141" s="18" t="s">
        <v>1891</v>
      </c>
      <c r="I141" s="19">
        <v>4</v>
      </c>
      <c r="J141" s="20">
        <f t="shared" si="5"/>
        <v>0.25</v>
      </c>
    </row>
    <row r="142" spans="1:10" ht="43.2">
      <c r="A142" s="16">
        <v>141</v>
      </c>
      <c r="B142" s="15" t="s">
        <v>1734</v>
      </c>
      <c r="C142" s="17">
        <v>2025</v>
      </c>
      <c r="D142" s="14" t="s">
        <v>33</v>
      </c>
      <c r="E142" s="15" t="s">
        <v>1736</v>
      </c>
      <c r="F142" s="16">
        <f t="shared" si="4"/>
        <v>1</v>
      </c>
      <c r="G142" s="15" t="s">
        <v>1733</v>
      </c>
      <c r="H142" s="18" t="s">
        <v>1739</v>
      </c>
      <c r="I142" s="19">
        <v>6</v>
      </c>
      <c r="J142" s="20">
        <f t="shared" si="5"/>
        <v>0.16666666666666666</v>
      </c>
    </row>
    <row r="143" spans="1:10">
      <c r="A143" s="16">
        <v>142</v>
      </c>
      <c r="B143" s="15" t="s">
        <v>5763</v>
      </c>
      <c r="C143" s="17">
        <v>2025</v>
      </c>
      <c r="D143" s="14" t="s">
        <v>33</v>
      </c>
      <c r="E143" s="15" t="s">
        <v>2912</v>
      </c>
      <c r="F143" s="16">
        <f t="shared" si="4"/>
        <v>1</v>
      </c>
      <c r="G143" s="15" t="s">
        <v>3141</v>
      </c>
      <c r="H143" s="18" t="s">
        <v>5766</v>
      </c>
      <c r="I143" s="19">
        <v>3</v>
      </c>
      <c r="J143" s="20">
        <f t="shared" si="5"/>
        <v>0.33333333333333331</v>
      </c>
    </row>
    <row r="144" spans="1:10" ht="43.2">
      <c r="A144" s="16">
        <v>143</v>
      </c>
      <c r="B144" s="15" t="s">
        <v>1936</v>
      </c>
      <c r="C144" s="17">
        <v>2025</v>
      </c>
      <c r="D144" s="14" t="s">
        <v>33</v>
      </c>
      <c r="E144" s="15" t="s">
        <v>879</v>
      </c>
      <c r="F144" s="16">
        <f t="shared" si="4"/>
        <v>1</v>
      </c>
      <c r="G144" s="15" t="s">
        <v>265</v>
      </c>
      <c r="H144" s="18" t="s">
        <v>1938</v>
      </c>
      <c r="I144" s="19">
        <v>7</v>
      </c>
      <c r="J144" s="20">
        <f t="shared" si="5"/>
        <v>0.14285714285714285</v>
      </c>
    </row>
    <row r="145" spans="1:10" ht="57.6">
      <c r="A145" s="16">
        <v>144</v>
      </c>
      <c r="B145" s="15" t="s">
        <v>4355</v>
      </c>
      <c r="C145" s="17">
        <v>2025</v>
      </c>
      <c r="D145" s="14" t="s">
        <v>2112</v>
      </c>
      <c r="E145" s="15" t="s">
        <v>4357</v>
      </c>
      <c r="F145" s="16">
        <f t="shared" si="4"/>
        <v>1</v>
      </c>
      <c r="G145" s="15" t="s">
        <v>128</v>
      </c>
      <c r="H145" s="18" t="s">
        <v>4359</v>
      </c>
      <c r="I145" s="19">
        <v>5</v>
      </c>
      <c r="J145" s="20">
        <f t="shared" si="5"/>
        <v>0.2</v>
      </c>
    </row>
    <row r="146" spans="1:10">
      <c r="A146" s="16">
        <v>145</v>
      </c>
      <c r="B146" s="15" t="s">
        <v>803</v>
      </c>
      <c r="C146" s="17">
        <v>2025</v>
      </c>
      <c r="D146" s="14" t="s">
        <v>33</v>
      </c>
      <c r="E146" s="15" t="s">
        <v>804</v>
      </c>
      <c r="F146" s="16">
        <f t="shared" si="4"/>
        <v>1</v>
      </c>
      <c r="G146" s="15" t="s">
        <v>128</v>
      </c>
      <c r="H146" s="18" t="s">
        <v>809</v>
      </c>
      <c r="I146" s="19">
        <v>3</v>
      </c>
      <c r="J146" s="20">
        <f t="shared" si="5"/>
        <v>0.33333333333333331</v>
      </c>
    </row>
    <row r="147" spans="1:10" ht="28.8">
      <c r="A147" s="16">
        <v>146</v>
      </c>
      <c r="B147" s="15" t="s">
        <v>2581</v>
      </c>
      <c r="C147" s="17">
        <v>2025</v>
      </c>
      <c r="D147" s="14" t="s">
        <v>33</v>
      </c>
      <c r="E147" s="15" t="s">
        <v>2583</v>
      </c>
      <c r="F147" s="16">
        <f t="shared" si="4"/>
        <v>1</v>
      </c>
      <c r="G147" s="15" t="s">
        <v>2580</v>
      </c>
      <c r="H147" s="18" t="s">
        <v>2585</v>
      </c>
      <c r="I147" s="19">
        <v>11</v>
      </c>
      <c r="J147" s="20">
        <f t="shared" si="5"/>
        <v>9.0909090909090912E-2</v>
      </c>
    </row>
    <row r="148" spans="1:10">
      <c r="A148" s="16">
        <v>147</v>
      </c>
      <c r="B148" s="15" t="s">
        <v>4629</v>
      </c>
      <c r="C148" s="17">
        <v>2025</v>
      </c>
      <c r="D148" s="14" t="s">
        <v>33</v>
      </c>
      <c r="E148" s="15" t="s">
        <v>2392</v>
      </c>
      <c r="F148" s="16">
        <f t="shared" si="4"/>
        <v>2</v>
      </c>
      <c r="G148" s="15" t="s">
        <v>5919</v>
      </c>
      <c r="H148" s="18" t="s">
        <v>4632</v>
      </c>
      <c r="I148" s="19">
        <v>2</v>
      </c>
      <c r="J148" s="20">
        <f t="shared" si="5"/>
        <v>1</v>
      </c>
    </row>
    <row r="149" spans="1:10" ht="28.8">
      <c r="A149" s="16">
        <v>148</v>
      </c>
      <c r="B149" s="15" t="s">
        <v>4693</v>
      </c>
      <c r="C149" s="17">
        <v>2025</v>
      </c>
      <c r="D149" s="14" t="s">
        <v>33</v>
      </c>
      <c r="E149" s="15" t="s">
        <v>1293</v>
      </c>
      <c r="F149" s="16">
        <f t="shared" si="4"/>
        <v>2</v>
      </c>
      <c r="G149" s="15" t="s">
        <v>5892</v>
      </c>
      <c r="H149" s="18" t="s">
        <v>4695</v>
      </c>
      <c r="I149" s="19">
        <v>8</v>
      </c>
      <c r="J149" s="20">
        <f t="shared" si="5"/>
        <v>0.25</v>
      </c>
    </row>
    <row r="150" spans="1:10" ht="28.8">
      <c r="A150" s="16">
        <v>149</v>
      </c>
      <c r="B150" s="15" t="s">
        <v>5301</v>
      </c>
      <c r="C150" s="17">
        <v>2025</v>
      </c>
      <c r="D150" s="14" t="s">
        <v>33</v>
      </c>
      <c r="E150" s="15" t="s">
        <v>3046</v>
      </c>
      <c r="F150" s="16">
        <f t="shared" si="4"/>
        <v>1</v>
      </c>
      <c r="G150" s="15" t="s">
        <v>635</v>
      </c>
      <c r="H150" s="18" t="s">
        <v>5302</v>
      </c>
      <c r="I150" s="19">
        <v>1</v>
      </c>
      <c r="J150" s="20">
        <f t="shared" si="5"/>
        <v>1</v>
      </c>
    </row>
    <row r="151" spans="1:10" ht="28.8">
      <c r="A151" s="16">
        <v>150</v>
      </c>
      <c r="B151" s="15" t="s">
        <v>5704</v>
      </c>
      <c r="C151" s="17">
        <v>2025</v>
      </c>
      <c r="D151" s="14" t="s">
        <v>644</v>
      </c>
      <c r="E151" s="15" t="s">
        <v>5706</v>
      </c>
      <c r="F151" s="16">
        <f t="shared" si="4"/>
        <v>1</v>
      </c>
      <c r="G151" s="15" t="s">
        <v>755</v>
      </c>
      <c r="H151" s="18" t="s">
        <v>5708</v>
      </c>
      <c r="I151" s="19">
        <v>2</v>
      </c>
      <c r="J151" s="20">
        <f t="shared" si="5"/>
        <v>0.5</v>
      </c>
    </row>
    <row r="152" spans="1:10" ht="28.8">
      <c r="A152" s="16">
        <v>151</v>
      </c>
      <c r="B152" s="15" t="s">
        <v>4180</v>
      </c>
      <c r="C152" s="17">
        <v>2025</v>
      </c>
      <c r="D152" s="14" t="s">
        <v>2904</v>
      </c>
      <c r="E152" s="15" t="s">
        <v>4182</v>
      </c>
      <c r="F152" s="16">
        <f t="shared" si="4"/>
        <v>1</v>
      </c>
      <c r="G152" s="15" t="s">
        <v>39</v>
      </c>
      <c r="H152" s="18" t="s">
        <v>4185</v>
      </c>
      <c r="I152" s="19">
        <v>3</v>
      </c>
      <c r="J152" s="20">
        <f t="shared" si="5"/>
        <v>0.33333333333333331</v>
      </c>
    </row>
    <row r="153" spans="1:10" ht="28.8">
      <c r="A153" s="16">
        <v>152</v>
      </c>
      <c r="B153" s="15" t="s">
        <v>3546</v>
      </c>
      <c r="C153" s="17">
        <v>2025</v>
      </c>
      <c r="D153" s="14" t="s">
        <v>33</v>
      </c>
      <c r="E153" s="15" t="s">
        <v>2091</v>
      </c>
      <c r="F153" s="16">
        <f t="shared" si="4"/>
        <v>4</v>
      </c>
      <c r="G153" s="15" t="s">
        <v>5920</v>
      </c>
      <c r="H153" s="18" t="s">
        <v>3548</v>
      </c>
      <c r="I153" s="19">
        <v>6</v>
      </c>
      <c r="J153" s="20">
        <f t="shared" si="5"/>
        <v>0.66666666666666663</v>
      </c>
    </row>
    <row r="154" spans="1:10">
      <c r="A154" s="16">
        <v>153</v>
      </c>
      <c r="B154" s="15" t="s">
        <v>215</v>
      </c>
      <c r="C154" s="17">
        <v>2025</v>
      </c>
      <c r="D154" s="14" t="s">
        <v>33</v>
      </c>
      <c r="E154" s="15" t="s">
        <v>217</v>
      </c>
      <c r="F154" s="16">
        <f t="shared" si="4"/>
        <v>1</v>
      </c>
      <c r="G154" s="15" t="s">
        <v>214</v>
      </c>
      <c r="H154" s="18" t="s">
        <v>222</v>
      </c>
      <c r="I154" s="19">
        <v>31</v>
      </c>
      <c r="J154" s="20">
        <f t="shared" si="5"/>
        <v>3.2258064516129031E-2</v>
      </c>
    </row>
    <row r="155" spans="1:10" ht="43.2">
      <c r="A155" s="16">
        <v>154</v>
      </c>
      <c r="B155" s="15" t="s">
        <v>3572</v>
      </c>
      <c r="C155" s="17">
        <v>2025</v>
      </c>
      <c r="D155" s="14" t="s">
        <v>33</v>
      </c>
      <c r="E155" s="15" t="s">
        <v>3574</v>
      </c>
      <c r="F155" s="16">
        <f t="shared" si="4"/>
        <v>1</v>
      </c>
      <c r="G155" s="15" t="s">
        <v>3141</v>
      </c>
      <c r="H155" s="18" t="s">
        <v>3576</v>
      </c>
      <c r="I155" s="19">
        <v>13</v>
      </c>
      <c r="J155" s="20">
        <f t="shared" si="5"/>
        <v>7.6923076923076927E-2</v>
      </c>
    </row>
    <row r="156" spans="1:10" ht="28.8">
      <c r="A156" s="16">
        <v>155</v>
      </c>
      <c r="B156" s="15" t="s">
        <v>3119</v>
      </c>
      <c r="C156" s="17">
        <v>2025</v>
      </c>
      <c r="D156" s="14" t="s">
        <v>33</v>
      </c>
      <c r="E156" s="15" t="s">
        <v>3121</v>
      </c>
      <c r="F156" s="16">
        <f t="shared" si="4"/>
        <v>3</v>
      </c>
      <c r="G156" s="15" t="s">
        <v>5921</v>
      </c>
      <c r="H156" s="18" t="s">
        <v>3123</v>
      </c>
      <c r="I156" s="19">
        <v>14</v>
      </c>
      <c r="J156" s="20">
        <f t="shared" si="5"/>
        <v>0.21428571428571427</v>
      </c>
    </row>
    <row r="157" spans="1:10">
      <c r="A157" s="16">
        <v>156</v>
      </c>
      <c r="B157" s="15" t="s">
        <v>4029</v>
      </c>
      <c r="C157" s="17">
        <v>2025</v>
      </c>
      <c r="D157" s="14" t="s">
        <v>33</v>
      </c>
      <c r="E157" s="15" t="s">
        <v>4031</v>
      </c>
      <c r="F157" s="16">
        <f t="shared" si="4"/>
        <v>1</v>
      </c>
      <c r="G157" s="15" t="s">
        <v>4028</v>
      </c>
      <c r="H157" s="18" t="s">
        <v>4035</v>
      </c>
      <c r="I157" s="19">
        <v>3</v>
      </c>
      <c r="J157" s="20">
        <f t="shared" si="5"/>
        <v>0.33333333333333331</v>
      </c>
    </row>
    <row r="158" spans="1:10">
      <c r="A158" s="16">
        <v>157</v>
      </c>
      <c r="B158" s="15" t="s">
        <v>5657</v>
      </c>
      <c r="C158" s="17">
        <v>2025</v>
      </c>
      <c r="D158" s="14" t="s">
        <v>3676</v>
      </c>
      <c r="E158" s="15" t="s">
        <v>2392</v>
      </c>
      <c r="F158" s="16">
        <f t="shared" si="4"/>
        <v>1</v>
      </c>
      <c r="G158" s="15" t="s">
        <v>4395</v>
      </c>
      <c r="H158" s="18" t="s">
        <v>5659</v>
      </c>
      <c r="I158" s="19">
        <v>1</v>
      </c>
      <c r="J158" s="20">
        <f t="shared" si="5"/>
        <v>1</v>
      </c>
    </row>
    <row r="159" spans="1:10" ht="28.8">
      <c r="A159" s="16">
        <v>158</v>
      </c>
      <c r="B159" s="15" t="s">
        <v>85</v>
      </c>
      <c r="C159" s="17">
        <v>2025</v>
      </c>
      <c r="D159" s="14" t="s">
        <v>49</v>
      </c>
      <c r="E159" s="15" t="s">
        <v>87</v>
      </c>
      <c r="F159" s="16">
        <f t="shared" si="4"/>
        <v>1</v>
      </c>
      <c r="G159" s="15" t="s">
        <v>84</v>
      </c>
      <c r="H159" s="18" t="s">
        <v>91</v>
      </c>
      <c r="I159" s="19">
        <v>11</v>
      </c>
      <c r="J159" s="20">
        <f t="shared" si="5"/>
        <v>9.0909090909090912E-2</v>
      </c>
    </row>
    <row r="160" spans="1:10" ht="28.8">
      <c r="A160" s="16">
        <v>159</v>
      </c>
      <c r="B160" s="15" t="s">
        <v>5069</v>
      </c>
      <c r="C160" s="17">
        <v>2025</v>
      </c>
      <c r="D160" s="14" t="s">
        <v>49</v>
      </c>
      <c r="E160" s="15" t="s">
        <v>2392</v>
      </c>
      <c r="F160" s="16">
        <f t="shared" si="4"/>
        <v>1</v>
      </c>
      <c r="G160" s="15" t="s">
        <v>4395</v>
      </c>
      <c r="H160" s="18" t="s">
        <v>5072</v>
      </c>
      <c r="I160" s="19">
        <v>2</v>
      </c>
      <c r="J160" s="20">
        <f t="shared" si="5"/>
        <v>0.5</v>
      </c>
    </row>
    <row r="161" spans="1:10" ht="28.8">
      <c r="A161" s="16">
        <v>160</v>
      </c>
      <c r="B161" s="15" t="s">
        <v>1271</v>
      </c>
      <c r="C161" s="17">
        <v>2025</v>
      </c>
      <c r="D161" s="14" t="s">
        <v>33</v>
      </c>
      <c r="E161" s="15" t="s">
        <v>1273</v>
      </c>
      <c r="F161" s="16">
        <f t="shared" si="4"/>
        <v>1</v>
      </c>
      <c r="G161" s="15" t="s">
        <v>790</v>
      </c>
      <c r="H161" s="18" t="s">
        <v>1277</v>
      </c>
      <c r="I161" s="19">
        <v>5</v>
      </c>
      <c r="J161" s="20">
        <f t="shared" si="5"/>
        <v>0.2</v>
      </c>
    </row>
    <row r="162" spans="1:10" ht="28.8">
      <c r="A162" s="16">
        <v>161</v>
      </c>
      <c r="B162" s="15" t="s">
        <v>783</v>
      </c>
      <c r="C162" s="17">
        <v>2025</v>
      </c>
      <c r="D162" s="14" t="s">
        <v>49</v>
      </c>
      <c r="E162" s="15" t="s">
        <v>73</v>
      </c>
      <c r="F162" s="16">
        <f t="shared" si="4"/>
        <v>2</v>
      </c>
      <c r="G162" s="15" t="s">
        <v>5922</v>
      </c>
      <c r="H162" s="18" t="s">
        <v>785</v>
      </c>
      <c r="I162" s="19">
        <v>9</v>
      </c>
      <c r="J162" s="20">
        <f t="shared" si="5"/>
        <v>0.22222222222222221</v>
      </c>
    </row>
    <row r="163" spans="1:10" ht="28.8">
      <c r="A163" s="16">
        <v>162</v>
      </c>
      <c r="B163" s="15" t="s">
        <v>3690</v>
      </c>
      <c r="C163" s="17">
        <v>2025</v>
      </c>
      <c r="D163" s="14" t="s">
        <v>33</v>
      </c>
      <c r="E163" s="15" t="s">
        <v>3692</v>
      </c>
      <c r="F163" s="16">
        <f t="shared" si="4"/>
        <v>1</v>
      </c>
      <c r="G163" s="15" t="s">
        <v>3689</v>
      </c>
      <c r="H163" s="18" t="s">
        <v>3695</v>
      </c>
      <c r="I163" s="19">
        <v>6</v>
      </c>
      <c r="J163" s="20">
        <f t="shared" si="5"/>
        <v>0.16666666666666666</v>
      </c>
    </row>
    <row r="164" spans="1:10" ht="28.8">
      <c r="A164" s="16">
        <v>163</v>
      </c>
      <c r="B164" s="15" t="s">
        <v>1724</v>
      </c>
      <c r="C164" s="17">
        <v>2025</v>
      </c>
      <c r="D164" s="14" t="s">
        <v>33</v>
      </c>
      <c r="E164" s="15" t="s">
        <v>167</v>
      </c>
      <c r="F164" s="16">
        <f t="shared" si="4"/>
        <v>1</v>
      </c>
      <c r="G164" s="15" t="s">
        <v>1723</v>
      </c>
      <c r="H164" s="18" t="s">
        <v>1727</v>
      </c>
      <c r="I164" s="19">
        <v>122</v>
      </c>
      <c r="J164" s="20">
        <f t="shared" si="5"/>
        <v>8.1967213114754103E-3</v>
      </c>
    </row>
    <row r="165" spans="1:10" ht="28.8">
      <c r="A165" s="16">
        <v>164</v>
      </c>
      <c r="B165" s="15" t="s">
        <v>1507</v>
      </c>
      <c r="C165" s="17">
        <v>2025</v>
      </c>
      <c r="D165" s="14" t="s">
        <v>49</v>
      </c>
      <c r="E165" s="15" t="s">
        <v>167</v>
      </c>
      <c r="F165" s="16">
        <f t="shared" si="4"/>
        <v>5</v>
      </c>
      <c r="G165" s="15" t="s">
        <v>5923</v>
      </c>
      <c r="H165" s="18" t="s">
        <v>1509</v>
      </c>
      <c r="I165" s="19">
        <v>6</v>
      </c>
      <c r="J165" s="20">
        <f t="shared" si="5"/>
        <v>0.83333333333333337</v>
      </c>
    </row>
    <row r="166" spans="1:10">
      <c r="A166" s="16">
        <v>165</v>
      </c>
      <c r="B166" s="15" t="s">
        <v>5472</v>
      </c>
      <c r="C166" s="17">
        <v>2025</v>
      </c>
      <c r="D166" s="14" t="s">
        <v>33</v>
      </c>
      <c r="E166" s="15" t="s">
        <v>2392</v>
      </c>
      <c r="F166" s="16">
        <f t="shared" si="4"/>
        <v>1</v>
      </c>
      <c r="G166" s="15" t="s">
        <v>5471</v>
      </c>
      <c r="H166" s="18" t="s">
        <v>5475</v>
      </c>
      <c r="I166" s="19">
        <v>3</v>
      </c>
      <c r="J166" s="20">
        <f t="shared" si="5"/>
        <v>0.33333333333333331</v>
      </c>
    </row>
    <row r="167" spans="1:10" ht="28.8">
      <c r="A167" s="16">
        <v>166</v>
      </c>
      <c r="B167" s="15" t="s">
        <v>1516</v>
      </c>
      <c r="C167" s="17">
        <v>2025</v>
      </c>
      <c r="D167" s="14" t="s">
        <v>33</v>
      </c>
      <c r="E167" s="15" t="s">
        <v>1518</v>
      </c>
      <c r="F167" s="16">
        <f t="shared" si="4"/>
        <v>1</v>
      </c>
      <c r="G167" s="15" t="s">
        <v>22</v>
      </c>
      <c r="H167" s="18" t="s">
        <v>1521</v>
      </c>
      <c r="I167" s="19">
        <v>4</v>
      </c>
      <c r="J167" s="20">
        <f t="shared" si="5"/>
        <v>0.25</v>
      </c>
    </row>
    <row r="168" spans="1:10">
      <c r="A168" s="16">
        <v>167</v>
      </c>
      <c r="B168" s="15" t="s">
        <v>4522</v>
      </c>
      <c r="C168" s="17">
        <v>2025</v>
      </c>
      <c r="D168" s="14" t="s">
        <v>49</v>
      </c>
      <c r="E168" s="15" t="s">
        <v>2392</v>
      </c>
      <c r="F168" s="16">
        <f t="shared" si="4"/>
        <v>1</v>
      </c>
      <c r="G168" s="15" t="s">
        <v>4521</v>
      </c>
      <c r="H168" s="18" t="s">
        <v>4525</v>
      </c>
      <c r="I168" s="19">
        <v>1</v>
      </c>
      <c r="J168" s="20">
        <f t="shared" si="5"/>
        <v>1</v>
      </c>
    </row>
    <row r="169" spans="1:10" ht="28.8">
      <c r="A169" s="16">
        <v>168</v>
      </c>
      <c r="B169" s="15" t="s">
        <v>4302</v>
      </c>
      <c r="C169" s="17">
        <v>2025</v>
      </c>
      <c r="D169" s="14" t="s">
        <v>33</v>
      </c>
      <c r="E169" s="15" t="s">
        <v>4304</v>
      </c>
      <c r="F169" s="16">
        <f t="shared" si="4"/>
        <v>1</v>
      </c>
      <c r="G169" s="15" t="s">
        <v>2006</v>
      </c>
      <c r="H169" s="18" t="s">
        <v>4308</v>
      </c>
      <c r="I169" s="19">
        <v>5</v>
      </c>
      <c r="J169" s="20">
        <f t="shared" si="5"/>
        <v>0.2</v>
      </c>
    </row>
    <row r="170" spans="1:10">
      <c r="A170" s="16">
        <v>169</v>
      </c>
      <c r="B170" s="15" t="s">
        <v>255</v>
      </c>
      <c r="C170" s="17">
        <v>2025</v>
      </c>
      <c r="D170" s="14" t="s">
        <v>49</v>
      </c>
      <c r="E170" s="15" t="s">
        <v>257</v>
      </c>
      <c r="F170" s="16">
        <f t="shared" si="4"/>
        <v>1</v>
      </c>
      <c r="G170" s="15" t="s">
        <v>254</v>
      </c>
      <c r="H170" s="18" t="s">
        <v>260</v>
      </c>
      <c r="I170" s="19">
        <v>9</v>
      </c>
      <c r="J170" s="20">
        <f t="shared" si="5"/>
        <v>0.1111111111111111</v>
      </c>
    </row>
    <row r="171" spans="1:10" ht="28.8">
      <c r="A171" s="16">
        <v>170</v>
      </c>
      <c r="B171" s="15" t="s">
        <v>4415</v>
      </c>
      <c r="C171" s="17">
        <v>2025</v>
      </c>
      <c r="D171" s="14" t="s">
        <v>33</v>
      </c>
      <c r="E171" s="15" t="s">
        <v>4417</v>
      </c>
      <c r="F171" s="16">
        <f t="shared" si="4"/>
        <v>1</v>
      </c>
      <c r="G171" s="15" t="s">
        <v>4414</v>
      </c>
      <c r="H171" s="18" t="s">
        <v>4420</v>
      </c>
      <c r="I171" s="19">
        <v>6</v>
      </c>
      <c r="J171" s="20">
        <f t="shared" si="5"/>
        <v>0.16666666666666666</v>
      </c>
    </row>
    <row r="172" spans="1:10" ht="28.8">
      <c r="A172" s="16">
        <v>171</v>
      </c>
      <c r="B172" s="15" t="s">
        <v>2591</v>
      </c>
      <c r="C172" s="17">
        <v>2025</v>
      </c>
      <c r="D172" s="14" t="s">
        <v>49</v>
      </c>
      <c r="E172" s="15" t="s">
        <v>73</v>
      </c>
      <c r="F172" s="16">
        <f t="shared" si="4"/>
        <v>1</v>
      </c>
      <c r="G172" s="15" t="s">
        <v>789</v>
      </c>
      <c r="H172" s="18" t="s">
        <v>2593</v>
      </c>
      <c r="I172" s="19">
        <v>2</v>
      </c>
      <c r="J172" s="20">
        <f t="shared" si="5"/>
        <v>0.5</v>
      </c>
    </row>
    <row r="173" spans="1:10" ht="28.8">
      <c r="A173" s="16">
        <v>172</v>
      </c>
      <c r="B173" s="15" t="s">
        <v>3928</v>
      </c>
      <c r="C173" s="17">
        <v>2025</v>
      </c>
      <c r="D173" s="14" t="s">
        <v>3676</v>
      </c>
      <c r="E173" s="15" t="s">
        <v>3930</v>
      </c>
      <c r="F173" s="16">
        <f t="shared" si="4"/>
        <v>1</v>
      </c>
      <c r="G173" s="15" t="s">
        <v>385</v>
      </c>
      <c r="H173" s="18" t="s">
        <v>3933</v>
      </c>
      <c r="I173" s="19">
        <v>2</v>
      </c>
      <c r="J173" s="20">
        <f t="shared" si="5"/>
        <v>0.5</v>
      </c>
    </row>
    <row r="174" spans="1:10" ht="28.8">
      <c r="A174" s="16">
        <v>173</v>
      </c>
      <c r="B174" s="15" t="s">
        <v>4331</v>
      </c>
      <c r="C174" s="17">
        <v>2025</v>
      </c>
      <c r="D174" s="14" t="s">
        <v>33</v>
      </c>
      <c r="E174" s="15" t="s">
        <v>4333</v>
      </c>
      <c r="F174" s="16">
        <f t="shared" si="4"/>
        <v>1</v>
      </c>
      <c r="G174" s="15" t="s">
        <v>3141</v>
      </c>
      <c r="H174" s="18" t="s">
        <v>4339</v>
      </c>
      <c r="I174" s="19">
        <v>3</v>
      </c>
      <c r="J174" s="20">
        <f t="shared" si="5"/>
        <v>0.33333333333333331</v>
      </c>
    </row>
    <row r="175" spans="1:10" ht="28.8">
      <c r="A175" s="16">
        <v>174</v>
      </c>
      <c r="B175" s="15" t="s">
        <v>2944</v>
      </c>
      <c r="C175" s="17">
        <v>2025</v>
      </c>
      <c r="D175" s="14" t="s">
        <v>33</v>
      </c>
      <c r="E175" s="15" t="s">
        <v>2946</v>
      </c>
      <c r="F175" s="16">
        <f t="shared" si="4"/>
        <v>1</v>
      </c>
      <c r="G175" s="15" t="s">
        <v>2943</v>
      </c>
      <c r="H175" s="18" t="s">
        <v>2949</v>
      </c>
      <c r="I175" s="19">
        <v>5</v>
      </c>
      <c r="J175" s="20">
        <f t="shared" si="5"/>
        <v>0.2</v>
      </c>
    </row>
    <row r="176" spans="1:10" ht="28.8">
      <c r="A176" s="16">
        <v>175</v>
      </c>
      <c r="B176" s="15" t="s">
        <v>3104</v>
      </c>
      <c r="C176" s="17">
        <v>2025</v>
      </c>
      <c r="D176" s="14" t="s">
        <v>33</v>
      </c>
      <c r="E176" s="15" t="s">
        <v>957</v>
      </c>
      <c r="F176" s="16">
        <f t="shared" si="4"/>
        <v>1</v>
      </c>
      <c r="G176" s="15" t="s">
        <v>164</v>
      </c>
      <c r="H176" s="18" t="s">
        <v>3107</v>
      </c>
      <c r="I176" s="19">
        <v>8</v>
      </c>
      <c r="J176" s="20">
        <f t="shared" si="5"/>
        <v>0.125</v>
      </c>
    </row>
    <row r="177" spans="1:10">
      <c r="A177" s="16">
        <v>176</v>
      </c>
      <c r="B177" s="15" t="s">
        <v>5502</v>
      </c>
      <c r="C177" s="17">
        <v>2025</v>
      </c>
      <c r="D177" s="14" t="s">
        <v>49</v>
      </c>
      <c r="E177" s="15" t="s">
        <v>2392</v>
      </c>
      <c r="F177" s="16">
        <f t="shared" si="4"/>
        <v>1</v>
      </c>
      <c r="G177" s="15" t="s">
        <v>5501</v>
      </c>
      <c r="H177" s="18" t="s">
        <v>5505</v>
      </c>
      <c r="I177" s="19">
        <v>2</v>
      </c>
      <c r="J177" s="20">
        <f t="shared" si="5"/>
        <v>0.5</v>
      </c>
    </row>
    <row r="178" spans="1:10" ht="28.8">
      <c r="A178" s="16">
        <v>177</v>
      </c>
      <c r="B178" s="15" t="s">
        <v>4949</v>
      </c>
      <c r="C178" s="17">
        <v>2025</v>
      </c>
      <c r="D178" s="14" t="s">
        <v>33</v>
      </c>
      <c r="E178" s="15" t="s">
        <v>4951</v>
      </c>
      <c r="F178" s="16">
        <f t="shared" si="4"/>
        <v>1</v>
      </c>
      <c r="G178" s="15" t="s">
        <v>4948</v>
      </c>
      <c r="H178" s="18" t="s">
        <v>4955</v>
      </c>
      <c r="I178" s="19">
        <v>6</v>
      </c>
      <c r="J178" s="20">
        <f t="shared" si="5"/>
        <v>0.16666666666666666</v>
      </c>
    </row>
    <row r="179" spans="1:10">
      <c r="A179" s="16">
        <v>178</v>
      </c>
      <c r="B179" s="15" t="s">
        <v>312</v>
      </c>
      <c r="C179" s="17">
        <v>2025</v>
      </c>
      <c r="D179" s="14" t="s">
        <v>33</v>
      </c>
      <c r="E179" s="15" t="s">
        <v>314</v>
      </c>
      <c r="F179" s="16">
        <f t="shared" si="4"/>
        <v>1</v>
      </c>
      <c r="G179" s="15" t="s">
        <v>164</v>
      </c>
      <c r="H179" s="18" t="s">
        <v>319</v>
      </c>
      <c r="I179" s="19">
        <v>29</v>
      </c>
      <c r="J179" s="20">
        <f t="shared" si="5"/>
        <v>3.4482758620689655E-2</v>
      </c>
    </row>
    <row r="180" spans="1:10">
      <c r="A180" s="16">
        <v>179</v>
      </c>
      <c r="B180" s="15" t="s">
        <v>5169</v>
      </c>
      <c r="C180" s="17">
        <v>2025</v>
      </c>
      <c r="D180" s="14" t="s">
        <v>33</v>
      </c>
      <c r="E180" s="15" t="s">
        <v>167</v>
      </c>
      <c r="F180" s="16">
        <f t="shared" si="4"/>
        <v>3</v>
      </c>
      <c r="G180" s="15" t="s">
        <v>5924</v>
      </c>
      <c r="H180" s="18" t="s">
        <v>5171</v>
      </c>
      <c r="I180" s="19">
        <v>4</v>
      </c>
      <c r="J180" s="20">
        <f t="shared" si="5"/>
        <v>0.75</v>
      </c>
    </row>
    <row r="181" spans="1:10" ht="28.8">
      <c r="A181" s="16">
        <v>180</v>
      </c>
      <c r="B181" s="15" t="s">
        <v>1539</v>
      </c>
      <c r="C181" s="17">
        <v>2025</v>
      </c>
      <c r="D181" s="14" t="s">
        <v>33</v>
      </c>
      <c r="E181" s="15" t="s">
        <v>1541</v>
      </c>
      <c r="F181" s="16">
        <f t="shared" si="4"/>
        <v>1</v>
      </c>
      <c r="G181" s="15" t="s">
        <v>790</v>
      </c>
      <c r="H181" s="18" t="s">
        <v>1546</v>
      </c>
      <c r="I181" s="19">
        <v>3</v>
      </c>
      <c r="J181" s="20">
        <f t="shared" si="5"/>
        <v>0.33333333333333331</v>
      </c>
    </row>
    <row r="182" spans="1:10">
      <c r="A182" s="16">
        <v>181</v>
      </c>
      <c r="B182" s="15" t="s">
        <v>3075</v>
      </c>
      <c r="C182" s="17">
        <v>2025</v>
      </c>
      <c r="D182" s="14" t="s">
        <v>33</v>
      </c>
      <c r="E182" s="15" t="s">
        <v>3077</v>
      </c>
      <c r="F182" s="16">
        <f t="shared" si="4"/>
        <v>2</v>
      </c>
      <c r="G182" s="15" t="s">
        <v>5925</v>
      </c>
      <c r="H182" s="18" t="s">
        <v>3081</v>
      </c>
      <c r="I182" s="19">
        <v>4</v>
      </c>
      <c r="J182" s="20">
        <f t="shared" si="5"/>
        <v>0.5</v>
      </c>
    </row>
    <row r="183" spans="1:10" ht="28.8">
      <c r="A183" s="16">
        <v>182</v>
      </c>
      <c r="B183" s="15" t="s">
        <v>3340</v>
      </c>
      <c r="C183" s="17">
        <v>2025</v>
      </c>
      <c r="D183" s="14" t="s">
        <v>2112</v>
      </c>
      <c r="E183" s="15" t="s">
        <v>167</v>
      </c>
      <c r="F183" s="16">
        <f t="shared" si="4"/>
        <v>1</v>
      </c>
      <c r="G183" s="15" t="s">
        <v>1619</v>
      </c>
      <c r="H183" s="18" t="s">
        <v>3345</v>
      </c>
      <c r="I183" s="19">
        <v>2</v>
      </c>
      <c r="J183" s="20">
        <f t="shared" si="5"/>
        <v>0.5</v>
      </c>
    </row>
    <row r="184" spans="1:10">
      <c r="A184" s="16">
        <v>183</v>
      </c>
      <c r="B184" s="15" t="s">
        <v>5735</v>
      </c>
      <c r="C184" s="17">
        <v>2025</v>
      </c>
      <c r="D184" s="14" t="s">
        <v>33</v>
      </c>
      <c r="E184" s="15" t="s">
        <v>167</v>
      </c>
      <c r="F184" s="16">
        <f t="shared" si="4"/>
        <v>1</v>
      </c>
      <c r="G184" s="15" t="s">
        <v>5734</v>
      </c>
      <c r="H184" s="18" t="s">
        <v>5740</v>
      </c>
      <c r="I184" s="19">
        <v>1</v>
      </c>
      <c r="J184" s="20">
        <f t="shared" si="5"/>
        <v>1</v>
      </c>
    </row>
    <row r="185" spans="1:10">
      <c r="A185" s="16">
        <v>184</v>
      </c>
      <c r="B185" s="15" t="s">
        <v>3489</v>
      </c>
      <c r="C185" s="17">
        <v>2025</v>
      </c>
      <c r="D185" s="14" t="s">
        <v>49</v>
      </c>
      <c r="E185" s="15" t="s">
        <v>3491</v>
      </c>
      <c r="F185" s="16">
        <f t="shared" si="4"/>
        <v>1</v>
      </c>
      <c r="G185" s="15" t="s">
        <v>254</v>
      </c>
      <c r="H185" s="18" t="s">
        <v>3493</v>
      </c>
      <c r="I185" s="19">
        <v>11</v>
      </c>
      <c r="J185" s="20">
        <f t="shared" si="5"/>
        <v>9.0909090909090912E-2</v>
      </c>
    </row>
    <row r="186" spans="1:10">
      <c r="A186" s="16">
        <v>185</v>
      </c>
      <c r="B186" s="15" t="s">
        <v>5710</v>
      </c>
      <c r="C186" s="17">
        <v>2025</v>
      </c>
      <c r="D186" s="14" t="s">
        <v>33</v>
      </c>
      <c r="E186" s="15" t="s">
        <v>4161</v>
      </c>
      <c r="F186" s="16">
        <f t="shared" si="4"/>
        <v>1</v>
      </c>
      <c r="G186" s="15" t="s">
        <v>834</v>
      </c>
      <c r="H186" s="18" t="s">
        <v>5714</v>
      </c>
      <c r="I186" s="19">
        <v>5</v>
      </c>
      <c r="J186" s="20">
        <f t="shared" si="5"/>
        <v>0.2</v>
      </c>
    </row>
    <row r="187" spans="1:10" ht="28.8">
      <c r="A187" s="16">
        <v>186</v>
      </c>
      <c r="B187" s="15" t="s">
        <v>4313</v>
      </c>
      <c r="C187" s="17">
        <v>2025</v>
      </c>
      <c r="D187" s="14" t="s">
        <v>33</v>
      </c>
      <c r="E187" s="15" t="s">
        <v>4315</v>
      </c>
      <c r="F187" s="16">
        <f t="shared" si="4"/>
        <v>1</v>
      </c>
      <c r="G187" s="15" t="s">
        <v>4312</v>
      </c>
      <c r="H187" s="18" t="s">
        <v>4319</v>
      </c>
      <c r="I187" s="19">
        <v>3</v>
      </c>
      <c r="J187" s="20">
        <f t="shared" si="5"/>
        <v>0.33333333333333331</v>
      </c>
    </row>
    <row r="188" spans="1:10" ht="28.8">
      <c r="A188" s="16">
        <v>187</v>
      </c>
      <c r="B188" s="15" t="s">
        <v>3397</v>
      </c>
      <c r="C188" s="17">
        <v>2025</v>
      </c>
      <c r="D188" s="14" t="s">
        <v>33</v>
      </c>
      <c r="E188" s="15" t="s">
        <v>167</v>
      </c>
      <c r="F188" s="16">
        <f t="shared" si="4"/>
        <v>4</v>
      </c>
      <c r="G188" s="15" t="s">
        <v>5926</v>
      </c>
      <c r="H188" s="18" t="s">
        <v>3399</v>
      </c>
      <c r="I188" s="19">
        <v>4</v>
      </c>
      <c r="J188" s="20">
        <f t="shared" si="5"/>
        <v>1</v>
      </c>
    </row>
    <row r="189" spans="1:10" ht="28.8">
      <c r="A189" s="16">
        <v>188</v>
      </c>
      <c r="B189" s="15" t="s">
        <v>1240</v>
      </c>
      <c r="C189" s="17">
        <v>2025</v>
      </c>
      <c r="D189" s="14" t="s">
        <v>33</v>
      </c>
      <c r="E189" s="15" t="s">
        <v>1242</v>
      </c>
      <c r="F189" s="16">
        <f t="shared" si="4"/>
        <v>4</v>
      </c>
      <c r="G189" s="15" t="s">
        <v>5927</v>
      </c>
      <c r="H189" s="18" t="s">
        <v>1245</v>
      </c>
      <c r="I189" s="19">
        <v>5</v>
      </c>
      <c r="J189" s="20">
        <f t="shared" si="5"/>
        <v>0.8</v>
      </c>
    </row>
    <row r="190" spans="1:10" ht="28.8">
      <c r="A190" s="16">
        <v>189</v>
      </c>
      <c r="B190" s="15" t="s">
        <v>5174</v>
      </c>
      <c r="C190" s="17">
        <v>2025</v>
      </c>
      <c r="D190" s="14" t="s">
        <v>33</v>
      </c>
      <c r="E190" s="15" t="s">
        <v>3046</v>
      </c>
      <c r="F190" s="16">
        <f t="shared" si="4"/>
        <v>1</v>
      </c>
      <c r="G190" s="15" t="s">
        <v>5173</v>
      </c>
      <c r="H190" s="18" t="s">
        <v>5176</v>
      </c>
      <c r="I190" s="19">
        <v>9</v>
      </c>
      <c r="J190" s="20">
        <f t="shared" si="5"/>
        <v>0.1111111111111111</v>
      </c>
    </row>
    <row r="191" spans="1:10">
      <c r="A191" s="16">
        <v>190</v>
      </c>
      <c r="B191" s="15" t="s">
        <v>2923</v>
      </c>
      <c r="C191" s="17">
        <v>2025</v>
      </c>
      <c r="D191" s="14" t="s">
        <v>49</v>
      </c>
      <c r="E191" s="15" t="s">
        <v>2925</v>
      </c>
      <c r="F191" s="16">
        <f t="shared" si="4"/>
        <v>4</v>
      </c>
      <c r="G191" s="15" t="s">
        <v>5928</v>
      </c>
      <c r="H191" s="18" t="s">
        <v>2929</v>
      </c>
      <c r="I191" s="19">
        <v>8</v>
      </c>
      <c r="J191" s="20">
        <f t="shared" si="5"/>
        <v>0.5</v>
      </c>
    </row>
    <row r="192" spans="1:10" ht="28.8">
      <c r="A192" s="16">
        <v>191</v>
      </c>
      <c r="B192" s="15" t="s">
        <v>3516</v>
      </c>
      <c r="C192" s="17">
        <v>2025</v>
      </c>
      <c r="D192" s="14" t="s">
        <v>33</v>
      </c>
      <c r="E192" s="15" t="s">
        <v>3518</v>
      </c>
      <c r="F192" s="16">
        <f t="shared" si="4"/>
        <v>1</v>
      </c>
      <c r="G192" s="15" t="s">
        <v>3515</v>
      </c>
      <c r="H192" s="18" t="s">
        <v>3521</v>
      </c>
      <c r="I192" s="19">
        <v>8</v>
      </c>
      <c r="J192" s="20">
        <f t="shared" si="5"/>
        <v>0.125</v>
      </c>
    </row>
    <row r="193" spans="1:10" ht="28.8">
      <c r="A193" s="16">
        <v>192</v>
      </c>
      <c r="B193" s="15" t="s">
        <v>4619</v>
      </c>
      <c r="C193" s="17">
        <v>2025</v>
      </c>
      <c r="D193" s="14" t="s">
        <v>33</v>
      </c>
      <c r="E193" s="15" t="s">
        <v>4621</v>
      </c>
      <c r="F193" s="16">
        <f t="shared" si="4"/>
        <v>2</v>
      </c>
      <c r="G193" s="15" t="s">
        <v>5929</v>
      </c>
      <c r="H193" s="18" t="s">
        <v>4626</v>
      </c>
      <c r="I193" s="19">
        <v>2</v>
      </c>
      <c r="J193" s="20">
        <f t="shared" si="5"/>
        <v>1</v>
      </c>
    </row>
    <row r="194" spans="1:10" ht="28.8">
      <c r="A194" s="16">
        <v>193</v>
      </c>
      <c r="B194" s="15" t="s">
        <v>3984</v>
      </c>
      <c r="C194" s="17">
        <v>2025</v>
      </c>
      <c r="D194" s="14" t="s">
        <v>33</v>
      </c>
      <c r="E194" s="15" t="s">
        <v>3986</v>
      </c>
      <c r="F194" s="16">
        <f t="shared" ref="F194:F257" si="6">IF($G194="",0,LEN($G194)-LEN(SUBSTITUTE($G194,"|",""))+1)</f>
        <v>1</v>
      </c>
      <c r="G194" s="15" t="s">
        <v>1723</v>
      </c>
      <c r="H194" s="18" t="s">
        <v>3989</v>
      </c>
      <c r="I194" s="19">
        <v>7</v>
      </c>
      <c r="J194" s="20">
        <f t="shared" ref="J194:J257" si="7">IFERROR(F194/I194,"")</f>
        <v>0.14285714285714285</v>
      </c>
    </row>
    <row r="195" spans="1:10" ht="28.8">
      <c r="A195" s="16">
        <v>194</v>
      </c>
      <c r="B195" s="15" t="s">
        <v>1143</v>
      </c>
      <c r="C195" s="17">
        <v>2025</v>
      </c>
      <c r="D195" s="14" t="s">
        <v>49</v>
      </c>
      <c r="E195" s="15" t="s">
        <v>1145</v>
      </c>
      <c r="F195" s="16">
        <f t="shared" si="6"/>
        <v>1</v>
      </c>
      <c r="G195" s="15" t="s">
        <v>113</v>
      </c>
      <c r="H195" s="18" t="s">
        <v>1148</v>
      </c>
      <c r="I195" s="19">
        <v>8</v>
      </c>
      <c r="J195" s="20">
        <f t="shared" si="7"/>
        <v>0.125</v>
      </c>
    </row>
    <row r="196" spans="1:10">
      <c r="A196" s="16">
        <v>195</v>
      </c>
      <c r="B196" s="15" t="s">
        <v>4325</v>
      </c>
      <c r="C196" s="17">
        <v>2025</v>
      </c>
      <c r="D196" s="14" t="s">
        <v>2904</v>
      </c>
      <c r="E196" s="15" t="s">
        <v>1372</v>
      </c>
      <c r="F196" s="16">
        <f t="shared" si="6"/>
        <v>1</v>
      </c>
      <c r="G196" s="15" t="s">
        <v>635</v>
      </c>
      <c r="H196" s="18" t="s">
        <v>4327</v>
      </c>
      <c r="I196" s="19">
        <v>3</v>
      </c>
      <c r="J196" s="20">
        <f t="shared" si="7"/>
        <v>0.33333333333333331</v>
      </c>
    </row>
    <row r="197" spans="1:10" ht="28.8">
      <c r="A197" s="16">
        <v>196</v>
      </c>
      <c r="B197" s="15" t="s">
        <v>4686</v>
      </c>
      <c r="C197" s="17">
        <v>2025</v>
      </c>
      <c r="D197" s="14" t="s">
        <v>3676</v>
      </c>
      <c r="E197" s="15" t="s">
        <v>357</v>
      </c>
      <c r="F197" s="16">
        <f t="shared" si="6"/>
        <v>1</v>
      </c>
      <c r="G197" s="15" t="s">
        <v>22</v>
      </c>
      <c r="H197" s="18" t="s">
        <v>4688</v>
      </c>
      <c r="I197" s="19">
        <v>2</v>
      </c>
      <c r="J197" s="20">
        <f t="shared" si="7"/>
        <v>0.5</v>
      </c>
    </row>
    <row r="198" spans="1:10" ht="28.8">
      <c r="A198" s="16">
        <v>197</v>
      </c>
      <c r="B198" s="15" t="s">
        <v>587</v>
      </c>
      <c r="C198" s="17">
        <v>2025</v>
      </c>
      <c r="D198" s="14" t="s">
        <v>49</v>
      </c>
      <c r="E198" s="15" t="s">
        <v>59</v>
      </c>
      <c r="F198" s="16">
        <f t="shared" si="6"/>
        <v>1</v>
      </c>
      <c r="G198" s="15" t="s">
        <v>586</v>
      </c>
      <c r="H198" s="18" t="s">
        <v>590</v>
      </c>
      <c r="I198" s="19">
        <v>4</v>
      </c>
      <c r="J198" s="20">
        <f t="shared" si="7"/>
        <v>0.25</v>
      </c>
    </row>
    <row r="199" spans="1:10" ht="43.2">
      <c r="A199" s="16">
        <v>198</v>
      </c>
      <c r="B199" s="15" t="s">
        <v>2243</v>
      </c>
      <c r="C199" s="17">
        <v>2025</v>
      </c>
      <c r="D199" s="14" t="s">
        <v>49</v>
      </c>
      <c r="E199" s="15" t="s">
        <v>2245</v>
      </c>
      <c r="F199" s="16">
        <f t="shared" si="6"/>
        <v>1</v>
      </c>
      <c r="G199" s="15" t="s">
        <v>2242</v>
      </c>
      <c r="H199" s="18" t="s">
        <v>2249</v>
      </c>
      <c r="I199" s="19">
        <v>29</v>
      </c>
      <c r="J199" s="20">
        <f t="shared" si="7"/>
        <v>3.4482758620689655E-2</v>
      </c>
    </row>
    <row r="200" spans="1:10" ht="28.8">
      <c r="A200" s="16">
        <v>199</v>
      </c>
      <c r="B200" s="15" t="s">
        <v>4479</v>
      </c>
      <c r="C200" s="17">
        <v>2025</v>
      </c>
      <c r="D200" s="14" t="s">
        <v>33</v>
      </c>
      <c r="E200" s="15" t="s">
        <v>4481</v>
      </c>
      <c r="F200" s="16">
        <f t="shared" si="6"/>
        <v>2</v>
      </c>
      <c r="G200" s="15" t="s">
        <v>5930</v>
      </c>
      <c r="H200" s="18" t="s">
        <v>4486</v>
      </c>
      <c r="I200" s="19">
        <v>3</v>
      </c>
      <c r="J200" s="20">
        <f t="shared" si="7"/>
        <v>0.66666666666666663</v>
      </c>
    </row>
    <row r="201" spans="1:10" ht="28.8">
      <c r="A201" s="16">
        <v>200</v>
      </c>
      <c r="B201" s="15" t="s">
        <v>2955</v>
      </c>
      <c r="C201" s="17">
        <v>2025</v>
      </c>
      <c r="D201" s="14" t="s">
        <v>33</v>
      </c>
      <c r="E201" s="15" t="s">
        <v>2518</v>
      </c>
      <c r="F201" s="16">
        <f t="shared" si="6"/>
        <v>1</v>
      </c>
      <c r="G201" s="15" t="s">
        <v>2954</v>
      </c>
      <c r="H201" s="18" t="s">
        <v>2959</v>
      </c>
      <c r="I201" s="19">
        <v>4</v>
      </c>
      <c r="J201" s="20">
        <f t="shared" si="7"/>
        <v>0.25</v>
      </c>
    </row>
    <row r="202" spans="1:10" ht="28.8">
      <c r="A202" s="16">
        <v>201</v>
      </c>
      <c r="B202" s="15" t="s">
        <v>2164</v>
      </c>
      <c r="C202" s="17">
        <v>2025</v>
      </c>
      <c r="D202" s="14" t="s">
        <v>33</v>
      </c>
      <c r="E202" s="15" t="s">
        <v>2166</v>
      </c>
      <c r="F202" s="16">
        <f t="shared" si="6"/>
        <v>4</v>
      </c>
      <c r="G202" s="15" t="s">
        <v>5931</v>
      </c>
      <c r="H202" s="18" t="s">
        <v>2168</v>
      </c>
      <c r="I202" s="19">
        <v>12</v>
      </c>
      <c r="J202" s="20">
        <f t="shared" si="7"/>
        <v>0.33333333333333331</v>
      </c>
    </row>
    <row r="203" spans="1:10" ht="28.8">
      <c r="A203" s="16">
        <v>202</v>
      </c>
      <c r="B203" s="15" t="s">
        <v>4560</v>
      </c>
      <c r="C203" s="17">
        <v>2025</v>
      </c>
      <c r="D203" s="14" t="s">
        <v>33</v>
      </c>
      <c r="E203" s="15" t="s">
        <v>4562</v>
      </c>
      <c r="F203" s="16">
        <f t="shared" si="6"/>
        <v>2</v>
      </c>
      <c r="G203" s="15" t="s">
        <v>5932</v>
      </c>
      <c r="H203" s="18" t="s">
        <v>4567</v>
      </c>
      <c r="I203" s="19">
        <v>4</v>
      </c>
      <c r="J203" s="20">
        <f t="shared" si="7"/>
        <v>0.5</v>
      </c>
    </row>
    <row r="204" spans="1:10" ht="28.8">
      <c r="A204" s="16">
        <v>203</v>
      </c>
      <c r="B204" s="15" t="s">
        <v>2910</v>
      </c>
      <c r="C204" s="17">
        <v>2025</v>
      </c>
      <c r="D204" s="14" t="s">
        <v>49</v>
      </c>
      <c r="E204" s="15" t="s">
        <v>2912</v>
      </c>
      <c r="F204" s="16">
        <f t="shared" si="6"/>
        <v>2</v>
      </c>
      <c r="G204" s="15" t="s">
        <v>5933</v>
      </c>
      <c r="H204" s="18" t="s">
        <v>2918</v>
      </c>
      <c r="I204" s="19">
        <v>8</v>
      </c>
      <c r="J204" s="20">
        <f t="shared" si="7"/>
        <v>0.25</v>
      </c>
    </row>
    <row r="205" spans="1:10" ht="57.6">
      <c r="A205" s="16">
        <v>204</v>
      </c>
      <c r="B205" s="15" t="s">
        <v>5867</v>
      </c>
      <c r="C205" s="17">
        <v>2025</v>
      </c>
      <c r="D205" s="14" t="s">
        <v>2112</v>
      </c>
      <c r="E205" s="15" t="s">
        <v>4357</v>
      </c>
      <c r="F205" s="16">
        <f t="shared" si="6"/>
        <v>1</v>
      </c>
      <c r="G205" s="15" t="s">
        <v>3503</v>
      </c>
      <c r="H205" s="18" t="s">
        <v>5869</v>
      </c>
      <c r="I205" s="19">
        <v>2</v>
      </c>
      <c r="J205" s="20">
        <f t="shared" si="7"/>
        <v>0.5</v>
      </c>
    </row>
    <row r="206" spans="1:10" ht="28.8">
      <c r="A206" s="16">
        <v>205</v>
      </c>
      <c r="B206" s="15" t="s">
        <v>5691</v>
      </c>
      <c r="C206" s="17">
        <v>2025</v>
      </c>
      <c r="D206" s="14" t="s">
        <v>33</v>
      </c>
      <c r="E206" s="15" t="s">
        <v>5693</v>
      </c>
      <c r="F206" s="16">
        <f t="shared" si="6"/>
        <v>2</v>
      </c>
      <c r="G206" s="15" t="s">
        <v>5934</v>
      </c>
      <c r="H206" s="18" t="s">
        <v>5696</v>
      </c>
      <c r="I206" s="19">
        <v>19</v>
      </c>
      <c r="J206" s="20">
        <f t="shared" si="7"/>
        <v>0.10526315789473684</v>
      </c>
    </row>
    <row r="207" spans="1:10" ht="43.2">
      <c r="A207" s="16">
        <v>206</v>
      </c>
      <c r="B207" s="15" t="s">
        <v>4802</v>
      </c>
      <c r="C207" s="17">
        <v>2025</v>
      </c>
      <c r="D207" s="14" t="s">
        <v>33</v>
      </c>
      <c r="E207" s="15" t="s">
        <v>4804</v>
      </c>
      <c r="F207" s="16">
        <f t="shared" si="6"/>
        <v>2</v>
      </c>
      <c r="G207" s="15" t="s">
        <v>5935</v>
      </c>
      <c r="H207" s="18" t="s">
        <v>4806</v>
      </c>
      <c r="I207" s="19">
        <v>9</v>
      </c>
      <c r="J207" s="20">
        <f t="shared" si="7"/>
        <v>0.22222222222222221</v>
      </c>
    </row>
    <row r="208" spans="1:10" ht="28.8">
      <c r="A208" s="16">
        <v>207</v>
      </c>
      <c r="B208" s="15" t="s">
        <v>3711</v>
      </c>
      <c r="C208" s="17">
        <v>2025</v>
      </c>
      <c r="D208" s="14" t="s">
        <v>33</v>
      </c>
      <c r="E208" s="15" t="s">
        <v>3713</v>
      </c>
      <c r="F208" s="16">
        <f t="shared" si="6"/>
        <v>1</v>
      </c>
      <c r="G208" s="15" t="s">
        <v>1983</v>
      </c>
      <c r="H208" s="18" t="s">
        <v>3717</v>
      </c>
      <c r="I208" s="19">
        <v>7</v>
      </c>
      <c r="J208" s="20">
        <f t="shared" si="7"/>
        <v>0.14285714285714285</v>
      </c>
    </row>
    <row r="209" spans="1:10">
      <c r="A209" s="16">
        <v>208</v>
      </c>
      <c r="B209" s="15" t="s">
        <v>3373</v>
      </c>
      <c r="C209" s="17">
        <v>2025</v>
      </c>
      <c r="D209" s="14" t="s">
        <v>33</v>
      </c>
      <c r="E209" s="15" t="s">
        <v>167</v>
      </c>
      <c r="F209" s="16">
        <f t="shared" si="6"/>
        <v>2</v>
      </c>
      <c r="G209" s="15" t="s">
        <v>5936</v>
      </c>
      <c r="H209" s="18" t="s">
        <v>3375</v>
      </c>
      <c r="I209" s="19">
        <v>2</v>
      </c>
      <c r="J209" s="20">
        <f t="shared" si="7"/>
        <v>1</v>
      </c>
    </row>
    <row r="210" spans="1:10" ht="28.8">
      <c r="A210" s="16">
        <v>209</v>
      </c>
      <c r="B210" s="15" t="s">
        <v>5806</v>
      </c>
      <c r="C210" s="17">
        <v>2025</v>
      </c>
      <c r="D210" s="14" t="s">
        <v>49</v>
      </c>
      <c r="E210" s="15" t="s">
        <v>1470</v>
      </c>
      <c r="F210" s="16">
        <f t="shared" si="6"/>
        <v>1</v>
      </c>
      <c r="G210" s="15" t="s">
        <v>276</v>
      </c>
      <c r="H210" s="18" t="s">
        <v>5808</v>
      </c>
      <c r="I210" s="19">
        <v>15</v>
      </c>
      <c r="J210" s="20">
        <f t="shared" si="7"/>
        <v>6.6666666666666666E-2</v>
      </c>
    </row>
    <row r="211" spans="1:10" ht="28.8">
      <c r="A211" s="16">
        <v>210</v>
      </c>
      <c r="B211" s="15" t="s">
        <v>4595</v>
      </c>
      <c r="C211" s="17">
        <v>2025</v>
      </c>
      <c r="D211" s="14" t="s">
        <v>33</v>
      </c>
      <c r="E211" s="15" t="s">
        <v>4597</v>
      </c>
      <c r="F211" s="16">
        <f t="shared" si="6"/>
        <v>1</v>
      </c>
      <c r="G211" s="15" t="s">
        <v>4594</v>
      </c>
      <c r="H211" s="18" t="s">
        <v>4602</v>
      </c>
      <c r="I211" s="19">
        <v>4</v>
      </c>
      <c r="J211" s="20">
        <f t="shared" si="7"/>
        <v>0.25</v>
      </c>
    </row>
    <row r="212" spans="1:10" ht="28.8">
      <c r="A212" s="16">
        <v>211</v>
      </c>
      <c r="B212" s="15" t="s">
        <v>4842</v>
      </c>
      <c r="C212" s="17">
        <v>2025</v>
      </c>
      <c r="D212" s="14" t="s">
        <v>33</v>
      </c>
      <c r="E212" s="15" t="s">
        <v>1470</v>
      </c>
      <c r="F212" s="16">
        <f t="shared" si="6"/>
        <v>1</v>
      </c>
      <c r="G212" s="15" t="s">
        <v>276</v>
      </c>
      <c r="H212" s="18" t="s">
        <v>4844</v>
      </c>
      <c r="I212" s="19">
        <v>15</v>
      </c>
      <c r="J212" s="20">
        <f t="shared" si="7"/>
        <v>6.6666666666666666E-2</v>
      </c>
    </row>
    <row r="213" spans="1:10">
      <c r="A213" s="16">
        <v>212</v>
      </c>
      <c r="B213" s="15" t="s">
        <v>5393</v>
      </c>
      <c r="C213" s="17">
        <v>2025</v>
      </c>
      <c r="D213" s="14" t="s">
        <v>49</v>
      </c>
      <c r="E213" s="15" t="s">
        <v>5395</v>
      </c>
      <c r="F213" s="16">
        <f t="shared" si="6"/>
        <v>1</v>
      </c>
      <c r="G213" s="15" t="s">
        <v>514</v>
      </c>
      <c r="H213" s="18" t="s">
        <v>5399</v>
      </c>
      <c r="I213" s="19">
        <v>2</v>
      </c>
      <c r="J213" s="20">
        <f t="shared" si="7"/>
        <v>0.5</v>
      </c>
    </row>
    <row r="214" spans="1:10" ht="28.8">
      <c r="A214" s="16">
        <v>213</v>
      </c>
      <c r="B214" s="15" t="s">
        <v>5045</v>
      </c>
      <c r="C214" s="17">
        <v>2025</v>
      </c>
      <c r="D214" s="14" t="s">
        <v>33</v>
      </c>
      <c r="E214" s="15" t="s">
        <v>2392</v>
      </c>
      <c r="F214" s="16">
        <f t="shared" si="6"/>
        <v>2</v>
      </c>
      <c r="G214" s="15" t="s">
        <v>5937</v>
      </c>
      <c r="H214" s="18" t="s">
        <v>5048</v>
      </c>
      <c r="I214" s="19">
        <v>7</v>
      </c>
      <c r="J214" s="20">
        <f t="shared" si="7"/>
        <v>0.2857142857142857</v>
      </c>
    </row>
    <row r="215" spans="1:10" ht="28.8">
      <c r="A215" s="16">
        <v>214</v>
      </c>
      <c r="B215" s="15" t="s">
        <v>2662</v>
      </c>
      <c r="C215" s="17">
        <v>2025</v>
      </c>
      <c r="D215" s="14" t="s">
        <v>33</v>
      </c>
      <c r="E215" s="15" t="s">
        <v>2664</v>
      </c>
      <c r="F215" s="16">
        <f t="shared" si="6"/>
        <v>1</v>
      </c>
      <c r="G215" s="15" t="s">
        <v>1983</v>
      </c>
      <c r="H215" s="18" t="s">
        <v>2667</v>
      </c>
      <c r="I215" s="19">
        <v>7</v>
      </c>
      <c r="J215" s="20">
        <f t="shared" si="7"/>
        <v>0.14285714285714285</v>
      </c>
    </row>
    <row r="216" spans="1:10">
      <c r="A216" s="16">
        <v>215</v>
      </c>
      <c r="B216" s="15" t="s">
        <v>4390</v>
      </c>
      <c r="C216" s="17">
        <v>2025</v>
      </c>
      <c r="D216" s="14" t="s">
        <v>33</v>
      </c>
      <c r="E216" s="15" t="s">
        <v>2392</v>
      </c>
      <c r="F216" s="16">
        <f t="shared" si="6"/>
        <v>4</v>
      </c>
      <c r="G216" s="15" t="s">
        <v>5938</v>
      </c>
      <c r="H216" s="18" t="s">
        <v>4393</v>
      </c>
      <c r="I216" s="19">
        <v>4</v>
      </c>
      <c r="J216" s="20">
        <f t="shared" si="7"/>
        <v>1</v>
      </c>
    </row>
    <row r="217" spans="1:10" ht="28.8">
      <c r="A217" s="16">
        <v>216</v>
      </c>
      <c r="B217" s="15" t="s">
        <v>3281</v>
      </c>
      <c r="C217" s="17">
        <v>2025</v>
      </c>
      <c r="D217" s="14" t="s">
        <v>33</v>
      </c>
      <c r="E217" s="15" t="s">
        <v>3283</v>
      </c>
      <c r="F217" s="16">
        <f t="shared" si="6"/>
        <v>1</v>
      </c>
      <c r="G217" s="15" t="s">
        <v>3280</v>
      </c>
      <c r="H217" s="18" t="s">
        <v>3287</v>
      </c>
      <c r="I217" s="19">
        <v>2</v>
      </c>
      <c r="J217" s="20">
        <f t="shared" si="7"/>
        <v>0.5</v>
      </c>
    </row>
    <row r="218" spans="1:10">
      <c r="A218" s="16">
        <v>217</v>
      </c>
      <c r="B218" s="15" t="s">
        <v>3920</v>
      </c>
      <c r="C218" s="17">
        <v>2025</v>
      </c>
      <c r="D218" s="14" t="s">
        <v>33</v>
      </c>
      <c r="E218" s="15" t="s">
        <v>2392</v>
      </c>
      <c r="F218" s="16">
        <f t="shared" si="6"/>
        <v>1</v>
      </c>
      <c r="G218" s="15" t="s">
        <v>3919</v>
      </c>
      <c r="H218" s="18" t="s">
        <v>3923</v>
      </c>
      <c r="I218" s="19">
        <v>4</v>
      </c>
      <c r="J218" s="20">
        <f t="shared" si="7"/>
        <v>0.25</v>
      </c>
    </row>
    <row r="219" spans="1:10" ht="57.6">
      <c r="A219" s="16">
        <v>218</v>
      </c>
      <c r="B219" s="15" t="s">
        <v>5603</v>
      </c>
      <c r="C219" s="17">
        <v>2025</v>
      </c>
      <c r="D219" s="14" t="s">
        <v>2112</v>
      </c>
      <c r="E219" s="15" t="s">
        <v>4357</v>
      </c>
      <c r="F219" s="16">
        <f t="shared" si="6"/>
        <v>2</v>
      </c>
      <c r="G219" s="15" t="s">
        <v>5939</v>
      </c>
      <c r="H219" s="18" t="s">
        <v>5605</v>
      </c>
      <c r="I219" s="19">
        <v>2</v>
      </c>
      <c r="J219" s="20">
        <f t="shared" si="7"/>
        <v>1</v>
      </c>
    </row>
    <row r="220" spans="1:10" ht="28.8">
      <c r="A220" s="16">
        <v>219</v>
      </c>
      <c r="B220" s="15" t="s">
        <v>524</v>
      </c>
      <c r="C220" s="17">
        <v>2025</v>
      </c>
      <c r="D220" s="14" t="s">
        <v>33</v>
      </c>
      <c r="E220" s="15" t="s">
        <v>525</v>
      </c>
      <c r="F220" s="16">
        <f t="shared" si="6"/>
        <v>1</v>
      </c>
      <c r="G220" s="15" t="s">
        <v>178</v>
      </c>
      <c r="H220" s="18" t="s">
        <v>530</v>
      </c>
      <c r="I220" s="19">
        <v>2</v>
      </c>
      <c r="J220" s="20">
        <f t="shared" si="7"/>
        <v>0.5</v>
      </c>
    </row>
    <row r="221" spans="1:10" ht="28.8">
      <c r="A221" s="16">
        <v>220</v>
      </c>
      <c r="B221" s="15" t="s">
        <v>3648</v>
      </c>
      <c r="C221" s="17">
        <v>2025</v>
      </c>
      <c r="D221" s="14" t="s">
        <v>49</v>
      </c>
      <c r="E221" s="15" t="s">
        <v>731</v>
      </c>
      <c r="F221" s="16">
        <f t="shared" si="6"/>
        <v>2</v>
      </c>
      <c r="G221" s="15" t="s">
        <v>5940</v>
      </c>
      <c r="H221" s="18" t="s">
        <v>3651</v>
      </c>
      <c r="I221" s="19">
        <v>4</v>
      </c>
      <c r="J221" s="20">
        <f t="shared" si="7"/>
        <v>0.5</v>
      </c>
    </row>
    <row r="222" spans="1:10" ht="28.8">
      <c r="A222" s="16">
        <v>221</v>
      </c>
      <c r="B222" s="15" t="s">
        <v>5013</v>
      </c>
      <c r="C222" s="17">
        <v>2025</v>
      </c>
      <c r="D222" s="14" t="s">
        <v>3676</v>
      </c>
      <c r="E222" s="15" t="s">
        <v>3046</v>
      </c>
      <c r="F222" s="16">
        <f t="shared" si="6"/>
        <v>1</v>
      </c>
      <c r="G222" s="15" t="s">
        <v>635</v>
      </c>
      <c r="H222" s="18" t="s">
        <v>5016</v>
      </c>
      <c r="I222" s="19">
        <v>1</v>
      </c>
      <c r="J222" s="20">
        <f t="shared" si="7"/>
        <v>1</v>
      </c>
    </row>
    <row r="223" spans="1:10" ht="28.8">
      <c r="A223" s="16">
        <v>222</v>
      </c>
      <c r="B223" s="15" t="s">
        <v>4492</v>
      </c>
      <c r="C223" s="17">
        <v>2025</v>
      </c>
      <c r="D223" s="14" t="s">
        <v>33</v>
      </c>
      <c r="E223" s="15" t="s">
        <v>4494</v>
      </c>
      <c r="F223" s="16">
        <f t="shared" si="6"/>
        <v>3</v>
      </c>
      <c r="G223" s="15" t="s">
        <v>5941</v>
      </c>
      <c r="H223" s="18" t="s">
        <v>4499</v>
      </c>
      <c r="I223" s="19">
        <v>4</v>
      </c>
      <c r="J223" s="20">
        <f t="shared" si="7"/>
        <v>0.75</v>
      </c>
    </row>
    <row r="224" spans="1:10">
      <c r="A224" s="16">
        <v>223</v>
      </c>
      <c r="B224" s="15" t="s">
        <v>4040</v>
      </c>
      <c r="C224" s="17">
        <v>2025</v>
      </c>
      <c r="D224" s="14" t="s">
        <v>33</v>
      </c>
      <c r="E224" s="15" t="s">
        <v>4042</v>
      </c>
      <c r="F224" s="16">
        <f t="shared" si="6"/>
        <v>1</v>
      </c>
      <c r="G224" s="15" t="s">
        <v>4039</v>
      </c>
      <c r="H224" s="18" t="s">
        <v>4046</v>
      </c>
      <c r="I224" s="19">
        <v>2</v>
      </c>
      <c r="J224" s="20">
        <f t="shared" si="7"/>
        <v>0.5</v>
      </c>
    </row>
    <row r="225" spans="1:10" ht="28.8">
      <c r="A225" s="16">
        <v>224</v>
      </c>
      <c r="B225" s="15" t="s">
        <v>3024</v>
      </c>
      <c r="C225" s="17">
        <v>2025</v>
      </c>
      <c r="D225" s="14" t="s">
        <v>33</v>
      </c>
      <c r="E225" s="15" t="s">
        <v>231</v>
      </c>
      <c r="F225" s="16">
        <f t="shared" si="6"/>
        <v>1</v>
      </c>
      <c r="G225" s="15" t="s">
        <v>228</v>
      </c>
      <c r="H225" s="18" t="s">
        <v>3026</v>
      </c>
      <c r="I225" s="19">
        <v>15</v>
      </c>
      <c r="J225" s="20">
        <f t="shared" si="7"/>
        <v>6.6666666666666666E-2</v>
      </c>
    </row>
    <row r="226" spans="1:10" ht="28.8">
      <c r="A226" s="16">
        <v>225</v>
      </c>
      <c r="B226" s="15" t="s">
        <v>2030</v>
      </c>
      <c r="C226" s="17">
        <v>2025</v>
      </c>
      <c r="D226" s="14" t="s">
        <v>33</v>
      </c>
      <c r="E226" s="15" t="s">
        <v>1877</v>
      </c>
      <c r="F226" s="16">
        <f t="shared" si="6"/>
        <v>1</v>
      </c>
      <c r="G226" s="15" t="s">
        <v>164</v>
      </c>
      <c r="H226" s="18" t="s">
        <v>2032</v>
      </c>
      <c r="I226" s="19">
        <v>13</v>
      </c>
      <c r="J226" s="20">
        <f t="shared" si="7"/>
        <v>7.6923076923076927E-2</v>
      </c>
    </row>
    <row r="227" spans="1:10" ht="28.8">
      <c r="A227" s="16">
        <v>226</v>
      </c>
      <c r="B227" s="15" t="s">
        <v>5723</v>
      </c>
      <c r="C227" s="17">
        <v>2025</v>
      </c>
      <c r="D227" s="14" t="s">
        <v>33</v>
      </c>
      <c r="E227" s="15" t="s">
        <v>5725</v>
      </c>
      <c r="F227" s="16">
        <f t="shared" si="6"/>
        <v>1</v>
      </c>
      <c r="G227" s="15" t="s">
        <v>635</v>
      </c>
      <c r="H227" s="18" t="s">
        <v>5729</v>
      </c>
      <c r="I227" s="19">
        <v>20</v>
      </c>
      <c r="J227" s="20">
        <f t="shared" si="7"/>
        <v>0.05</v>
      </c>
    </row>
    <row r="228" spans="1:10">
      <c r="A228" s="16">
        <v>227</v>
      </c>
      <c r="B228" s="15" t="s">
        <v>2222</v>
      </c>
      <c r="C228" s="17">
        <v>2025</v>
      </c>
      <c r="D228" s="14" t="s">
        <v>33</v>
      </c>
      <c r="E228" s="15" t="s">
        <v>2224</v>
      </c>
      <c r="F228" s="16">
        <f t="shared" si="6"/>
        <v>1</v>
      </c>
      <c r="G228" s="15" t="s">
        <v>789</v>
      </c>
      <c r="H228" s="18" t="s">
        <v>2227</v>
      </c>
      <c r="I228" s="19">
        <v>18</v>
      </c>
      <c r="J228" s="20">
        <f t="shared" si="7"/>
        <v>5.5555555555555552E-2</v>
      </c>
    </row>
    <row r="229" spans="1:10">
      <c r="A229" s="16">
        <v>228</v>
      </c>
      <c r="B229" s="15" t="s">
        <v>471</v>
      </c>
      <c r="C229" s="17">
        <v>2025</v>
      </c>
      <c r="D229" s="14" t="s">
        <v>208</v>
      </c>
      <c r="E229" s="15" t="s">
        <v>473</v>
      </c>
      <c r="F229" s="16">
        <f t="shared" si="6"/>
        <v>1</v>
      </c>
      <c r="G229" s="15" t="s">
        <v>470</v>
      </c>
      <c r="H229" s="18" t="s">
        <v>477</v>
      </c>
      <c r="I229" s="19">
        <v>5</v>
      </c>
      <c r="J229" s="20">
        <f t="shared" si="7"/>
        <v>0.2</v>
      </c>
    </row>
    <row r="230" spans="1:10">
      <c r="A230" s="16">
        <v>229</v>
      </c>
      <c r="B230" s="15" t="s">
        <v>4985</v>
      </c>
      <c r="C230" s="17">
        <v>2025</v>
      </c>
      <c r="D230" s="14" t="s">
        <v>33</v>
      </c>
      <c r="E230" s="15" t="s">
        <v>4987</v>
      </c>
      <c r="F230" s="16">
        <f t="shared" si="6"/>
        <v>1</v>
      </c>
      <c r="G230" s="15" t="s">
        <v>4039</v>
      </c>
      <c r="H230" s="18" t="s">
        <v>4992</v>
      </c>
      <c r="I230" s="19">
        <v>2</v>
      </c>
      <c r="J230" s="20">
        <f t="shared" si="7"/>
        <v>0.5</v>
      </c>
    </row>
    <row r="231" spans="1:10" ht="28.8">
      <c r="A231" s="16">
        <v>230</v>
      </c>
      <c r="B231" s="15" t="s">
        <v>4345</v>
      </c>
      <c r="C231" s="17">
        <v>2025</v>
      </c>
      <c r="D231" s="14" t="s">
        <v>33</v>
      </c>
      <c r="E231" s="15" t="s">
        <v>4347</v>
      </c>
      <c r="F231" s="16">
        <f t="shared" si="6"/>
        <v>1</v>
      </c>
      <c r="G231" s="15" t="s">
        <v>4344</v>
      </c>
      <c r="H231" s="18" t="s">
        <v>4353</v>
      </c>
      <c r="I231" s="19">
        <v>1</v>
      </c>
      <c r="J231" s="20">
        <f t="shared" si="7"/>
        <v>1</v>
      </c>
    </row>
    <row r="232" spans="1:10" ht="28.8">
      <c r="A232" s="16">
        <v>231</v>
      </c>
      <c r="B232" s="15" t="s">
        <v>4744</v>
      </c>
      <c r="C232" s="17">
        <v>2025</v>
      </c>
      <c r="D232" s="14" t="s">
        <v>33</v>
      </c>
      <c r="E232" s="15" t="s">
        <v>4746</v>
      </c>
      <c r="F232" s="16">
        <f t="shared" si="6"/>
        <v>1</v>
      </c>
      <c r="G232" s="15" t="s">
        <v>4743</v>
      </c>
      <c r="H232" s="18" t="s">
        <v>4751</v>
      </c>
      <c r="I232" s="19">
        <v>3</v>
      </c>
      <c r="J232" s="20">
        <f t="shared" si="7"/>
        <v>0.33333333333333331</v>
      </c>
    </row>
    <row r="233" spans="1:10" ht="28.8">
      <c r="A233" s="16">
        <v>232</v>
      </c>
      <c r="B233" s="15" t="s">
        <v>5441</v>
      </c>
      <c r="C233" s="17">
        <v>2025</v>
      </c>
      <c r="D233" s="14" t="s">
        <v>33</v>
      </c>
      <c r="E233" s="15" t="s">
        <v>167</v>
      </c>
      <c r="F233" s="16">
        <f t="shared" si="6"/>
        <v>1</v>
      </c>
      <c r="G233" s="15" t="s">
        <v>3023</v>
      </c>
      <c r="H233" s="18" t="s">
        <v>5444</v>
      </c>
      <c r="I233" s="19">
        <v>4</v>
      </c>
      <c r="J233" s="20">
        <f t="shared" si="7"/>
        <v>0.25</v>
      </c>
    </row>
    <row r="234" spans="1:10">
      <c r="A234" s="16">
        <v>233</v>
      </c>
      <c r="B234" s="15" t="s">
        <v>5234</v>
      </c>
      <c r="C234" s="17">
        <v>2025</v>
      </c>
      <c r="D234" s="14" t="s">
        <v>33</v>
      </c>
      <c r="E234" s="15" t="s">
        <v>4161</v>
      </c>
      <c r="F234" s="16">
        <f t="shared" si="6"/>
        <v>1</v>
      </c>
      <c r="G234" s="15" t="s">
        <v>834</v>
      </c>
      <c r="H234" s="18" t="s">
        <v>5238</v>
      </c>
      <c r="I234" s="19">
        <v>6</v>
      </c>
      <c r="J234" s="20">
        <f t="shared" si="7"/>
        <v>0.16666666666666666</v>
      </c>
    </row>
    <row r="235" spans="1:10" ht="28.8">
      <c r="A235" s="16">
        <v>234</v>
      </c>
      <c r="B235" s="15" t="s">
        <v>4676</v>
      </c>
      <c r="C235" s="17">
        <v>2025</v>
      </c>
      <c r="D235" s="14" t="s">
        <v>33</v>
      </c>
      <c r="E235" s="15" t="s">
        <v>4678</v>
      </c>
      <c r="F235" s="16">
        <v>1</v>
      </c>
      <c r="G235" s="15" t="s">
        <v>789</v>
      </c>
      <c r="H235" s="18" t="s">
        <v>4681</v>
      </c>
      <c r="I235" s="19">
        <v>18</v>
      </c>
      <c r="J235" s="20">
        <f t="shared" si="7"/>
        <v>5.5555555555555552E-2</v>
      </c>
    </row>
    <row r="236" spans="1:10" ht="28.8">
      <c r="A236" s="16">
        <v>235</v>
      </c>
      <c r="B236" s="15" t="s">
        <v>3272</v>
      </c>
      <c r="C236" s="17">
        <v>2025</v>
      </c>
      <c r="D236" s="14" t="s">
        <v>33</v>
      </c>
      <c r="E236" s="15" t="s">
        <v>1819</v>
      </c>
      <c r="F236" s="16">
        <f t="shared" si="6"/>
        <v>1</v>
      </c>
      <c r="G236" s="15" t="s">
        <v>276</v>
      </c>
      <c r="H236" s="18" t="s">
        <v>3274</v>
      </c>
      <c r="I236" s="19">
        <v>11</v>
      </c>
      <c r="J236" s="20">
        <f t="shared" si="7"/>
        <v>9.0909090909090912E-2</v>
      </c>
    </row>
    <row r="237" spans="1:10">
      <c r="A237" s="16">
        <v>236</v>
      </c>
      <c r="B237" s="15" t="s">
        <v>2598</v>
      </c>
      <c r="C237" s="17">
        <v>2025</v>
      </c>
      <c r="D237" s="14" t="s">
        <v>644</v>
      </c>
      <c r="E237" s="15" t="s">
        <v>2600</v>
      </c>
      <c r="F237" s="16">
        <f t="shared" si="6"/>
        <v>4</v>
      </c>
      <c r="G237" s="15" t="s">
        <v>5942</v>
      </c>
      <c r="H237" s="18" t="s">
        <v>2604</v>
      </c>
      <c r="I237" s="19">
        <v>4</v>
      </c>
      <c r="J237" s="20">
        <f t="shared" si="7"/>
        <v>1</v>
      </c>
    </row>
    <row r="238" spans="1:10" ht="28.8">
      <c r="A238" s="16">
        <v>237</v>
      </c>
      <c r="B238" s="15" t="s">
        <v>1875</v>
      </c>
      <c r="C238" s="17">
        <v>2025</v>
      </c>
      <c r="D238" s="14" t="s">
        <v>33</v>
      </c>
      <c r="E238" s="15" t="s">
        <v>1877</v>
      </c>
      <c r="F238" s="16">
        <f t="shared" si="6"/>
        <v>1</v>
      </c>
      <c r="G238" s="15" t="s">
        <v>164</v>
      </c>
      <c r="H238" s="18" t="s">
        <v>1880</v>
      </c>
      <c r="I238" s="19">
        <v>21</v>
      </c>
      <c r="J238" s="20">
        <f t="shared" si="7"/>
        <v>4.7619047619047616E-2</v>
      </c>
    </row>
    <row r="239" spans="1:10" ht="28.8">
      <c r="A239" s="16">
        <v>238</v>
      </c>
      <c r="B239" s="15" t="s">
        <v>2641</v>
      </c>
      <c r="C239" s="17">
        <v>2025</v>
      </c>
      <c r="D239" s="14" t="s">
        <v>33</v>
      </c>
      <c r="E239" s="15" t="s">
        <v>2643</v>
      </c>
      <c r="F239" s="16">
        <f t="shared" si="6"/>
        <v>1</v>
      </c>
      <c r="G239" s="15" t="s">
        <v>2640</v>
      </c>
      <c r="H239" s="18" t="s">
        <v>2648</v>
      </c>
      <c r="I239" s="19">
        <v>5</v>
      </c>
      <c r="J239" s="20">
        <f t="shared" si="7"/>
        <v>0.2</v>
      </c>
    </row>
    <row r="240" spans="1:10">
      <c r="A240" s="16">
        <v>239</v>
      </c>
      <c r="B240" s="15" t="s">
        <v>5125</v>
      </c>
      <c r="C240" s="17">
        <v>2025</v>
      </c>
      <c r="D240" s="14" t="s">
        <v>33</v>
      </c>
      <c r="E240" s="15" t="s">
        <v>5127</v>
      </c>
      <c r="F240" s="16">
        <f t="shared" si="6"/>
        <v>1</v>
      </c>
      <c r="G240" s="15" t="s">
        <v>1916</v>
      </c>
      <c r="H240" s="18" t="s">
        <v>5130</v>
      </c>
      <c r="I240" s="19">
        <v>5</v>
      </c>
      <c r="J240" s="20">
        <f t="shared" si="7"/>
        <v>0.2</v>
      </c>
    </row>
    <row r="241" spans="1:10" ht="28.8">
      <c r="A241" s="16">
        <v>240</v>
      </c>
      <c r="B241" s="15" t="s">
        <v>5317</v>
      </c>
      <c r="C241" s="17">
        <v>2025</v>
      </c>
      <c r="D241" s="14" t="s">
        <v>49</v>
      </c>
      <c r="E241" s="15" t="s">
        <v>5319</v>
      </c>
      <c r="F241" s="16">
        <f t="shared" si="6"/>
        <v>6</v>
      </c>
      <c r="G241" s="15" t="s">
        <v>5943</v>
      </c>
      <c r="H241" s="18" t="s">
        <v>5323</v>
      </c>
      <c r="I241" s="19">
        <v>6</v>
      </c>
      <c r="J241" s="20">
        <f t="shared" si="7"/>
        <v>1</v>
      </c>
    </row>
    <row r="242" spans="1:10" ht="28.8">
      <c r="A242" s="16">
        <v>241</v>
      </c>
      <c r="B242" s="15" t="s">
        <v>4702</v>
      </c>
      <c r="C242" s="17">
        <v>2025</v>
      </c>
      <c r="D242" s="14" t="s">
        <v>33</v>
      </c>
      <c r="E242" s="15" t="s">
        <v>3733</v>
      </c>
      <c r="F242" s="16">
        <f t="shared" si="6"/>
        <v>1</v>
      </c>
      <c r="G242" s="15" t="s">
        <v>4701</v>
      </c>
      <c r="H242" s="18" t="s">
        <v>4705</v>
      </c>
      <c r="I242" s="19">
        <v>2</v>
      </c>
      <c r="J242" s="20">
        <f t="shared" si="7"/>
        <v>0.5</v>
      </c>
    </row>
    <row r="243" spans="1:10" ht="43.2">
      <c r="A243" s="16">
        <v>242</v>
      </c>
      <c r="B243" s="15" t="s">
        <v>985</v>
      </c>
      <c r="C243" s="17">
        <v>2025</v>
      </c>
      <c r="D243" s="14" t="s">
        <v>49</v>
      </c>
      <c r="E243" s="15" t="s">
        <v>987</v>
      </c>
      <c r="F243" s="16">
        <f t="shared" si="6"/>
        <v>1</v>
      </c>
      <c r="G243" s="15" t="s">
        <v>113</v>
      </c>
      <c r="H243" s="18" t="s">
        <v>990</v>
      </c>
      <c r="I243" s="19">
        <v>6</v>
      </c>
      <c r="J243" s="20">
        <f t="shared" si="7"/>
        <v>0.16666666666666666</v>
      </c>
    </row>
    <row r="244" spans="1:10" ht="28.8">
      <c r="A244" s="16">
        <v>243</v>
      </c>
      <c r="B244" s="15" t="s">
        <v>4608</v>
      </c>
      <c r="C244" s="17">
        <v>2025</v>
      </c>
      <c r="D244" s="14" t="s">
        <v>33</v>
      </c>
      <c r="E244" s="15" t="s">
        <v>4610</v>
      </c>
      <c r="F244" s="16">
        <f t="shared" si="6"/>
        <v>1</v>
      </c>
      <c r="G244" s="15" t="s">
        <v>4607</v>
      </c>
      <c r="H244" s="18" t="s">
        <v>4616</v>
      </c>
      <c r="I244" s="19">
        <v>1</v>
      </c>
      <c r="J244" s="20">
        <f t="shared" si="7"/>
        <v>1</v>
      </c>
    </row>
    <row r="245" spans="1:10" ht="28.8">
      <c r="A245" s="16">
        <v>244</v>
      </c>
      <c r="B245" s="15" t="s">
        <v>3296</v>
      </c>
      <c r="C245" s="17">
        <v>2025</v>
      </c>
      <c r="D245" s="14" t="s">
        <v>33</v>
      </c>
      <c r="E245" s="15" t="s">
        <v>3298</v>
      </c>
      <c r="F245" s="16">
        <f t="shared" si="6"/>
        <v>1</v>
      </c>
      <c r="G245" s="15" t="s">
        <v>1282</v>
      </c>
      <c r="H245" s="18" t="s">
        <v>3301</v>
      </c>
      <c r="I245" s="19">
        <v>11</v>
      </c>
      <c r="J245" s="20">
        <f t="shared" si="7"/>
        <v>9.0909090909090912E-2</v>
      </c>
    </row>
    <row r="246" spans="1:10">
      <c r="A246" s="16">
        <v>245</v>
      </c>
      <c r="B246" s="15" t="s">
        <v>3893</v>
      </c>
      <c r="C246" s="17">
        <v>2025</v>
      </c>
      <c r="D246" s="14" t="s">
        <v>33</v>
      </c>
      <c r="E246" s="15" t="s">
        <v>2392</v>
      </c>
      <c r="F246" s="16">
        <f t="shared" si="6"/>
        <v>5</v>
      </c>
      <c r="G246" s="15" t="s">
        <v>5944</v>
      </c>
      <c r="H246" s="18" t="s">
        <v>3896</v>
      </c>
      <c r="I246" s="19">
        <v>6</v>
      </c>
      <c r="J246" s="20">
        <f t="shared" si="7"/>
        <v>0.83333333333333337</v>
      </c>
    </row>
    <row r="247" spans="1:10">
      <c r="A247" s="16">
        <v>246</v>
      </c>
      <c r="B247" s="15" t="s">
        <v>4940</v>
      </c>
      <c r="C247" s="17">
        <v>2025</v>
      </c>
      <c r="D247" s="14" t="s">
        <v>33</v>
      </c>
      <c r="E247" s="15" t="s">
        <v>3096</v>
      </c>
      <c r="F247" s="16">
        <f t="shared" si="6"/>
        <v>1</v>
      </c>
      <c r="G247" s="15" t="s">
        <v>1320</v>
      </c>
      <c r="H247" s="18" t="s">
        <v>4944</v>
      </c>
      <c r="I247" s="19">
        <v>6</v>
      </c>
      <c r="J247" s="20">
        <f t="shared" si="7"/>
        <v>0.16666666666666666</v>
      </c>
    </row>
    <row r="248" spans="1:10" ht="28.8">
      <c r="A248" s="16">
        <v>247</v>
      </c>
      <c r="B248" s="15" t="s">
        <v>3971</v>
      </c>
      <c r="C248" s="17">
        <v>2025</v>
      </c>
      <c r="D248" s="14" t="s">
        <v>33</v>
      </c>
      <c r="E248" s="15" t="s">
        <v>3973</v>
      </c>
      <c r="F248" s="16">
        <f t="shared" si="6"/>
        <v>1</v>
      </c>
      <c r="G248" s="15" t="s">
        <v>3970</v>
      </c>
      <c r="H248" s="18" t="s">
        <v>3979</v>
      </c>
      <c r="I248" s="19">
        <v>2</v>
      </c>
      <c r="J248" s="20">
        <f t="shared" si="7"/>
        <v>0.5</v>
      </c>
    </row>
    <row r="249" spans="1:10" ht="28.8">
      <c r="A249" s="16">
        <v>248</v>
      </c>
      <c r="B249" s="15" t="s">
        <v>3912</v>
      </c>
      <c r="C249" s="17">
        <v>2025</v>
      </c>
      <c r="D249" s="14" t="s">
        <v>33</v>
      </c>
      <c r="E249" s="15" t="s">
        <v>3914</v>
      </c>
      <c r="F249" s="16">
        <f t="shared" si="6"/>
        <v>1</v>
      </c>
      <c r="G249" s="15" t="s">
        <v>3911</v>
      </c>
      <c r="H249" s="18" t="s">
        <v>3917</v>
      </c>
      <c r="I249" s="19">
        <v>9</v>
      </c>
      <c r="J249" s="20">
        <f t="shared" si="7"/>
        <v>0.1111111111111111</v>
      </c>
    </row>
    <row r="250" spans="1:10" ht="28.8">
      <c r="A250" s="16">
        <v>249</v>
      </c>
      <c r="B250" s="15" t="s">
        <v>4924</v>
      </c>
      <c r="C250" s="17">
        <v>2025</v>
      </c>
      <c r="D250" s="14" t="s">
        <v>33</v>
      </c>
      <c r="E250" s="15" t="s">
        <v>4926</v>
      </c>
      <c r="F250" s="16">
        <f t="shared" si="6"/>
        <v>6</v>
      </c>
      <c r="G250" s="15" t="s">
        <v>5945</v>
      </c>
      <c r="H250" s="18" t="s">
        <v>4931</v>
      </c>
      <c r="I250" s="19">
        <v>6</v>
      </c>
      <c r="J250" s="20">
        <f t="shared" si="7"/>
        <v>1</v>
      </c>
    </row>
    <row r="251" spans="1:10" ht="28.8">
      <c r="A251" s="16">
        <v>250</v>
      </c>
      <c r="B251" s="15" t="s">
        <v>1169</v>
      </c>
      <c r="C251" s="17">
        <v>2025</v>
      </c>
      <c r="D251" s="14" t="s">
        <v>33</v>
      </c>
      <c r="E251" s="15" t="s">
        <v>889</v>
      </c>
      <c r="F251" s="16">
        <f t="shared" si="6"/>
        <v>3</v>
      </c>
      <c r="G251" s="15" t="s">
        <v>5946</v>
      </c>
      <c r="H251" s="18" t="s">
        <v>1171</v>
      </c>
      <c r="I251" s="19">
        <v>7</v>
      </c>
      <c r="J251" s="20">
        <f t="shared" si="7"/>
        <v>0.42857142857142855</v>
      </c>
    </row>
    <row r="252" spans="1:10">
      <c r="A252" s="16">
        <v>251</v>
      </c>
      <c r="B252" s="15" t="s">
        <v>3411</v>
      </c>
      <c r="C252" s="17">
        <v>2025</v>
      </c>
      <c r="D252" s="14" t="s">
        <v>33</v>
      </c>
      <c r="E252" s="15" t="s">
        <v>3413</v>
      </c>
      <c r="F252" s="16">
        <f t="shared" si="6"/>
        <v>2</v>
      </c>
      <c r="G252" s="15" t="s">
        <v>5947</v>
      </c>
      <c r="H252" s="18" t="s">
        <v>3418</v>
      </c>
      <c r="I252" s="19">
        <v>2</v>
      </c>
      <c r="J252" s="20">
        <f t="shared" si="7"/>
        <v>1</v>
      </c>
    </row>
    <row r="253" spans="1:10" ht="28.8">
      <c r="A253" s="16">
        <v>252</v>
      </c>
      <c r="B253" s="15" t="s">
        <v>3722</v>
      </c>
      <c r="C253" s="17">
        <v>2025</v>
      </c>
      <c r="D253" s="14" t="s">
        <v>33</v>
      </c>
      <c r="E253" s="15" t="s">
        <v>3724</v>
      </c>
      <c r="F253" s="16">
        <f t="shared" si="6"/>
        <v>1</v>
      </c>
      <c r="G253" s="15" t="s">
        <v>2672</v>
      </c>
      <c r="H253" s="18" t="s">
        <v>3726</v>
      </c>
      <c r="I253" s="19">
        <v>14</v>
      </c>
      <c r="J253" s="20">
        <f t="shared" si="7"/>
        <v>7.1428571428571425E-2</v>
      </c>
    </row>
    <row r="254" spans="1:10" ht="43.2">
      <c r="A254" s="16">
        <v>253</v>
      </c>
      <c r="B254" s="15" t="s">
        <v>4825</v>
      </c>
      <c r="C254" s="17">
        <v>2025</v>
      </c>
      <c r="D254" s="14" t="s">
        <v>2112</v>
      </c>
      <c r="E254" s="15" t="s">
        <v>4827</v>
      </c>
      <c r="F254" s="16">
        <f t="shared" si="6"/>
        <v>1</v>
      </c>
      <c r="G254" s="15" t="s">
        <v>1619</v>
      </c>
      <c r="H254" s="18" t="s">
        <v>4828</v>
      </c>
      <c r="I254" s="19">
        <v>5</v>
      </c>
      <c r="J254" s="20">
        <f t="shared" si="7"/>
        <v>0.2</v>
      </c>
    </row>
    <row r="255" spans="1:10" ht="28.8">
      <c r="A255" s="16">
        <v>254</v>
      </c>
      <c r="B255" s="15" t="s">
        <v>1191</v>
      </c>
      <c r="C255" s="17">
        <v>2025</v>
      </c>
      <c r="D255" s="14" t="s">
        <v>49</v>
      </c>
      <c r="E255" s="15" t="s">
        <v>1193</v>
      </c>
      <c r="F255" s="16">
        <f t="shared" si="6"/>
        <v>1</v>
      </c>
      <c r="G255" s="15" t="s">
        <v>276</v>
      </c>
      <c r="H255" s="18" t="s">
        <v>1196</v>
      </c>
      <c r="I255" s="19">
        <v>13</v>
      </c>
      <c r="J255" s="20">
        <f t="shared" si="7"/>
        <v>7.6923076923076927E-2</v>
      </c>
    </row>
    <row r="256" spans="1:10" ht="28.8">
      <c r="A256" s="16">
        <v>255</v>
      </c>
      <c r="B256" s="15" t="s">
        <v>5566</v>
      </c>
      <c r="C256" s="17">
        <v>2025</v>
      </c>
      <c r="D256" s="14" t="s">
        <v>33</v>
      </c>
      <c r="E256" s="15" t="s">
        <v>5568</v>
      </c>
      <c r="F256" s="16">
        <f t="shared" si="6"/>
        <v>1</v>
      </c>
      <c r="G256" s="15" t="s">
        <v>113</v>
      </c>
      <c r="H256" s="18" t="s">
        <v>5573</v>
      </c>
      <c r="I256" s="19">
        <v>7</v>
      </c>
      <c r="J256" s="20">
        <f t="shared" si="7"/>
        <v>0.14285714285714285</v>
      </c>
    </row>
    <row r="257" spans="1:10">
      <c r="A257" s="16">
        <v>256</v>
      </c>
      <c r="B257" s="15" t="s">
        <v>5348</v>
      </c>
      <c r="C257" s="17">
        <v>2025</v>
      </c>
      <c r="D257" s="14" t="s">
        <v>33</v>
      </c>
      <c r="E257" s="15" t="s">
        <v>4042</v>
      </c>
      <c r="F257" s="16">
        <f t="shared" si="6"/>
        <v>1</v>
      </c>
      <c r="G257" s="15" t="s">
        <v>5347</v>
      </c>
      <c r="H257" s="18" t="s">
        <v>5351</v>
      </c>
      <c r="I257" s="19">
        <v>2</v>
      </c>
      <c r="J257" s="20">
        <f t="shared" si="7"/>
        <v>0.5</v>
      </c>
    </row>
    <row r="258" spans="1:10" ht="28.8">
      <c r="A258" s="16">
        <v>257</v>
      </c>
      <c r="B258" s="15" t="s">
        <v>4284</v>
      </c>
      <c r="C258" s="17">
        <v>2025</v>
      </c>
      <c r="D258" s="14" t="s">
        <v>33</v>
      </c>
      <c r="E258" s="15" t="s">
        <v>4286</v>
      </c>
      <c r="F258" s="16">
        <f t="shared" ref="F258:F321" si="8">IF($G258="",0,LEN($G258)-LEN(SUBSTITUTE($G258,"|",""))+1)</f>
        <v>1</v>
      </c>
      <c r="G258" s="15" t="s">
        <v>4283</v>
      </c>
      <c r="H258" s="18" t="s">
        <v>4291</v>
      </c>
      <c r="I258" s="19">
        <v>1</v>
      </c>
      <c r="J258" s="20">
        <f t="shared" ref="J258:J321" si="9">IFERROR(F258/I258,"")</f>
        <v>1</v>
      </c>
    </row>
    <row r="259" spans="1:10" ht="43.2">
      <c r="A259" s="16">
        <v>258</v>
      </c>
      <c r="B259" s="15" t="s">
        <v>4451</v>
      </c>
      <c r="C259" s="17">
        <v>2025</v>
      </c>
      <c r="D259" s="14" t="s">
        <v>1125</v>
      </c>
      <c r="E259" s="15" t="s">
        <v>4453</v>
      </c>
      <c r="F259" s="16">
        <f t="shared" si="8"/>
        <v>1</v>
      </c>
      <c r="G259" s="15" t="s">
        <v>128</v>
      </c>
      <c r="H259" s="18" t="s">
        <v>4457</v>
      </c>
      <c r="I259" s="19">
        <v>1</v>
      </c>
      <c r="J259" s="20">
        <f t="shared" si="9"/>
        <v>1</v>
      </c>
    </row>
    <row r="260" spans="1:10" ht="28.8">
      <c r="A260" s="16">
        <v>259</v>
      </c>
      <c r="B260" s="15" t="s">
        <v>2545</v>
      </c>
      <c r="C260" s="17">
        <v>2025</v>
      </c>
      <c r="D260" s="14" t="s">
        <v>49</v>
      </c>
      <c r="E260" s="15" t="s">
        <v>73</v>
      </c>
      <c r="F260" s="16">
        <f t="shared" si="8"/>
        <v>1</v>
      </c>
      <c r="G260" s="15" t="s">
        <v>276</v>
      </c>
      <c r="H260" s="18" t="s">
        <v>2547</v>
      </c>
      <c r="I260" s="19">
        <v>12</v>
      </c>
      <c r="J260" s="20">
        <f t="shared" si="9"/>
        <v>8.3333333333333329E-2</v>
      </c>
    </row>
    <row r="261" spans="1:10" ht="28.8">
      <c r="A261" s="16">
        <v>260</v>
      </c>
      <c r="B261" s="15" t="s">
        <v>3085</v>
      </c>
      <c r="C261" s="17">
        <v>2025</v>
      </c>
      <c r="D261" s="14" t="s">
        <v>49</v>
      </c>
      <c r="E261" s="15" t="s">
        <v>651</v>
      </c>
      <c r="F261" s="16">
        <f t="shared" si="8"/>
        <v>1</v>
      </c>
      <c r="G261" s="15" t="s">
        <v>276</v>
      </c>
      <c r="H261" s="18" t="s">
        <v>3087</v>
      </c>
      <c r="I261" s="19">
        <v>13</v>
      </c>
      <c r="J261" s="20">
        <f t="shared" si="9"/>
        <v>7.6923076923076927E-2</v>
      </c>
    </row>
    <row r="262" spans="1:10">
      <c r="A262" s="16">
        <v>261</v>
      </c>
      <c r="B262" s="15" t="s">
        <v>4960</v>
      </c>
      <c r="C262" s="17">
        <v>2025</v>
      </c>
      <c r="D262" s="14" t="s">
        <v>33</v>
      </c>
      <c r="E262" s="15" t="s">
        <v>4962</v>
      </c>
      <c r="F262" s="16">
        <f t="shared" si="8"/>
        <v>1</v>
      </c>
      <c r="G262" s="15" t="s">
        <v>128</v>
      </c>
      <c r="H262" s="18" t="s">
        <v>4966</v>
      </c>
      <c r="I262" s="19">
        <v>3</v>
      </c>
      <c r="J262" s="20">
        <f t="shared" si="9"/>
        <v>0.33333333333333331</v>
      </c>
    </row>
    <row r="263" spans="1:10" ht="28.8">
      <c r="A263" s="16">
        <v>262</v>
      </c>
      <c r="B263" s="15" t="s">
        <v>1080</v>
      </c>
      <c r="C263" s="17">
        <v>2025</v>
      </c>
      <c r="D263" s="14" t="s">
        <v>33</v>
      </c>
      <c r="E263" s="15" t="s">
        <v>1082</v>
      </c>
      <c r="F263" s="16">
        <f t="shared" si="8"/>
        <v>1</v>
      </c>
      <c r="G263" s="15" t="s">
        <v>3553</v>
      </c>
      <c r="H263" s="18" t="s">
        <v>1085</v>
      </c>
      <c r="I263" s="19">
        <v>80</v>
      </c>
      <c r="J263" s="20">
        <f t="shared" si="9"/>
        <v>1.2500000000000001E-2</v>
      </c>
    </row>
    <row r="264" spans="1:10" ht="28.8">
      <c r="A264" s="16">
        <v>263</v>
      </c>
      <c r="B264" s="15" t="s">
        <v>4810</v>
      </c>
      <c r="C264" s="17">
        <v>2025</v>
      </c>
      <c r="D264" s="14" t="s">
        <v>33</v>
      </c>
      <c r="E264" s="15" t="s">
        <v>2912</v>
      </c>
      <c r="F264" s="16">
        <f t="shared" si="8"/>
        <v>3</v>
      </c>
      <c r="G264" s="15" t="s">
        <v>5948</v>
      </c>
      <c r="H264" s="18" t="s">
        <v>4813</v>
      </c>
      <c r="I264" s="19">
        <v>4</v>
      </c>
      <c r="J264" s="20">
        <f t="shared" si="9"/>
        <v>0.75</v>
      </c>
    </row>
    <row r="265" spans="1:10" ht="28.8">
      <c r="A265" s="16">
        <v>264</v>
      </c>
      <c r="B265" s="15" t="s">
        <v>1392</v>
      </c>
      <c r="C265" s="17">
        <v>2025</v>
      </c>
      <c r="D265" s="14" t="s">
        <v>49</v>
      </c>
      <c r="E265" s="15" t="s">
        <v>889</v>
      </c>
      <c r="F265" s="16">
        <f t="shared" si="8"/>
        <v>4</v>
      </c>
      <c r="G265" s="15" t="s">
        <v>5949</v>
      </c>
      <c r="H265" s="18" t="s">
        <v>1394</v>
      </c>
      <c r="I265" s="19">
        <v>4</v>
      </c>
      <c r="J265" s="20">
        <f t="shared" si="9"/>
        <v>1</v>
      </c>
    </row>
    <row r="266" spans="1:10">
      <c r="A266" s="16">
        <v>265</v>
      </c>
      <c r="B266" s="15" t="s">
        <v>3563</v>
      </c>
      <c r="C266" s="17">
        <v>2025</v>
      </c>
      <c r="D266" s="14" t="s">
        <v>49</v>
      </c>
      <c r="E266" s="15" t="s">
        <v>3565</v>
      </c>
      <c r="F266" s="16">
        <f t="shared" si="8"/>
        <v>1</v>
      </c>
      <c r="G266" s="15" t="s">
        <v>3562</v>
      </c>
      <c r="H266" s="18" t="s">
        <v>3568</v>
      </c>
      <c r="I266" s="19">
        <v>4</v>
      </c>
      <c r="J266" s="20">
        <f t="shared" si="9"/>
        <v>0.25</v>
      </c>
    </row>
    <row r="267" spans="1:10" ht="28.8">
      <c r="A267" s="16">
        <v>266</v>
      </c>
      <c r="B267" s="15" t="s">
        <v>5661</v>
      </c>
      <c r="C267" s="17">
        <v>2025</v>
      </c>
      <c r="D267" s="14" t="s">
        <v>3676</v>
      </c>
      <c r="E267" s="15" t="s">
        <v>357</v>
      </c>
      <c r="F267" s="16">
        <f t="shared" si="8"/>
        <v>1</v>
      </c>
      <c r="G267" s="15" t="s">
        <v>22</v>
      </c>
      <c r="H267" s="18" t="s">
        <v>5664</v>
      </c>
      <c r="I267" s="19">
        <v>19</v>
      </c>
      <c r="J267" s="20">
        <f t="shared" si="9"/>
        <v>5.2631578947368418E-2</v>
      </c>
    </row>
    <row r="268" spans="1:10" ht="28.8">
      <c r="A268" s="16">
        <v>267</v>
      </c>
      <c r="B268" s="15" t="s">
        <v>4251</v>
      </c>
      <c r="C268" s="17">
        <v>2025</v>
      </c>
      <c r="D268" s="14" t="s">
        <v>33</v>
      </c>
      <c r="E268" s="15" t="s">
        <v>4253</v>
      </c>
      <c r="F268" s="16">
        <f t="shared" si="8"/>
        <v>1</v>
      </c>
      <c r="G268" s="15" t="s">
        <v>4250</v>
      </c>
      <c r="H268" s="18" t="s">
        <v>4259</v>
      </c>
      <c r="I268" s="19">
        <v>1</v>
      </c>
      <c r="J268" s="20">
        <f t="shared" si="9"/>
        <v>1</v>
      </c>
    </row>
    <row r="269" spans="1:10" ht="28.8">
      <c r="A269" s="16">
        <v>268</v>
      </c>
      <c r="B269" s="15" t="s">
        <v>2359</v>
      </c>
      <c r="C269" s="17">
        <v>2025</v>
      </c>
      <c r="D269" s="14" t="s">
        <v>33</v>
      </c>
      <c r="E269" s="15" t="s">
        <v>2361</v>
      </c>
      <c r="F269" s="16">
        <f t="shared" si="8"/>
        <v>1</v>
      </c>
      <c r="G269" s="15" t="s">
        <v>2358</v>
      </c>
      <c r="H269" s="18" t="s">
        <v>2363</v>
      </c>
      <c r="I269" s="19">
        <v>6</v>
      </c>
      <c r="J269" s="20">
        <f t="shared" si="9"/>
        <v>0.16666666666666666</v>
      </c>
    </row>
    <row r="270" spans="1:10" ht="28.8">
      <c r="A270" s="16">
        <v>269</v>
      </c>
      <c r="B270" s="15" t="s">
        <v>1458</v>
      </c>
      <c r="C270" s="17">
        <v>2025</v>
      </c>
      <c r="D270" s="14" t="s">
        <v>33</v>
      </c>
      <c r="E270" s="15" t="s">
        <v>1460</v>
      </c>
      <c r="F270" s="16">
        <f t="shared" si="8"/>
        <v>1</v>
      </c>
      <c r="G270" s="15" t="s">
        <v>897</v>
      </c>
      <c r="H270" s="18" t="s">
        <v>1464</v>
      </c>
      <c r="I270" s="19">
        <v>3</v>
      </c>
      <c r="J270" s="20">
        <f t="shared" si="9"/>
        <v>0.33333333333333331</v>
      </c>
    </row>
    <row r="271" spans="1:10" ht="28.8">
      <c r="A271" s="16">
        <v>270</v>
      </c>
      <c r="B271" s="15" t="s">
        <v>4994</v>
      </c>
      <c r="C271" s="17">
        <v>2025</v>
      </c>
      <c r="D271" s="14" t="s">
        <v>33</v>
      </c>
      <c r="E271" s="15" t="s">
        <v>4996</v>
      </c>
      <c r="F271" s="16">
        <f t="shared" si="8"/>
        <v>1</v>
      </c>
      <c r="G271" s="15" t="s">
        <v>822</v>
      </c>
      <c r="H271" s="18" t="s">
        <v>5000</v>
      </c>
      <c r="I271" s="19">
        <v>13</v>
      </c>
      <c r="J271" s="20">
        <f t="shared" si="9"/>
        <v>7.6923076923076927E-2</v>
      </c>
    </row>
    <row r="272" spans="1:10" ht="28.8">
      <c r="A272" s="16">
        <v>271</v>
      </c>
      <c r="B272" s="15" t="s">
        <v>756</v>
      </c>
      <c r="C272" s="17">
        <v>2025</v>
      </c>
      <c r="D272" s="14" t="s">
        <v>33</v>
      </c>
      <c r="E272" s="15" t="s">
        <v>758</v>
      </c>
      <c r="F272" s="16">
        <f t="shared" si="8"/>
        <v>1</v>
      </c>
      <c r="G272" s="15" t="s">
        <v>755</v>
      </c>
      <c r="H272" s="18" t="s">
        <v>761</v>
      </c>
      <c r="I272" s="19">
        <v>2</v>
      </c>
      <c r="J272" s="20">
        <f t="shared" si="9"/>
        <v>0.5</v>
      </c>
    </row>
    <row r="273" spans="1:10" ht="28.8">
      <c r="A273" s="16">
        <v>272</v>
      </c>
      <c r="B273" s="15" t="s">
        <v>2303</v>
      </c>
      <c r="C273" s="17">
        <v>2025</v>
      </c>
      <c r="D273" s="14" t="s">
        <v>49</v>
      </c>
      <c r="E273" s="15" t="s">
        <v>957</v>
      </c>
      <c r="F273" s="16">
        <f t="shared" si="8"/>
        <v>3</v>
      </c>
      <c r="G273" s="15" t="s">
        <v>5950</v>
      </c>
      <c r="H273" s="18" t="s">
        <v>2305</v>
      </c>
      <c r="I273" s="19">
        <v>4</v>
      </c>
      <c r="J273" s="20">
        <f t="shared" si="9"/>
        <v>0.75</v>
      </c>
    </row>
    <row r="274" spans="1:10">
      <c r="A274" s="16">
        <v>273</v>
      </c>
      <c r="B274" s="15" t="s">
        <v>4707</v>
      </c>
      <c r="C274" s="17">
        <v>2025</v>
      </c>
      <c r="D274" s="14" t="s">
        <v>33</v>
      </c>
      <c r="E274" s="15" t="s">
        <v>3046</v>
      </c>
      <c r="F274" s="16">
        <f t="shared" si="8"/>
        <v>1</v>
      </c>
      <c r="G274" s="15" t="s">
        <v>635</v>
      </c>
      <c r="H274" s="18" t="s">
        <v>4710</v>
      </c>
      <c r="I274" s="19">
        <v>8</v>
      </c>
      <c r="J274" s="20">
        <f t="shared" si="9"/>
        <v>0.125</v>
      </c>
    </row>
    <row r="275" spans="1:10" ht="43.2">
      <c r="A275" s="16">
        <v>274</v>
      </c>
      <c r="B275" s="15" t="s">
        <v>3129</v>
      </c>
      <c r="C275" s="17">
        <v>2025</v>
      </c>
      <c r="D275" s="14" t="s">
        <v>33</v>
      </c>
      <c r="E275" s="15" t="s">
        <v>3131</v>
      </c>
      <c r="F275" s="16">
        <f t="shared" si="8"/>
        <v>1</v>
      </c>
      <c r="G275" s="15" t="s">
        <v>3128</v>
      </c>
      <c r="H275" s="18" t="s">
        <v>3136</v>
      </c>
      <c r="I275" s="19">
        <v>3</v>
      </c>
      <c r="J275" s="20">
        <f t="shared" si="9"/>
        <v>0.33333333333333331</v>
      </c>
    </row>
    <row r="276" spans="1:10" ht="28.8">
      <c r="A276" s="16">
        <v>275</v>
      </c>
      <c r="B276" s="15" t="s">
        <v>5191</v>
      </c>
      <c r="C276" s="17">
        <v>2025</v>
      </c>
      <c r="D276" s="14" t="s">
        <v>33</v>
      </c>
      <c r="E276" s="15" t="s">
        <v>5193</v>
      </c>
      <c r="F276" s="16">
        <f t="shared" si="8"/>
        <v>1</v>
      </c>
      <c r="G276" s="15" t="s">
        <v>5190</v>
      </c>
      <c r="H276" s="18" t="s">
        <v>5197</v>
      </c>
      <c r="I276" s="19">
        <v>1</v>
      </c>
      <c r="J276" s="20">
        <f t="shared" si="9"/>
        <v>1</v>
      </c>
    </row>
    <row r="277" spans="1:10" ht="28.8">
      <c r="A277" s="16">
        <v>276</v>
      </c>
      <c r="B277" s="15" t="s">
        <v>4716</v>
      </c>
      <c r="C277" s="17">
        <v>2025</v>
      </c>
      <c r="D277" s="14" t="s">
        <v>49</v>
      </c>
      <c r="E277" s="15" t="s">
        <v>4718</v>
      </c>
      <c r="F277" s="16">
        <f t="shared" si="8"/>
        <v>1</v>
      </c>
      <c r="G277" s="15" t="s">
        <v>2358</v>
      </c>
      <c r="H277" s="18" t="s">
        <v>4721</v>
      </c>
      <c r="I277" s="19">
        <v>2</v>
      </c>
      <c r="J277" s="20">
        <f t="shared" si="9"/>
        <v>0.5</v>
      </c>
    </row>
    <row r="278" spans="1:10" ht="28.8">
      <c r="A278" s="16">
        <v>277</v>
      </c>
      <c r="B278" s="15" t="s">
        <v>1943</v>
      </c>
      <c r="C278" s="17">
        <v>2025</v>
      </c>
      <c r="D278" s="14" t="s">
        <v>33</v>
      </c>
      <c r="E278" s="15" t="s">
        <v>1945</v>
      </c>
      <c r="F278" s="16">
        <f t="shared" si="8"/>
        <v>1</v>
      </c>
      <c r="G278" s="15" t="s">
        <v>113</v>
      </c>
      <c r="H278" s="18" t="s">
        <v>1950</v>
      </c>
      <c r="I278" s="19">
        <v>6</v>
      </c>
      <c r="J278" s="20">
        <f t="shared" si="9"/>
        <v>0.16666666666666666</v>
      </c>
    </row>
    <row r="279" spans="1:10" ht="28.8">
      <c r="A279" s="16">
        <v>278</v>
      </c>
      <c r="B279" s="15" t="s">
        <v>4668</v>
      </c>
      <c r="C279" s="17">
        <v>2025</v>
      </c>
      <c r="D279" s="14" t="s">
        <v>33</v>
      </c>
      <c r="E279" s="15" t="s">
        <v>4670</v>
      </c>
      <c r="F279" s="16">
        <f t="shared" si="8"/>
        <v>1</v>
      </c>
      <c r="G279" s="15" t="s">
        <v>4667</v>
      </c>
      <c r="H279" s="18" t="s">
        <v>4674</v>
      </c>
      <c r="I279" s="19">
        <v>1</v>
      </c>
      <c r="J279" s="20">
        <f t="shared" si="9"/>
        <v>1</v>
      </c>
    </row>
    <row r="280" spans="1:10">
      <c r="A280" s="16">
        <v>279</v>
      </c>
      <c r="B280" s="15" t="s">
        <v>3591</v>
      </c>
      <c r="C280" s="17">
        <v>2025</v>
      </c>
      <c r="D280" s="14" t="s">
        <v>33</v>
      </c>
      <c r="E280" s="15" t="s">
        <v>2392</v>
      </c>
      <c r="F280" s="16">
        <f t="shared" si="8"/>
        <v>2</v>
      </c>
      <c r="G280" s="15" t="s">
        <v>5951</v>
      </c>
      <c r="H280" s="18" t="s">
        <v>3594</v>
      </c>
      <c r="I280" s="19">
        <v>2</v>
      </c>
      <c r="J280" s="20">
        <f t="shared" si="9"/>
        <v>1</v>
      </c>
    </row>
    <row r="281" spans="1:10" ht="43.2">
      <c r="A281" s="16">
        <v>280</v>
      </c>
      <c r="B281" s="15" t="s">
        <v>4261</v>
      </c>
      <c r="C281" s="17">
        <v>2025</v>
      </c>
      <c r="D281" s="14" t="s">
        <v>1125</v>
      </c>
      <c r="E281" s="15" t="s">
        <v>4263</v>
      </c>
      <c r="F281" s="16">
        <f t="shared" si="8"/>
        <v>1</v>
      </c>
      <c r="G281" s="15" t="s">
        <v>22</v>
      </c>
      <c r="H281" s="18" t="s">
        <v>4266</v>
      </c>
      <c r="I281" s="19">
        <v>3</v>
      </c>
      <c r="J281" s="20">
        <f t="shared" si="9"/>
        <v>0.33333333333333331</v>
      </c>
    </row>
    <row r="282" spans="1:10" ht="28.8">
      <c r="A282" s="16">
        <v>281</v>
      </c>
      <c r="B282" s="15" t="s">
        <v>3795</v>
      </c>
      <c r="C282" s="17">
        <v>2025</v>
      </c>
      <c r="D282" s="14" t="s">
        <v>33</v>
      </c>
      <c r="E282" s="15" t="s">
        <v>3758</v>
      </c>
      <c r="F282" s="16">
        <f t="shared" si="8"/>
        <v>1</v>
      </c>
      <c r="G282" s="15" t="s">
        <v>22</v>
      </c>
      <c r="H282" s="18" t="s">
        <v>3797</v>
      </c>
      <c r="I282" s="19">
        <v>6</v>
      </c>
      <c r="J282" s="20">
        <f t="shared" si="9"/>
        <v>0.16666666666666666</v>
      </c>
    </row>
    <row r="283" spans="1:10" ht="28.8">
      <c r="A283" s="16">
        <v>282</v>
      </c>
      <c r="B283" s="15" t="s">
        <v>3015</v>
      </c>
      <c r="C283" s="17">
        <v>2025</v>
      </c>
      <c r="D283" s="14" t="s">
        <v>33</v>
      </c>
      <c r="E283" s="15" t="s">
        <v>3017</v>
      </c>
      <c r="F283" s="16">
        <f t="shared" si="8"/>
        <v>2</v>
      </c>
      <c r="G283" s="15" t="s">
        <v>5952</v>
      </c>
      <c r="H283" s="18" t="s">
        <v>3019</v>
      </c>
      <c r="I283" s="19">
        <v>3</v>
      </c>
      <c r="J283" s="20">
        <f t="shared" si="9"/>
        <v>0.66666666666666663</v>
      </c>
    </row>
    <row r="284" spans="1:10" ht="28.8">
      <c r="A284" s="16">
        <v>283</v>
      </c>
      <c r="B284" s="15" t="s">
        <v>2764</v>
      </c>
      <c r="C284" s="17">
        <v>2025</v>
      </c>
      <c r="D284" s="14" t="s">
        <v>33</v>
      </c>
      <c r="E284" s="15" t="s">
        <v>2766</v>
      </c>
      <c r="F284" s="16">
        <f t="shared" si="8"/>
        <v>1</v>
      </c>
      <c r="G284" s="15" t="s">
        <v>2763</v>
      </c>
      <c r="H284" s="18" t="s">
        <v>2770</v>
      </c>
      <c r="I284" s="19">
        <v>2</v>
      </c>
      <c r="J284" s="20">
        <f t="shared" si="9"/>
        <v>0.5</v>
      </c>
    </row>
    <row r="285" spans="1:10" ht="28.8">
      <c r="A285" s="16">
        <v>284</v>
      </c>
      <c r="B285" s="15" t="s">
        <v>1685</v>
      </c>
      <c r="C285" s="17">
        <v>2025</v>
      </c>
      <c r="D285" s="14" t="s">
        <v>33</v>
      </c>
      <c r="E285" s="15" t="s">
        <v>1687</v>
      </c>
      <c r="F285" s="16">
        <f t="shared" si="8"/>
        <v>1</v>
      </c>
      <c r="G285" s="15" t="s">
        <v>996</v>
      </c>
      <c r="H285" s="18" t="s">
        <v>1693</v>
      </c>
      <c r="I285" s="19">
        <v>3</v>
      </c>
      <c r="J285" s="20">
        <f t="shared" si="9"/>
        <v>0.33333333333333331</v>
      </c>
    </row>
    <row r="286" spans="1:10" ht="28.8">
      <c r="A286" s="16">
        <v>285</v>
      </c>
      <c r="B286" s="15" t="s">
        <v>5509</v>
      </c>
      <c r="C286" s="17">
        <v>2025</v>
      </c>
      <c r="D286" s="14" t="s">
        <v>33</v>
      </c>
      <c r="E286" s="15" t="s">
        <v>5511</v>
      </c>
      <c r="F286" s="16">
        <f t="shared" si="8"/>
        <v>1</v>
      </c>
      <c r="G286" s="15" t="s">
        <v>2018</v>
      </c>
      <c r="H286" s="18" t="s">
        <v>5515</v>
      </c>
      <c r="I286" s="19">
        <v>6</v>
      </c>
      <c r="J286" s="20">
        <f t="shared" si="9"/>
        <v>0.16666666666666666</v>
      </c>
    </row>
    <row r="287" spans="1:10" ht="28.8">
      <c r="A287" s="16">
        <v>286</v>
      </c>
      <c r="B287" s="15" t="s">
        <v>4085</v>
      </c>
      <c r="C287" s="17">
        <v>2025</v>
      </c>
      <c r="D287" s="14" t="s">
        <v>2112</v>
      </c>
      <c r="E287" s="15" t="s">
        <v>4087</v>
      </c>
      <c r="F287" s="16">
        <f t="shared" si="8"/>
        <v>1</v>
      </c>
      <c r="G287" s="15" t="s">
        <v>4084</v>
      </c>
      <c r="H287" s="18" t="s">
        <v>4089</v>
      </c>
      <c r="I287" s="19">
        <v>7</v>
      </c>
      <c r="J287" s="20">
        <f t="shared" si="9"/>
        <v>0.14285714285714285</v>
      </c>
    </row>
    <row r="288" spans="1:10" ht="28.8">
      <c r="A288" s="16">
        <v>287</v>
      </c>
      <c r="B288" s="15" t="s">
        <v>1744</v>
      </c>
      <c r="C288" s="17">
        <v>2025</v>
      </c>
      <c r="D288" s="14" t="s">
        <v>33</v>
      </c>
      <c r="E288" s="15" t="s">
        <v>268</v>
      </c>
      <c r="F288" s="16">
        <f t="shared" si="8"/>
        <v>1</v>
      </c>
      <c r="G288" s="15" t="s">
        <v>265</v>
      </c>
      <c r="H288" s="18" t="s">
        <v>1746</v>
      </c>
      <c r="I288" s="19">
        <v>6</v>
      </c>
      <c r="J288" s="20">
        <f t="shared" si="9"/>
        <v>0.16666666666666666</v>
      </c>
    </row>
    <row r="289" spans="1:10">
      <c r="A289" s="16">
        <v>288</v>
      </c>
      <c r="B289" s="15" t="s">
        <v>5382</v>
      </c>
      <c r="C289" s="17">
        <v>2025</v>
      </c>
      <c r="D289" s="14" t="s">
        <v>33</v>
      </c>
      <c r="E289" s="15" t="s">
        <v>5384</v>
      </c>
      <c r="F289" s="16">
        <f t="shared" si="8"/>
        <v>1</v>
      </c>
      <c r="G289" s="15" t="s">
        <v>1619</v>
      </c>
      <c r="H289" s="18" t="s">
        <v>5388</v>
      </c>
      <c r="I289" s="19">
        <v>3</v>
      </c>
      <c r="J289" s="20">
        <f t="shared" si="9"/>
        <v>0.33333333333333331</v>
      </c>
    </row>
    <row r="290" spans="1:10">
      <c r="A290" s="16">
        <v>289</v>
      </c>
      <c r="B290" s="15" t="s">
        <v>5433</v>
      </c>
      <c r="C290" s="17">
        <v>2025</v>
      </c>
      <c r="D290" s="14" t="s">
        <v>33</v>
      </c>
      <c r="E290" s="15" t="s">
        <v>5435</v>
      </c>
      <c r="F290" s="16">
        <f t="shared" si="8"/>
        <v>1</v>
      </c>
      <c r="G290" s="15" t="s">
        <v>5432</v>
      </c>
      <c r="H290" s="18" t="s">
        <v>5439</v>
      </c>
      <c r="I290" s="19">
        <v>1</v>
      </c>
      <c r="J290" s="20">
        <f t="shared" si="9"/>
        <v>1</v>
      </c>
    </row>
    <row r="291" spans="1:10">
      <c r="A291" s="16">
        <v>290</v>
      </c>
      <c r="B291" s="15" t="s">
        <v>4135</v>
      </c>
      <c r="C291" s="17">
        <v>2025</v>
      </c>
      <c r="D291" s="14" t="s">
        <v>2904</v>
      </c>
      <c r="E291" s="15" t="s">
        <v>4137</v>
      </c>
      <c r="F291" s="16">
        <f t="shared" si="8"/>
        <v>1</v>
      </c>
      <c r="G291" s="15" t="s">
        <v>276</v>
      </c>
      <c r="H291" s="18" t="s">
        <v>4140</v>
      </c>
      <c r="I291" s="19">
        <v>6</v>
      </c>
      <c r="J291" s="20">
        <f t="shared" si="9"/>
        <v>0.16666666666666666</v>
      </c>
    </row>
    <row r="292" spans="1:10" ht="28.8">
      <c r="A292" s="16">
        <v>291</v>
      </c>
      <c r="B292" s="15" t="s">
        <v>5771</v>
      </c>
      <c r="C292" s="17">
        <v>2025</v>
      </c>
      <c r="D292" s="14" t="s">
        <v>49</v>
      </c>
      <c r="E292" s="15" t="s">
        <v>1470</v>
      </c>
      <c r="F292" s="16">
        <f t="shared" si="8"/>
        <v>6</v>
      </c>
      <c r="G292" s="15" t="s">
        <v>5953</v>
      </c>
      <c r="H292" s="18" t="s">
        <v>5773</v>
      </c>
      <c r="I292" s="19">
        <v>13</v>
      </c>
      <c r="J292" s="20">
        <f t="shared" si="9"/>
        <v>0.46153846153846156</v>
      </c>
    </row>
    <row r="293" spans="1:10">
      <c r="A293" s="16">
        <v>292</v>
      </c>
      <c r="B293" s="15" t="s">
        <v>1829</v>
      </c>
      <c r="C293" s="17">
        <v>2025</v>
      </c>
      <c r="D293" s="14" t="s">
        <v>33</v>
      </c>
      <c r="E293" s="15" t="s">
        <v>1831</v>
      </c>
      <c r="F293" s="16">
        <f t="shared" si="8"/>
        <v>1</v>
      </c>
      <c r="G293" s="15" t="s">
        <v>685</v>
      </c>
      <c r="H293" s="18" t="s">
        <v>1834</v>
      </c>
      <c r="I293" s="19">
        <v>3</v>
      </c>
      <c r="J293" s="20">
        <f t="shared" si="9"/>
        <v>0.33333333333333331</v>
      </c>
    </row>
    <row r="294" spans="1:10" ht="28.8">
      <c r="A294" s="16">
        <v>293</v>
      </c>
      <c r="B294" s="15" t="s">
        <v>3960</v>
      </c>
      <c r="C294" s="17">
        <v>2025</v>
      </c>
      <c r="D294" s="14" t="s">
        <v>33</v>
      </c>
      <c r="E294" s="15" t="s">
        <v>3962</v>
      </c>
      <c r="F294" s="16">
        <f t="shared" si="8"/>
        <v>2</v>
      </c>
      <c r="G294" s="15" t="s">
        <v>5954</v>
      </c>
      <c r="H294" s="18" t="s">
        <v>3964</v>
      </c>
      <c r="I294" s="19">
        <v>11</v>
      </c>
      <c r="J294" s="20">
        <f t="shared" si="9"/>
        <v>0.18181818181818182</v>
      </c>
    </row>
    <row r="295" spans="1:10" ht="43.2">
      <c r="A295" s="16">
        <v>294</v>
      </c>
      <c r="B295" s="15" t="s">
        <v>4869</v>
      </c>
      <c r="C295" s="17">
        <v>2025</v>
      </c>
      <c r="D295" s="14" t="s">
        <v>33</v>
      </c>
      <c r="E295" s="15" t="s">
        <v>4871</v>
      </c>
      <c r="F295" s="16">
        <f t="shared" si="8"/>
        <v>1</v>
      </c>
      <c r="G295" s="15" t="s">
        <v>2728</v>
      </c>
      <c r="H295" s="18" t="s">
        <v>4876</v>
      </c>
      <c r="I295" s="19">
        <v>1</v>
      </c>
      <c r="J295" s="20">
        <f t="shared" si="9"/>
        <v>1</v>
      </c>
    </row>
    <row r="296" spans="1:10">
      <c r="A296" s="16">
        <v>295</v>
      </c>
      <c r="B296" s="15" t="s">
        <v>5539</v>
      </c>
      <c r="C296" s="17">
        <v>2025</v>
      </c>
      <c r="D296" s="14" t="s">
        <v>33</v>
      </c>
      <c r="E296" s="15" t="s">
        <v>5541</v>
      </c>
      <c r="F296" s="16">
        <f t="shared" si="8"/>
        <v>1</v>
      </c>
      <c r="G296" s="15" t="s">
        <v>1723</v>
      </c>
      <c r="H296" s="18" t="s">
        <v>5544</v>
      </c>
      <c r="I296" s="19">
        <v>8</v>
      </c>
      <c r="J296" s="20">
        <f t="shared" si="9"/>
        <v>0.125</v>
      </c>
    </row>
    <row r="297" spans="1:10" ht="28.8">
      <c r="A297" s="16">
        <v>296</v>
      </c>
      <c r="B297" s="15" t="s">
        <v>4656</v>
      </c>
      <c r="C297" s="17">
        <v>2025</v>
      </c>
      <c r="D297" s="14" t="s">
        <v>49</v>
      </c>
      <c r="E297" s="15" t="s">
        <v>4658</v>
      </c>
      <c r="F297" s="16">
        <f t="shared" si="8"/>
        <v>1</v>
      </c>
      <c r="G297" s="15" t="s">
        <v>4655</v>
      </c>
      <c r="H297" s="18" t="s">
        <v>4663</v>
      </c>
      <c r="I297" s="19">
        <v>2</v>
      </c>
      <c r="J297" s="20">
        <f t="shared" si="9"/>
        <v>0.5</v>
      </c>
    </row>
    <row r="298" spans="1:10" ht="28.8">
      <c r="A298" s="16">
        <v>297</v>
      </c>
      <c r="B298" s="15" t="s">
        <v>5791</v>
      </c>
      <c r="C298" s="17">
        <v>2025</v>
      </c>
      <c r="D298" s="14" t="s">
        <v>33</v>
      </c>
      <c r="E298" s="15" t="s">
        <v>5793</v>
      </c>
      <c r="F298" s="16">
        <f t="shared" si="8"/>
        <v>5</v>
      </c>
      <c r="G298" s="15" t="s">
        <v>5955</v>
      </c>
      <c r="H298" s="18" t="s">
        <v>5797</v>
      </c>
      <c r="I298" s="19">
        <v>6</v>
      </c>
      <c r="J298" s="20">
        <f t="shared" si="9"/>
        <v>0.83333333333333337</v>
      </c>
    </row>
    <row r="299" spans="1:10">
      <c r="A299" s="16">
        <v>298</v>
      </c>
      <c r="B299" s="15" t="s">
        <v>229</v>
      </c>
      <c r="C299" s="17">
        <v>2025</v>
      </c>
      <c r="D299" s="14" t="s">
        <v>49</v>
      </c>
      <c r="E299" s="15" t="s">
        <v>231</v>
      </c>
      <c r="F299" s="16">
        <f t="shared" si="8"/>
        <v>1</v>
      </c>
      <c r="G299" s="15" t="s">
        <v>228</v>
      </c>
      <c r="H299" s="18" t="s">
        <v>235</v>
      </c>
      <c r="I299" s="19">
        <v>5</v>
      </c>
      <c r="J299" s="20">
        <f t="shared" si="9"/>
        <v>0.2</v>
      </c>
    </row>
    <row r="300" spans="1:10" ht="28.8">
      <c r="A300" s="16">
        <v>299</v>
      </c>
      <c r="B300" s="15" t="s">
        <v>3261</v>
      </c>
      <c r="C300" s="17">
        <v>2025</v>
      </c>
      <c r="D300" s="14" t="s">
        <v>49</v>
      </c>
      <c r="E300" s="15" t="s">
        <v>3263</v>
      </c>
      <c r="F300" s="16">
        <f t="shared" si="8"/>
        <v>3</v>
      </c>
      <c r="G300" s="15" t="s">
        <v>5956</v>
      </c>
      <c r="H300" s="18" t="s">
        <v>3266</v>
      </c>
      <c r="I300" s="19">
        <v>4</v>
      </c>
      <c r="J300" s="20">
        <f t="shared" si="9"/>
        <v>0.75</v>
      </c>
    </row>
    <row r="301" spans="1:10" ht="28.8">
      <c r="A301" s="16">
        <v>300</v>
      </c>
      <c r="B301" s="15" t="s">
        <v>3387</v>
      </c>
      <c r="C301" s="17">
        <v>2025</v>
      </c>
      <c r="D301" s="14" t="s">
        <v>33</v>
      </c>
      <c r="E301" s="15" t="s">
        <v>3389</v>
      </c>
      <c r="F301" s="16">
        <f t="shared" si="8"/>
        <v>1</v>
      </c>
      <c r="G301" s="15" t="s">
        <v>3386</v>
      </c>
      <c r="H301" s="18" t="s">
        <v>3392</v>
      </c>
      <c r="I301" s="19">
        <v>3</v>
      </c>
      <c r="J301" s="20">
        <f t="shared" si="9"/>
        <v>0.33333333333333331</v>
      </c>
    </row>
    <row r="302" spans="1:10" ht="28.8">
      <c r="A302" s="16">
        <v>301</v>
      </c>
      <c r="B302" s="15" t="s">
        <v>2089</v>
      </c>
      <c r="C302" s="17">
        <v>2025</v>
      </c>
      <c r="D302" s="14" t="s">
        <v>33</v>
      </c>
      <c r="E302" s="15" t="s">
        <v>2091</v>
      </c>
      <c r="F302" s="16">
        <f t="shared" si="8"/>
        <v>3</v>
      </c>
      <c r="G302" s="15" t="s">
        <v>5957</v>
      </c>
      <c r="H302" s="18" t="s">
        <v>2094</v>
      </c>
      <c r="I302" s="19">
        <v>5</v>
      </c>
      <c r="J302" s="20">
        <f t="shared" si="9"/>
        <v>0.6</v>
      </c>
    </row>
    <row r="303" spans="1:10" ht="28.8">
      <c r="A303" s="16">
        <v>302</v>
      </c>
      <c r="B303" s="15" t="s">
        <v>355</v>
      </c>
      <c r="C303" s="17">
        <v>2025</v>
      </c>
      <c r="D303" s="14" t="s">
        <v>33</v>
      </c>
      <c r="E303" s="15" t="s">
        <v>357</v>
      </c>
      <c r="F303" s="16">
        <f t="shared" si="8"/>
        <v>1</v>
      </c>
      <c r="G303" s="15" t="s">
        <v>22</v>
      </c>
      <c r="H303" s="18" t="s">
        <v>362</v>
      </c>
      <c r="I303" s="19">
        <v>14</v>
      </c>
      <c r="J303" s="20">
        <f t="shared" si="9"/>
        <v>7.1428571428571425E-2</v>
      </c>
    </row>
    <row r="304" spans="1:10" ht="28.8">
      <c r="A304" s="16">
        <v>303</v>
      </c>
      <c r="B304" s="15" t="s">
        <v>2436</v>
      </c>
      <c r="C304" s="17">
        <v>2025</v>
      </c>
      <c r="D304" s="14" t="s">
        <v>33</v>
      </c>
      <c r="E304" s="15" t="s">
        <v>357</v>
      </c>
      <c r="F304" s="16">
        <f t="shared" si="8"/>
        <v>1</v>
      </c>
      <c r="G304" s="15" t="s">
        <v>22</v>
      </c>
      <c r="H304" s="18" t="s">
        <v>2439</v>
      </c>
      <c r="I304" s="19">
        <v>4</v>
      </c>
      <c r="J304" s="20">
        <f t="shared" si="9"/>
        <v>0.25</v>
      </c>
    </row>
    <row r="305" spans="1:10" ht="28.8">
      <c r="A305" s="16">
        <v>304</v>
      </c>
      <c r="B305" s="15" t="s">
        <v>5597</v>
      </c>
      <c r="C305" s="17">
        <v>2025</v>
      </c>
      <c r="D305" s="14" t="s">
        <v>33</v>
      </c>
      <c r="E305" s="15" t="s">
        <v>4735</v>
      </c>
      <c r="F305" s="16">
        <f t="shared" si="8"/>
        <v>2</v>
      </c>
      <c r="G305" s="15" t="s">
        <v>5958</v>
      </c>
      <c r="H305" s="18" t="s">
        <v>5600</v>
      </c>
      <c r="I305" s="19">
        <v>2</v>
      </c>
      <c r="J305" s="20">
        <f t="shared" si="9"/>
        <v>1</v>
      </c>
    </row>
    <row r="306" spans="1:10">
      <c r="A306" s="16">
        <v>305</v>
      </c>
      <c r="B306" s="15" t="s">
        <v>3324</v>
      </c>
      <c r="C306" s="17">
        <v>2025</v>
      </c>
      <c r="D306" s="14" t="s">
        <v>644</v>
      </c>
      <c r="E306" s="15" t="s">
        <v>2245</v>
      </c>
      <c r="F306" s="16">
        <f t="shared" si="8"/>
        <v>4</v>
      </c>
      <c r="G306" s="15" t="s">
        <v>5959</v>
      </c>
      <c r="H306" s="18" t="s">
        <v>3327</v>
      </c>
      <c r="I306" s="19">
        <v>4</v>
      </c>
      <c r="J306" s="20">
        <f t="shared" si="9"/>
        <v>1</v>
      </c>
    </row>
    <row r="307" spans="1:10">
      <c r="A307" s="16">
        <v>306</v>
      </c>
      <c r="B307" s="15" t="s">
        <v>4446</v>
      </c>
      <c r="C307" s="17">
        <v>2025</v>
      </c>
      <c r="D307" s="14" t="s">
        <v>33</v>
      </c>
      <c r="E307" s="15" t="s">
        <v>2392</v>
      </c>
      <c r="F307" s="16">
        <f t="shared" si="8"/>
        <v>1</v>
      </c>
      <c r="G307" s="15" t="s">
        <v>3074</v>
      </c>
      <c r="H307" s="18" t="s">
        <v>4449</v>
      </c>
      <c r="I307" s="19">
        <v>1</v>
      </c>
      <c r="J307" s="20">
        <f t="shared" si="9"/>
        <v>1</v>
      </c>
    </row>
    <row r="308" spans="1:10" ht="28.8">
      <c r="A308" s="16">
        <v>307</v>
      </c>
      <c r="B308" s="15" t="s">
        <v>1715</v>
      </c>
      <c r="C308" s="17">
        <v>2025</v>
      </c>
      <c r="D308" s="14" t="s">
        <v>33</v>
      </c>
      <c r="E308" s="15" t="s">
        <v>1293</v>
      </c>
      <c r="F308" s="16">
        <f t="shared" si="8"/>
        <v>1</v>
      </c>
      <c r="G308" s="15" t="s">
        <v>1714</v>
      </c>
      <c r="H308" s="18" t="s">
        <v>1718</v>
      </c>
      <c r="I308" s="19">
        <v>22</v>
      </c>
      <c r="J308" s="20">
        <f t="shared" si="9"/>
        <v>4.5454545454545456E-2</v>
      </c>
    </row>
    <row r="309" spans="1:10" ht="28.8">
      <c r="A309" s="16">
        <v>308</v>
      </c>
      <c r="B309" s="15" t="s">
        <v>5455</v>
      </c>
      <c r="C309" s="17">
        <v>2025</v>
      </c>
      <c r="D309" s="14" t="s">
        <v>33</v>
      </c>
      <c r="E309" s="15" t="s">
        <v>3598</v>
      </c>
      <c r="F309" s="16">
        <f t="shared" si="8"/>
        <v>1</v>
      </c>
      <c r="G309" s="15" t="s">
        <v>2100</v>
      </c>
      <c r="H309" s="18" t="s">
        <v>5457</v>
      </c>
      <c r="I309" s="19">
        <v>9</v>
      </c>
      <c r="J309" s="20">
        <f t="shared" si="9"/>
        <v>0.1111111111111111</v>
      </c>
    </row>
    <row r="310" spans="1:10" ht="28.8">
      <c r="A310" s="16">
        <v>309</v>
      </c>
      <c r="B310" s="15" t="s">
        <v>1568</v>
      </c>
      <c r="C310" s="17">
        <v>2025</v>
      </c>
      <c r="D310" s="14" t="s">
        <v>49</v>
      </c>
      <c r="E310" s="15" t="s">
        <v>1570</v>
      </c>
      <c r="F310" s="16">
        <f t="shared" si="8"/>
        <v>1</v>
      </c>
      <c r="G310" s="15" t="s">
        <v>493</v>
      </c>
      <c r="H310" s="18" t="s">
        <v>1573</v>
      </c>
      <c r="I310" s="19">
        <v>13</v>
      </c>
      <c r="J310" s="20">
        <f t="shared" si="9"/>
        <v>7.6923076923076927E-2</v>
      </c>
    </row>
    <row r="311" spans="1:10">
      <c r="A311" s="16">
        <v>310</v>
      </c>
      <c r="B311" s="15" t="s">
        <v>4407</v>
      </c>
      <c r="C311" s="17">
        <v>2025</v>
      </c>
      <c r="D311" s="14" t="s">
        <v>644</v>
      </c>
      <c r="E311" s="15" t="s">
        <v>2912</v>
      </c>
      <c r="F311" s="16">
        <f t="shared" si="8"/>
        <v>3</v>
      </c>
      <c r="G311" s="15" t="s">
        <v>5960</v>
      </c>
      <c r="H311" s="18" t="s">
        <v>4410</v>
      </c>
      <c r="I311" s="19">
        <v>3</v>
      </c>
      <c r="J311" s="20">
        <f t="shared" si="9"/>
        <v>1</v>
      </c>
    </row>
    <row r="312" spans="1:10" ht="28.8">
      <c r="A312" s="16">
        <v>311</v>
      </c>
      <c r="B312" s="15" t="s">
        <v>1851</v>
      </c>
      <c r="C312" s="17">
        <v>2025</v>
      </c>
      <c r="D312" s="14" t="s">
        <v>33</v>
      </c>
      <c r="E312" s="15" t="s">
        <v>357</v>
      </c>
      <c r="F312" s="16">
        <f t="shared" si="8"/>
        <v>1</v>
      </c>
      <c r="G312" s="15" t="s">
        <v>22</v>
      </c>
      <c r="H312" s="18" t="s">
        <v>1854</v>
      </c>
      <c r="I312" s="19">
        <v>3</v>
      </c>
      <c r="J312" s="20">
        <f t="shared" si="9"/>
        <v>0.33333333333333331</v>
      </c>
    </row>
    <row r="313" spans="1:10" ht="28.8">
      <c r="A313" s="16">
        <v>312</v>
      </c>
      <c r="B313" s="15" t="s">
        <v>2865</v>
      </c>
      <c r="C313" s="17">
        <v>2025</v>
      </c>
      <c r="D313" s="14" t="s">
        <v>33</v>
      </c>
      <c r="E313" s="15" t="s">
        <v>2867</v>
      </c>
      <c r="F313" s="16">
        <f t="shared" si="8"/>
        <v>1</v>
      </c>
      <c r="G313" s="15" t="s">
        <v>2864</v>
      </c>
      <c r="H313" s="18" t="s">
        <v>2871</v>
      </c>
      <c r="I313" s="19">
        <v>13</v>
      </c>
      <c r="J313" s="20">
        <f t="shared" si="9"/>
        <v>7.6923076923076927E-2</v>
      </c>
    </row>
    <row r="314" spans="1:10" ht="28.8">
      <c r="A314" s="16">
        <v>313</v>
      </c>
      <c r="B314" s="15" t="s">
        <v>3222</v>
      </c>
      <c r="C314" s="17">
        <v>2025</v>
      </c>
      <c r="D314" s="14" t="s">
        <v>33</v>
      </c>
      <c r="E314" s="15" t="s">
        <v>889</v>
      </c>
      <c r="F314" s="16">
        <f t="shared" si="8"/>
        <v>1</v>
      </c>
      <c r="G314" s="15" t="s">
        <v>1012</v>
      </c>
      <c r="H314" s="18" t="s">
        <v>3224</v>
      </c>
      <c r="I314" s="19">
        <v>7</v>
      </c>
      <c r="J314" s="20">
        <f t="shared" si="9"/>
        <v>0.14285714285714285</v>
      </c>
    </row>
    <row r="315" spans="1:10" ht="28.8">
      <c r="A315" s="16">
        <v>314</v>
      </c>
      <c r="B315" s="15" t="s">
        <v>1752</v>
      </c>
      <c r="C315" s="17">
        <v>2025</v>
      </c>
      <c r="D315" s="14" t="s">
        <v>33</v>
      </c>
      <c r="E315" s="15" t="s">
        <v>1754</v>
      </c>
      <c r="F315" s="16">
        <f t="shared" si="8"/>
        <v>1</v>
      </c>
      <c r="G315" s="15" t="s">
        <v>164</v>
      </c>
      <c r="H315" s="18" t="s">
        <v>1756</v>
      </c>
      <c r="I315" s="19">
        <v>15</v>
      </c>
      <c r="J315" s="20">
        <f t="shared" si="9"/>
        <v>6.6666666666666666E-2</v>
      </c>
    </row>
    <row r="316" spans="1:10">
      <c r="A316" s="16">
        <v>315</v>
      </c>
      <c r="B316" s="15" t="s">
        <v>4908</v>
      </c>
      <c r="C316" s="17">
        <v>2025</v>
      </c>
      <c r="D316" s="14" t="s">
        <v>33</v>
      </c>
      <c r="E316" s="15" t="s">
        <v>2392</v>
      </c>
      <c r="F316" s="16">
        <f t="shared" si="8"/>
        <v>3</v>
      </c>
      <c r="G316" s="15" t="s">
        <v>5961</v>
      </c>
      <c r="H316" s="18" t="s">
        <v>4911</v>
      </c>
      <c r="I316" s="19">
        <v>4</v>
      </c>
      <c r="J316" s="20">
        <f t="shared" si="9"/>
        <v>0.75</v>
      </c>
    </row>
    <row r="317" spans="1:10" ht="43.2">
      <c r="A317" s="16">
        <v>316</v>
      </c>
      <c r="B317" s="15" t="s">
        <v>4172</v>
      </c>
      <c r="C317" s="17">
        <v>2025</v>
      </c>
      <c r="D317" s="14" t="s">
        <v>33</v>
      </c>
      <c r="E317" s="15" t="s">
        <v>4174</v>
      </c>
      <c r="F317" s="16">
        <f t="shared" si="8"/>
        <v>1</v>
      </c>
      <c r="G317" s="15" t="s">
        <v>4171</v>
      </c>
      <c r="H317" s="18" t="s">
        <v>4178</v>
      </c>
      <c r="I317" s="19">
        <v>1</v>
      </c>
      <c r="J317" s="20">
        <f t="shared" si="9"/>
        <v>1</v>
      </c>
    </row>
    <row r="318" spans="1:10" ht="28.8">
      <c r="A318" s="16">
        <v>317</v>
      </c>
      <c r="B318" s="15" t="s">
        <v>5305</v>
      </c>
      <c r="C318" s="17">
        <v>2025</v>
      </c>
      <c r="D318" s="14" t="s">
        <v>33</v>
      </c>
      <c r="E318" s="15" t="s">
        <v>3000</v>
      </c>
      <c r="F318" s="16">
        <f t="shared" si="8"/>
        <v>1</v>
      </c>
      <c r="G318" s="15" t="s">
        <v>5304</v>
      </c>
      <c r="H318" s="18" t="s">
        <v>5307</v>
      </c>
      <c r="I318" s="19">
        <v>2</v>
      </c>
      <c r="J318" s="20">
        <f t="shared" si="9"/>
        <v>0.5</v>
      </c>
    </row>
    <row r="319" spans="1:10" ht="28.8">
      <c r="A319" s="16">
        <v>318</v>
      </c>
      <c r="B319" s="15" t="s">
        <v>4651</v>
      </c>
      <c r="C319" s="17">
        <v>2024</v>
      </c>
      <c r="D319" s="14" t="s">
        <v>33</v>
      </c>
      <c r="E319" s="15" t="s">
        <v>4174</v>
      </c>
      <c r="F319" s="16">
        <f t="shared" si="8"/>
        <v>1</v>
      </c>
      <c r="G319" s="15" t="s">
        <v>4650</v>
      </c>
      <c r="H319" s="15" t="s">
        <v>43</v>
      </c>
      <c r="I319" s="19">
        <v>1</v>
      </c>
      <c r="J319" s="20">
        <f t="shared" si="9"/>
        <v>1</v>
      </c>
    </row>
    <row r="320" spans="1:10" ht="28.8">
      <c r="A320" s="16">
        <v>319</v>
      </c>
      <c r="B320" s="15" t="s">
        <v>1321</v>
      </c>
      <c r="C320" s="17">
        <v>2024</v>
      </c>
      <c r="D320" s="14" t="s">
        <v>33</v>
      </c>
      <c r="E320" s="15" t="s">
        <v>1323</v>
      </c>
      <c r="F320" s="16">
        <f t="shared" si="8"/>
        <v>1</v>
      </c>
      <c r="G320" s="15" t="s">
        <v>1320</v>
      </c>
      <c r="H320" s="18" t="s">
        <v>1329</v>
      </c>
      <c r="I320" s="19">
        <v>21</v>
      </c>
      <c r="J320" s="20">
        <f t="shared" si="9"/>
        <v>4.7619047619047616E-2</v>
      </c>
    </row>
    <row r="321" spans="1:10">
      <c r="A321" s="16">
        <v>320</v>
      </c>
      <c r="B321" s="15" t="s">
        <v>877</v>
      </c>
      <c r="C321" s="17">
        <v>2024</v>
      </c>
      <c r="D321" s="14" t="s">
        <v>33</v>
      </c>
      <c r="E321" s="15" t="s">
        <v>879</v>
      </c>
      <c r="F321" s="16">
        <f t="shared" si="8"/>
        <v>1</v>
      </c>
      <c r="G321" s="15" t="s">
        <v>265</v>
      </c>
      <c r="H321" s="18" t="s">
        <v>883</v>
      </c>
      <c r="I321" s="19">
        <v>3</v>
      </c>
      <c r="J321" s="20">
        <f t="shared" si="9"/>
        <v>0.33333333333333331</v>
      </c>
    </row>
    <row r="322" spans="1:10" ht="43.2">
      <c r="A322" s="16">
        <v>321</v>
      </c>
      <c r="B322" s="15" t="s">
        <v>3701</v>
      </c>
      <c r="C322" s="17">
        <v>2024</v>
      </c>
      <c r="D322" s="14" t="s">
        <v>2112</v>
      </c>
      <c r="E322" s="15" t="s">
        <v>3703</v>
      </c>
      <c r="F322" s="16">
        <f t="shared" ref="F322:F385" si="10">IF($G322="",0,LEN($G322)-LEN(SUBSTITUTE($G322,"|",""))+1)</f>
        <v>1</v>
      </c>
      <c r="G322" s="15" t="s">
        <v>3700</v>
      </c>
      <c r="H322" s="18" t="s">
        <v>3707</v>
      </c>
      <c r="I322" s="19">
        <v>4</v>
      </c>
      <c r="J322" s="20">
        <f t="shared" ref="J322:J385" si="11">IFERROR(F322/I322,"")</f>
        <v>0.25</v>
      </c>
    </row>
    <row r="323" spans="1:10" ht="28.8">
      <c r="A323" s="16">
        <v>322</v>
      </c>
      <c r="B323" s="15" t="s">
        <v>369</v>
      </c>
      <c r="C323" s="17">
        <v>2024</v>
      </c>
      <c r="D323" s="14" t="s">
        <v>33</v>
      </c>
      <c r="E323" s="15" t="s">
        <v>371</v>
      </c>
      <c r="F323" s="16">
        <f t="shared" si="10"/>
        <v>8</v>
      </c>
      <c r="G323" s="15" t="s">
        <v>5962</v>
      </c>
      <c r="H323" s="18" t="s">
        <v>375</v>
      </c>
      <c r="I323" s="19">
        <v>14</v>
      </c>
      <c r="J323" s="20">
        <f t="shared" si="11"/>
        <v>0.5714285714285714</v>
      </c>
    </row>
    <row r="324" spans="1:10" ht="28.8">
      <c r="A324" s="16">
        <v>323</v>
      </c>
      <c r="B324" s="15" t="s">
        <v>1706</v>
      </c>
      <c r="C324" s="17">
        <v>2024</v>
      </c>
      <c r="D324" s="14" t="s">
        <v>33</v>
      </c>
      <c r="E324" s="15" t="s">
        <v>1293</v>
      </c>
      <c r="F324" s="16">
        <f t="shared" si="10"/>
        <v>1</v>
      </c>
      <c r="G324" s="15" t="s">
        <v>276</v>
      </c>
      <c r="H324" s="18" t="s">
        <v>1708</v>
      </c>
      <c r="I324" s="19">
        <v>12</v>
      </c>
      <c r="J324" s="20">
        <f t="shared" si="11"/>
        <v>8.3333333333333329E-2</v>
      </c>
    </row>
    <row r="325" spans="1:10" ht="28.8">
      <c r="A325" s="16">
        <v>324</v>
      </c>
      <c r="B325" s="15" t="s">
        <v>752</v>
      </c>
      <c r="C325" s="17">
        <v>2024</v>
      </c>
      <c r="D325" s="14" t="s">
        <v>49</v>
      </c>
      <c r="E325" s="15" t="s">
        <v>192</v>
      </c>
      <c r="F325" s="16">
        <f t="shared" si="10"/>
        <v>1</v>
      </c>
      <c r="G325" s="15" t="s">
        <v>128</v>
      </c>
      <c r="H325" s="18" t="s">
        <v>753</v>
      </c>
      <c r="I325" s="19">
        <v>3</v>
      </c>
      <c r="J325" s="20">
        <f t="shared" si="11"/>
        <v>0.33333333333333331</v>
      </c>
    </row>
    <row r="326" spans="1:10" ht="28.8">
      <c r="A326" s="16">
        <v>325</v>
      </c>
      <c r="B326" s="15" t="s">
        <v>5462</v>
      </c>
      <c r="C326" s="17">
        <v>2024</v>
      </c>
      <c r="D326" s="14" t="s">
        <v>1125</v>
      </c>
      <c r="E326" s="15" t="s">
        <v>5464</v>
      </c>
      <c r="F326" s="16">
        <f t="shared" si="10"/>
        <v>1</v>
      </c>
      <c r="G326" s="15" t="s">
        <v>2877</v>
      </c>
      <c r="H326" s="18" t="s">
        <v>5466</v>
      </c>
      <c r="I326" s="19">
        <v>3</v>
      </c>
      <c r="J326" s="20">
        <f t="shared" si="11"/>
        <v>0.33333333333333331</v>
      </c>
    </row>
    <row r="327" spans="1:10" ht="28.8">
      <c r="A327" s="16">
        <v>326</v>
      </c>
      <c r="B327" s="15" t="s">
        <v>1356</v>
      </c>
      <c r="C327" s="17">
        <v>2024</v>
      </c>
      <c r="D327" s="14" t="s">
        <v>33</v>
      </c>
      <c r="E327" s="15" t="s">
        <v>1358</v>
      </c>
      <c r="F327" s="16">
        <f t="shared" si="10"/>
        <v>1</v>
      </c>
      <c r="G327" s="15" t="s">
        <v>1355</v>
      </c>
      <c r="H327" s="18" t="s">
        <v>1364</v>
      </c>
      <c r="I327" s="19">
        <v>9</v>
      </c>
      <c r="J327" s="20">
        <f t="shared" si="11"/>
        <v>0.1111111111111111</v>
      </c>
    </row>
    <row r="328" spans="1:10">
      <c r="A328" s="16">
        <v>327</v>
      </c>
      <c r="B328" s="15" t="s">
        <v>3638</v>
      </c>
      <c r="C328" s="17">
        <v>2024</v>
      </c>
      <c r="D328" s="14" t="s">
        <v>33</v>
      </c>
      <c r="E328" s="15" t="s">
        <v>3640</v>
      </c>
      <c r="F328" s="16">
        <f t="shared" si="10"/>
        <v>1</v>
      </c>
      <c r="G328" s="15" t="s">
        <v>3637</v>
      </c>
      <c r="H328" s="18" t="s">
        <v>3645</v>
      </c>
      <c r="I328" s="19">
        <v>2</v>
      </c>
      <c r="J328" s="20">
        <f t="shared" si="11"/>
        <v>0.5</v>
      </c>
    </row>
    <row r="329" spans="1:10">
      <c r="A329" s="16">
        <v>328</v>
      </c>
      <c r="B329" s="15" t="s">
        <v>3499</v>
      </c>
      <c r="C329" s="17">
        <v>2024</v>
      </c>
      <c r="D329" s="14" t="s">
        <v>644</v>
      </c>
      <c r="E329" s="15" t="s">
        <v>231</v>
      </c>
      <c r="F329" s="16">
        <f t="shared" si="10"/>
        <v>3</v>
      </c>
      <c r="G329" s="15" t="s">
        <v>5963</v>
      </c>
      <c r="H329" s="18" t="s">
        <v>3501</v>
      </c>
      <c r="I329" s="19">
        <v>4</v>
      </c>
      <c r="J329" s="20">
        <f t="shared" si="11"/>
        <v>0.75</v>
      </c>
    </row>
    <row r="330" spans="1:10">
      <c r="A330" s="16">
        <v>329</v>
      </c>
      <c r="B330" s="15" t="s">
        <v>2781</v>
      </c>
      <c r="C330" s="17">
        <v>2024</v>
      </c>
      <c r="D330" s="14" t="s">
        <v>33</v>
      </c>
      <c r="E330" s="15" t="s">
        <v>2783</v>
      </c>
      <c r="F330" s="16">
        <f t="shared" si="10"/>
        <v>2</v>
      </c>
      <c r="G330" s="15" t="s">
        <v>5964</v>
      </c>
      <c r="H330" s="18" t="s">
        <v>2787</v>
      </c>
      <c r="I330" s="19">
        <v>3</v>
      </c>
      <c r="J330" s="20">
        <f t="shared" si="11"/>
        <v>0.66666666666666663</v>
      </c>
    </row>
    <row r="331" spans="1:10" ht="43.2">
      <c r="A331" s="16">
        <v>330</v>
      </c>
      <c r="B331" s="15" t="s">
        <v>535</v>
      </c>
      <c r="C331" s="17">
        <v>2024</v>
      </c>
      <c r="D331" s="14" t="s">
        <v>33</v>
      </c>
      <c r="E331" s="15" t="s">
        <v>116</v>
      </c>
      <c r="F331" s="16">
        <f t="shared" si="10"/>
        <v>1</v>
      </c>
      <c r="G331" s="15" t="s">
        <v>113</v>
      </c>
      <c r="H331" s="18" t="s">
        <v>538</v>
      </c>
      <c r="I331" s="19">
        <v>7</v>
      </c>
      <c r="J331" s="20">
        <f t="shared" si="11"/>
        <v>0.14285714285714285</v>
      </c>
    </row>
    <row r="332" spans="1:10" ht="43.2">
      <c r="A332" s="16">
        <v>331</v>
      </c>
      <c r="B332" s="15" t="s">
        <v>5216</v>
      </c>
      <c r="C332" s="17">
        <v>2024</v>
      </c>
      <c r="D332" s="14" t="s">
        <v>49</v>
      </c>
      <c r="E332" s="15" t="s">
        <v>5218</v>
      </c>
      <c r="F332" s="16">
        <f t="shared" si="10"/>
        <v>1</v>
      </c>
      <c r="G332" s="15" t="s">
        <v>5215</v>
      </c>
      <c r="H332" s="18" t="s">
        <v>5221</v>
      </c>
      <c r="I332" s="19">
        <v>10</v>
      </c>
      <c r="J332" s="20">
        <f t="shared" si="11"/>
        <v>0.1</v>
      </c>
    </row>
    <row r="333" spans="1:10">
      <c r="A333" s="16">
        <v>332</v>
      </c>
      <c r="B333" s="15" t="s">
        <v>191</v>
      </c>
      <c r="C333" s="17">
        <v>2024</v>
      </c>
      <c r="D333" s="14" t="s">
        <v>33</v>
      </c>
      <c r="E333" s="15" t="s">
        <v>192</v>
      </c>
      <c r="F333" s="16">
        <f t="shared" si="10"/>
        <v>1</v>
      </c>
      <c r="G333" s="15" t="s">
        <v>128</v>
      </c>
      <c r="H333" s="18" t="s">
        <v>198</v>
      </c>
      <c r="I333" s="19">
        <v>3</v>
      </c>
      <c r="J333" s="20">
        <f t="shared" si="11"/>
        <v>0.33333333333333331</v>
      </c>
    </row>
    <row r="334" spans="1:10">
      <c r="A334" s="16">
        <v>333</v>
      </c>
      <c r="B334" s="15" t="s">
        <v>3804</v>
      </c>
      <c r="C334" s="17">
        <v>2024</v>
      </c>
      <c r="D334" s="14" t="s">
        <v>49</v>
      </c>
      <c r="E334" s="15" t="s">
        <v>3806</v>
      </c>
      <c r="F334" s="16">
        <f t="shared" si="10"/>
        <v>1</v>
      </c>
      <c r="G334" s="15" t="s">
        <v>3803</v>
      </c>
      <c r="H334" s="18" t="s">
        <v>3812</v>
      </c>
      <c r="I334" s="19">
        <v>8</v>
      </c>
      <c r="J334" s="20">
        <f t="shared" si="11"/>
        <v>0.125</v>
      </c>
    </row>
    <row r="335" spans="1:10" ht="28.8">
      <c r="A335" s="16">
        <v>334</v>
      </c>
      <c r="B335" s="15" t="s">
        <v>1120</v>
      </c>
      <c r="C335" s="17">
        <v>2024</v>
      </c>
      <c r="D335" s="14" t="s">
        <v>1125</v>
      </c>
      <c r="E335" s="15" t="s">
        <v>1121</v>
      </c>
      <c r="F335" s="16">
        <f t="shared" si="10"/>
        <v>1</v>
      </c>
      <c r="G335" s="15" t="s">
        <v>128</v>
      </c>
      <c r="H335" s="18" t="s">
        <v>1124</v>
      </c>
      <c r="I335" s="19">
        <v>3</v>
      </c>
      <c r="J335" s="20">
        <f t="shared" si="11"/>
        <v>0.33333333333333331</v>
      </c>
    </row>
    <row r="336" spans="1:10">
      <c r="A336" s="16">
        <v>335</v>
      </c>
      <c r="B336" s="15" t="s">
        <v>4879</v>
      </c>
      <c r="C336" s="17">
        <v>2024</v>
      </c>
      <c r="D336" s="14" t="s">
        <v>33</v>
      </c>
      <c r="E336" s="15" t="s">
        <v>3864</v>
      </c>
      <c r="F336" s="16">
        <f t="shared" si="10"/>
        <v>2</v>
      </c>
      <c r="G336" s="15" t="s">
        <v>5965</v>
      </c>
      <c r="H336" s="18" t="s">
        <v>4882</v>
      </c>
      <c r="I336" s="19">
        <v>6</v>
      </c>
      <c r="J336" s="20">
        <f t="shared" si="11"/>
        <v>0.33333333333333331</v>
      </c>
    </row>
    <row r="337" spans="1:10" ht="28.8">
      <c r="A337" s="16">
        <v>336</v>
      </c>
      <c r="B337" s="15" t="s">
        <v>2619</v>
      </c>
      <c r="C337" s="17">
        <v>2024</v>
      </c>
      <c r="D337" s="14" t="s">
        <v>33</v>
      </c>
      <c r="E337" s="15" t="s">
        <v>2621</v>
      </c>
      <c r="F337" s="16">
        <f t="shared" si="10"/>
        <v>6</v>
      </c>
      <c r="G337" s="15" t="s">
        <v>5966</v>
      </c>
      <c r="H337" s="18" t="s">
        <v>2625</v>
      </c>
      <c r="I337" s="19">
        <v>9</v>
      </c>
      <c r="J337" s="20">
        <f t="shared" si="11"/>
        <v>0.66666666666666663</v>
      </c>
    </row>
    <row r="338" spans="1:10" ht="28.8">
      <c r="A338" s="16">
        <v>337</v>
      </c>
      <c r="B338" s="15" t="s">
        <v>3607</v>
      </c>
      <c r="C338" s="17">
        <v>2024</v>
      </c>
      <c r="D338" s="14" t="s">
        <v>33</v>
      </c>
      <c r="E338" s="15" t="s">
        <v>3609</v>
      </c>
      <c r="F338" s="16">
        <f t="shared" si="10"/>
        <v>1</v>
      </c>
      <c r="G338" s="15" t="s">
        <v>3606</v>
      </c>
      <c r="H338" s="18" t="s">
        <v>3614</v>
      </c>
      <c r="I338" s="19">
        <v>9</v>
      </c>
      <c r="J338" s="20">
        <f t="shared" si="11"/>
        <v>0.1111111111111111</v>
      </c>
    </row>
    <row r="339" spans="1:10" ht="28.8">
      <c r="A339" s="16">
        <v>338</v>
      </c>
      <c r="B339" s="15" t="s">
        <v>1595</v>
      </c>
      <c r="C339" s="17">
        <v>2024</v>
      </c>
      <c r="D339" s="14" t="s">
        <v>49</v>
      </c>
      <c r="E339" s="15" t="s">
        <v>1470</v>
      </c>
      <c r="F339" s="16">
        <f t="shared" si="10"/>
        <v>1</v>
      </c>
      <c r="G339" s="15" t="s">
        <v>276</v>
      </c>
      <c r="H339" s="18" t="s">
        <v>1597</v>
      </c>
      <c r="I339" s="19">
        <v>12</v>
      </c>
      <c r="J339" s="20">
        <f t="shared" si="11"/>
        <v>8.3333333333333329E-2</v>
      </c>
    </row>
    <row r="340" spans="1:10" ht="28.8">
      <c r="A340" s="16">
        <v>339</v>
      </c>
      <c r="B340" s="15" t="s">
        <v>1025</v>
      </c>
      <c r="C340" s="17">
        <v>2024</v>
      </c>
      <c r="D340" s="14" t="s">
        <v>49</v>
      </c>
      <c r="E340" s="15" t="s">
        <v>651</v>
      </c>
      <c r="F340" s="16">
        <f t="shared" si="10"/>
        <v>1</v>
      </c>
      <c r="G340" s="15" t="s">
        <v>276</v>
      </c>
      <c r="H340" s="18" t="s">
        <v>1027</v>
      </c>
      <c r="I340" s="19">
        <v>12</v>
      </c>
      <c r="J340" s="20">
        <f t="shared" si="11"/>
        <v>8.3333333333333329E-2</v>
      </c>
    </row>
    <row r="341" spans="1:10" ht="28.8">
      <c r="A341" s="16">
        <v>340</v>
      </c>
      <c r="B341" s="15" t="s">
        <v>976</v>
      </c>
      <c r="C341" s="17">
        <v>2024</v>
      </c>
      <c r="D341" s="14" t="s">
        <v>33</v>
      </c>
      <c r="E341" s="15" t="s">
        <v>849</v>
      </c>
      <c r="F341" s="16">
        <f t="shared" si="10"/>
        <v>1</v>
      </c>
      <c r="G341" s="15" t="s">
        <v>276</v>
      </c>
      <c r="H341" s="18" t="s">
        <v>979</v>
      </c>
      <c r="I341" s="19">
        <v>11</v>
      </c>
      <c r="J341" s="20">
        <f t="shared" si="11"/>
        <v>9.0909090909090912E-2</v>
      </c>
    </row>
    <row r="342" spans="1:10">
      <c r="A342" s="16">
        <v>341</v>
      </c>
      <c r="B342" s="15" t="s">
        <v>326</v>
      </c>
      <c r="C342" s="17">
        <v>2024</v>
      </c>
      <c r="D342" s="14" t="s">
        <v>33</v>
      </c>
      <c r="E342" s="15" t="s">
        <v>328</v>
      </c>
      <c r="F342" s="16">
        <f t="shared" si="10"/>
        <v>1</v>
      </c>
      <c r="G342" s="15" t="s">
        <v>325</v>
      </c>
      <c r="H342" s="18" t="s">
        <v>332</v>
      </c>
      <c r="I342" s="19">
        <v>7</v>
      </c>
      <c r="J342" s="20">
        <f t="shared" si="11"/>
        <v>0.14285714285714285</v>
      </c>
    </row>
    <row r="343" spans="1:10" ht="28.8">
      <c r="A343" s="16">
        <v>342</v>
      </c>
      <c r="B343" s="15" t="s">
        <v>506</v>
      </c>
      <c r="C343" s="17">
        <v>2024</v>
      </c>
      <c r="D343" s="14" t="s">
        <v>49</v>
      </c>
      <c r="E343" s="15" t="s">
        <v>508</v>
      </c>
      <c r="F343" s="16">
        <f t="shared" si="10"/>
        <v>4</v>
      </c>
      <c r="G343" s="15" t="s">
        <v>5967</v>
      </c>
      <c r="H343" s="18" t="s">
        <v>509</v>
      </c>
      <c r="I343" s="19">
        <v>4</v>
      </c>
      <c r="J343" s="20">
        <f t="shared" si="11"/>
        <v>1</v>
      </c>
    </row>
    <row r="344" spans="1:10" ht="28.8">
      <c r="A344" s="16">
        <v>343</v>
      </c>
      <c r="B344" s="15" t="s">
        <v>4505</v>
      </c>
      <c r="C344" s="17">
        <v>2024</v>
      </c>
      <c r="D344" s="14" t="s">
        <v>33</v>
      </c>
      <c r="E344" s="15" t="s">
        <v>4149</v>
      </c>
      <c r="F344" s="16">
        <f t="shared" si="10"/>
        <v>1</v>
      </c>
      <c r="G344" s="15" t="s">
        <v>4504</v>
      </c>
      <c r="H344" s="18" t="s">
        <v>4508</v>
      </c>
      <c r="I344" s="19">
        <v>4</v>
      </c>
      <c r="J344" s="20">
        <f t="shared" si="11"/>
        <v>0.25</v>
      </c>
    </row>
    <row r="345" spans="1:10" ht="28.8">
      <c r="A345" s="16">
        <v>344</v>
      </c>
      <c r="B345" s="15" t="s">
        <v>1033</v>
      </c>
      <c r="C345" s="17">
        <v>2024</v>
      </c>
      <c r="D345" s="14" t="s">
        <v>49</v>
      </c>
      <c r="E345" s="15" t="s">
        <v>1035</v>
      </c>
      <c r="F345" s="16">
        <f t="shared" si="10"/>
        <v>1</v>
      </c>
      <c r="G345" s="15" t="s">
        <v>1032</v>
      </c>
      <c r="H345" s="18" t="s">
        <v>1039</v>
      </c>
      <c r="I345" s="19">
        <v>4</v>
      </c>
      <c r="J345" s="20">
        <f t="shared" si="11"/>
        <v>0.25</v>
      </c>
    </row>
    <row r="346" spans="1:10" ht="28.8">
      <c r="A346" s="16">
        <v>345</v>
      </c>
      <c r="B346" s="15" t="s">
        <v>5838</v>
      </c>
      <c r="C346" s="17">
        <v>2024</v>
      </c>
      <c r="D346" s="14" t="s">
        <v>33</v>
      </c>
      <c r="E346" s="15" t="s">
        <v>5840</v>
      </c>
      <c r="F346" s="16">
        <f t="shared" si="10"/>
        <v>1</v>
      </c>
      <c r="G346" s="15" t="s">
        <v>3229</v>
      </c>
      <c r="H346" s="18" t="s">
        <v>5845</v>
      </c>
      <c r="I346" s="19">
        <v>3</v>
      </c>
      <c r="J346" s="20">
        <f t="shared" si="11"/>
        <v>0.33333333333333331</v>
      </c>
    </row>
    <row r="347" spans="1:10" ht="28.8">
      <c r="A347" s="16">
        <v>346</v>
      </c>
      <c r="B347" s="15" t="s">
        <v>4513</v>
      </c>
      <c r="C347" s="17">
        <v>2024</v>
      </c>
      <c r="D347" s="14" t="s">
        <v>33</v>
      </c>
      <c r="E347" s="15" t="s">
        <v>2912</v>
      </c>
      <c r="F347" s="16">
        <f t="shared" si="10"/>
        <v>1</v>
      </c>
      <c r="G347" s="15" t="s">
        <v>3141</v>
      </c>
      <c r="H347" s="18" t="s">
        <v>4516</v>
      </c>
      <c r="I347" s="19">
        <v>7</v>
      </c>
      <c r="J347" s="20">
        <f t="shared" si="11"/>
        <v>0.14285714285714285</v>
      </c>
    </row>
    <row r="348" spans="1:10" ht="28.8">
      <c r="A348" s="16">
        <v>347</v>
      </c>
      <c r="B348" s="15" t="s">
        <v>649</v>
      </c>
      <c r="C348" s="17">
        <v>2024</v>
      </c>
      <c r="D348" s="14" t="s">
        <v>49</v>
      </c>
      <c r="E348" s="15" t="s">
        <v>651</v>
      </c>
      <c r="F348" s="16">
        <f t="shared" si="10"/>
        <v>1</v>
      </c>
      <c r="G348" s="15" t="s">
        <v>276</v>
      </c>
      <c r="H348" s="18" t="s">
        <v>655</v>
      </c>
      <c r="I348" s="19">
        <v>11</v>
      </c>
      <c r="J348" s="20">
        <f t="shared" si="11"/>
        <v>9.0909090909090912E-2</v>
      </c>
    </row>
    <row r="349" spans="1:10" ht="28.8">
      <c r="A349" s="16">
        <v>348</v>
      </c>
      <c r="B349" s="15" t="s">
        <v>1804</v>
      </c>
      <c r="C349" s="17">
        <v>2024</v>
      </c>
      <c r="D349" s="14" t="s">
        <v>33</v>
      </c>
      <c r="E349" s="15" t="s">
        <v>1442</v>
      </c>
      <c r="F349" s="16">
        <f t="shared" si="10"/>
        <v>1</v>
      </c>
      <c r="G349" s="15" t="s">
        <v>276</v>
      </c>
      <c r="H349" s="18" t="s">
        <v>1806</v>
      </c>
      <c r="I349" s="19">
        <v>10</v>
      </c>
      <c r="J349" s="20">
        <f t="shared" si="11"/>
        <v>0.1</v>
      </c>
    </row>
    <row r="350" spans="1:10" ht="28.8">
      <c r="A350" s="16">
        <v>349</v>
      </c>
      <c r="B350" s="15" t="s">
        <v>447</v>
      </c>
      <c r="C350" s="17">
        <v>2024</v>
      </c>
      <c r="D350" s="14" t="s">
        <v>33</v>
      </c>
      <c r="E350" s="15" t="s">
        <v>449</v>
      </c>
      <c r="F350" s="16">
        <f t="shared" si="10"/>
        <v>1</v>
      </c>
      <c r="G350" s="15" t="s">
        <v>113</v>
      </c>
      <c r="H350" s="18" t="s">
        <v>453</v>
      </c>
      <c r="I350" s="19">
        <v>6</v>
      </c>
      <c r="J350" s="20">
        <f t="shared" si="11"/>
        <v>0.16666666666666666</v>
      </c>
    </row>
    <row r="351" spans="1:10" ht="28.8">
      <c r="A351" s="16">
        <v>350</v>
      </c>
      <c r="B351" s="15" t="s">
        <v>912</v>
      </c>
      <c r="C351" s="17">
        <v>2024</v>
      </c>
      <c r="D351" s="14" t="s">
        <v>33</v>
      </c>
      <c r="E351" s="15" t="s">
        <v>597</v>
      </c>
      <c r="F351" s="16">
        <v>1</v>
      </c>
      <c r="G351" s="15" t="s">
        <v>789</v>
      </c>
      <c r="H351" s="18" t="s">
        <v>915</v>
      </c>
      <c r="I351" s="19">
        <v>18</v>
      </c>
      <c r="J351" s="20">
        <f t="shared" si="11"/>
        <v>5.5555555555555552E-2</v>
      </c>
    </row>
    <row r="352" spans="1:10" ht="28.8">
      <c r="A352" s="16">
        <v>351</v>
      </c>
      <c r="B352" s="15" t="s">
        <v>5063</v>
      </c>
      <c r="C352" s="17">
        <v>2024</v>
      </c>
      <c r="D352" s="14" t="s">
        <v>33</v>
      </c>
      <c r="E352" s="15" t="s">
        <v>3389</v>
      </c>
      <c r="F352" s="16">
        <f t="shared" si="10"/>
        <v>1</v>
      </c>
      <c r="G352" s="15" t="s">
        <v>3386</v>
      </c>
      <c r="H352" s="18" t="s">
        <v>5066</v>
      </c>
      <c r="I352" s="19">
        <v>1</v>
      </c>
      <c r="J352" s="20">
        <f t="shared" si="11"/>
        <v>1</v>
      </c>
    </row>
    <row r="353" spans="1:10" ht="43.2">
      <c r="A353" s="16">
        <v>352</v>
      </c>
      <c r="B353" s="15" t="s">
        <v>1991</v>
      </c>
      <c r="C353" s="17">
        <v>2024</v>
      </c>
      <c r="D353" s="14" t="s">
        <v>33</v>
      </c>
      <c r="E353" s="15" t="s">
        <v>1993</v>
      </c>
      <c r="F353" s="16">
        <f t="shared" si="10"/>
        <v>1</v>
      </c>
      <c r="G353" s="15" t="s">
        <v>113</v>
      </c>
      <c r="H353" s="18" t="s">
        <v>1997</v>
      </c>
      <c r="I353" s="19">
        <v>6</v>
      </c>
      <c r="J353" s="20">
        <f t="shared" si="11"/>
        <v>0.16666666666666666</v>
      </c>
    </row>
    <row r="354" spans="1:10" ht="28.8">
      <c r="A354" s="16">
        <v>353</v>
      </c>
      <c r="B354" s="15" t="s">
        <v>5616</v>
      </c>
      <c r="C354" s="17">
        <v>2024</v>
      </c>
      <c r="D354" s="14" t="s">
        <v>3843</v>
      </c>
      <c r="E354" s="15" t="s">
        <v>496</v>
      </c>
      <c r="F354" s="16">
        <f t="shared" si="10"/>
        <v>1</v>
      </c>
      <c r="G354" s="15" t="s">
        <v>493</v>
      </c>
      <c r="H354" s="18" t="s">
        <v>5617</v>
      </c>
      <c r="I354" s="19">
        <v>15</v>
      </c>
      <c r="J354" s="20">
        <f t="shared" si="11"/>
        <v>6.6666666666666666E-2</v>
      </c>
    </row>
    <row r="355" spans="1:10" ht="28.8">
      <c r="A355" s="16">
        <v>354</v>
      </c>
      <c r="B355" s="15" t="s">
        <v>955</v>
      </c>
      <c r="C355" s="17">
        <v>2024</v>
      </c>
      <c r="D355" s="14" t="s">
        <v>33</v>
      </c>
      <c r="E355" s="15" t="s">
        <v>957</v>
      </c>
      <c r="F355" s="16">
        <f t="shared" si="10"/>
        <v>6</v>
      </c>
      <c r="G355" s="15" t="s">
        <v>5968</v>
      </c>
      <c r="H355" s="18" t="s">
        <v>962</v>
      </c>
      <c r="I355" s="19">
        <v>6</v>
      </c>
      <c r="J355" s="20">
        <f t="shared" si="11"/>
        <v>1</v>
      </c>
    </row>
    <row r="356" spans="1:10" ht="28.8">
      <c r="A356" s="16">
        <v>355</v>
      </c>
      <c r="B356" s="15" t="s">
        <v>1397</v>
      </c>
      <c r="C356" s="17">
        <v>2024</v>
      </c>
      <c r="D356" s="14" t="s">
        <v>33</v>
      </c>
      <c r="E356" s="15" t="s">
        <v>1399</v>
      </c>
      <c r="F356" s="16">
        <f t="shared" si="10"/>
        <v>1</v>
      </c>
      <c r="G356" s="15" t="s">
        <v>22</v>
      </c>
      <c r="H356" s="18" t="s">
        <v>1403</v>
      </c>
      <c r="I356" s="19">
        <v>6</v>
      </c>
      <c r="J356" s="20">
        <f t="shared" si="11"/>
        <v>0.16666666666666666</v>
      </c>
    </row>
    <row r="357" spans="1:10">
      <c r="A357" s="16">
        <v>356</v>
      </c>
      <c r="B357" s="15" t="s">
        <v>2082</v>
      </c>
      <c r="C357" s="17">
        <v>2024</v>
      </c>
      <c r="D357" s="14" t="s">
        <v>1125</v>
      </c>
      <c r="E357" s="15" t="s">
        <v>2083</v>
      </c>
      <c r="F357" s="16">
        <f t="shared" si="10"/>
        <v>1</v>
      </c>
      <c r="G357" s="15" t="s">
        <v>422</v>
      </c>
      <c r="H357" s="18" t="s">
        <v>2087</v>
      </c>
      <c r="I357" s="19">
        <v>1</v>
      </c>
      <c r="J357" s="20">
        <f t="shared" si="11"/>
        <v>1</v>
      </c>
    </row>
    <row r="358" spans="1:10">
      <c r="A358" s="16">
        <v>357</v>
      </c>
      <c r="B358" s="15" t="s">
        <v>2507</v>
      </c>
      <c r="C358" s="17">
        <v>2024</v>
      </c>
      <c r="D358" s="14" t="s">
        <v>33</v>
      </c>
      <c r="E358" s="15" t="s">
        <v>2509</v>
      </c>
      <c r="F358" s="16">
        <f t="shared" si="10"/>
        <v>1</v>
      </c>
      <c r="G358" s="15" t="s">
        <v>897</v>
      </c>
      <c r="H358" s="18" t="s">
        <v>2512</v>
      </c>
      <c r="I358" s="19">
        <v>5</v>
      </c>
      <c r="J358" s="20">
        <f t="shared" si="11"/>
        <v>0.2</v>
      </c>
    </row>
    <row r="359" spans="1:10" ht="28.8">
      <c r="A359" s="16">
        <v>358</v>
      </c>
      <c r="B359" s="15" t="s">
        <v>4209</v>
      </c>
      <c r="C359" s="17">
        <v>2024</v>
      </c>
      <c r="D359" s="14" t="s">
        <v>33</v>
      </c>
      <c r="E359" s="15" t="s">
        <v>4211</v>
      </c>
      <c r="F359" s="16">
        <f t="shared" si="10"/>
        <v>1</v>
      </c>
      <c r="G359" s="15" t="s">
        <v>2572</v>
      </c>
      <c r="H359" s="18" t="s">
        <v>4215</v>
      </c>
      <c r="I359" s="19">
        <v>4</v>
      </c>
      <c r="J359" s="20">
        <f t="shared" si="11"/>
        <v>0.25</v>
      </c>
    </row>
    <row r="360" spans="1:10">
      <c r="A360" s="16">
        <v>359</v>
      </c>
      <c r="B360" s="15" t="s">
        <v>3875</v>
      </c>
      <c r="C360" s="17">
        <v>2024</v>
      </c>
      <c r="D360" s="14" t="s">
        <v>33</v>
      </c>
      <c r="E360" s="15" t="s">
        <v>2392</v>
      </c>
      <c r="F360" s="16">
        <f t="shared" si="10"/>
        <v>1</v>
      </c>
      <c r="G360" s="15" t="s">
        <v>433</v>
      </c>
      <c r="H360" s="18" t="s">
        <v>3878</v>
      </c>
      <c r="I360" s="19">
        <v>1</v>
      </c>
      <c r="J360" s="20">
        <f t="shared" si="11"/>
        <v>1</v>
      </c>
    </row>
    <row r="361" spans="1:10" ht="28.8">
      <c r="A361" s="16">
        <v>360</v>
      </c>
      <c r="B361" s="15" t="s">
        <v>3731</v>
      </c>
      <c r="C361" s="17">
        <v>2024</v>
      </c>
      <c r="D361" s="14" t="s">
        <v>33</v>
      </c>
      <c r="E361" s="15" t="s">
        <v>3733</v>
      </c>
      <c r="F361" s="16">
        <f t="shared" si="10"/>
        <v>1</v>
      </c>
      <c r="G361" s="15" t="s">
        <v>200</v>
      </c>
      <c r="H361" s="18" t="s">
        <v>3736</v>
      </c>
      <c r="I361" s="19">
        <v>6</v>
      </c>
      <c r="J361" s="20">
        <f t="shared" si="11"/>
        <v>0.16666666666666666</v>
      </c>
    </row>
    <row r="362" spans="1:10">
      <c r="A362" s="16">
        <v>361</v>
      </c>
      <c r="B362" s="15" t="s">
        <v>5480</v>
      </c>
      <c r="C362" s="17">
        <v>2024</v>
      </c>
      <c r="D362" s="14" t="s">
        <v>644</v>
      </c>
      <c r="E362" s="15" t="s">
        <v>5482</v>
      </c>
      <c r="F362" s="16">
        <f t="shared" si="10"/>
        <v>1</v>
      </c>
      <c r="G362" s="15" t="s">
        <v>5479</v>
      </c>
      <c r="H362" s="18" t="s">
        <v>5487</v>
      </c>
      <c r="I362" s="19">
        <v>4</v>
      </c>
      <c r="J362" s="20">
        <f t="shared" si="11"/>
        <v>0.25</v>
      </c>
    </row>
    <row r="363" spans="1:10" ht="43.2">
      <c r="A363" s="16">
        <v>362</v>
      </c>
      <c r="B363" s="15" t="s">
        <v>5580</v>
      </c>
      <c r="C363" s="17">
        <v>2024</v>
      </c>
      <c r="D363" s="14" t="s">
        <v>1125</v>
      </c>
      <c r="E363" s="15" t="s">
        <v>5582</v>
      </c>
      <c r="F363" s="16">
        <f t="shared" si="10"/>
        <v>1</v>
      </c>
      <c r="G363" s="15" t="s">
        <v>5579</v>
      </c>
      <c r="H363" s="18" t="s">
        <v>5584</v>
      </c>
      <c r="I363" s="19">
        <v>3</v>
      </c>
      <c r="J363" s="20">
        <f t="shared" si="11"/>
        <v>0.33333333333333331</v>
      </c>
    </row>
    <row r="364" spans="1:10" ht="28.8">
      <c r="A364" s="16">
        <v>363</v>
      </c>
      <c r="B364" s="15" t="s">
        <v>865</v>
      </c>
      <c r="C364" s="17">
        <v>2024</v>
      </c>
      <c r="D364" s="14" t="s">
        <v>33</v>
      </c>
      <c r="E364" s="15" t="s">
        <v>867</v>
      </c>
      <c r="F364" s="16">
        <f t="shared" si="10"/>
        <v>1</v>
      </c>
      <c r="G364" s="15" t="s">
        <v>864</v>
      </c>
      <c r="H364" s="18" t="s">
        <v>872</v>
      </c>
      <c r="I364" s="19">
        <v>4</v>
      </c>
      <c r="J364" s="20">
        <f t="shared" si="11"/>
        <v>0.25</v>
      </c>
    </row>
    <row r="365" spans="1:10">
      <c r="A365" s="16">
        <v>364</v>
      </c>
      <c r="B365" s="15" t="s">
        <v>1763</v>
      </c>
      <c r="C365" s="17">
        <v>2024</v>
      </c>
      <c r="D365" s="14" t="s">
        <v>33</v>
      </c>
      <c r="E365" s="15" t="s">
        <v>1765</v>
      </c>
      <c r="F365" s="16">
        <f t="shared" si="10"/>
        <v>1</v>
      </c>
      <c r="G365" s="15" t="s">
        <v>1762</v>
      </c>
      <c r="H365" s="18" t="s">
        <v>1767</v>
      </c>
      <c r="I365" s="19">
        <v>4</v>
      </c>
      <c r="J365" s="20">
        <f t="shared" si="11"/>
        <v>0.25</v>
      </c>
    </row>
    <row r="366" spans="1:10" ht="28.8">
      <c r="A366" s="16">
        <v>365</v>
      </c>
      <c r="B366" s="15" t="s">
        <v>2964</v>
      </c>
      <c r="C366" s="17">
        <v>2024</v>
      </c>
      <c r="D366" s="14" t="s">
        <v>33</v>
      </c>
      <c r="E366" s="15" t="s">
        <v>2966</v>
      </c>
      <c r="F366" s="16">
        <f t="shared" si="10"/>
        <v>1</v>
      </c>
      <c r="G366" s="15" t="s">
        <v>2963</v>
      </c>
      <c r="H366" s="18" t="s">
        <v>2971</v>
      </c>
      <c r="I366" s="19">
        <v>1</v>
      </c>
      <c r="J366" s="20">
        <f t="shared" si="11"/>
        <v>1</v>
      </c>
    </row>
    <row r="367" spans="1:10">
      <c r="A367" s="16">
        <v>366</v>
      </c>
      <c r="B367" s="15" t="s">
        <v>3669</v>
      </c>
      <c r="C367" s="17">
        <v>2024</v>
      </c>
      <c r="D367" s="14" t="s">
        <v>3676</v>
      </c>
      <c r="E367" s="15" t="s">
        <v>3671</v>
      </c>
      <c r="F367" s="16">
        <f t="shared" si="10"/>
        <v>1</v>
      </c>
      <c r="G367" s="15" t="s">
        <v>3668</v>
      </c>
      <c r="H367" s="18" t="s">
        <v>3675</v>
      </c>
      <c r="I367" s="19">
        <v>4</v>
      </c>
      <c r="J367" s="20">
        <f t="shared" si="11"/>
        <v>0.25</v>
      </c>
    </row>
    <row r="368" spans="1:10" ht="28.8">
      <c r="A368" s="16">
        <v>367</v>
      </c>
      <c r="B368" s="15" t="s">
        <v>1620</v>
      </c>
      <c r="C368" s="17">
        <v>2024</v>
      </c>
      <c r="D368" s="14" t="s">
        <v>49</v>
      </c>
      <c r="E368" s="15" t="s">
        <v>1622</v>
      </c>
      <c r="F368" s="16">
        <f t="shared" si="10"/>
        <v>1</v>
      </c>
      <c r="G368" s="15" t="s">
        <v>1619</v>
      </c>
      <c r="H368" s="18" t="s">
        <v>1627</v>
      </c>
      <c r="I368" s="19">
        <v>3</v>
      </c>
      <c r="J368" s="20">
        <f t="shared" si="11"/>
        <v>0.33333333333333331</v>
      </c>
    </row>
    <row r="369" spans="1:10">
      <c r="A369" s="16">
        <v>368</v>
      </c>
      <c r="B369" s="15" t="s">
        <v>2138</v>
      </c>
      <c r="C369" s="17">
        <v>2024</v>
      </c>
      <c r="D369" s="14" t="s">
        <v>33</v>
      </c>
      <c r="E369" s="15" t="s">
        <v>2140</v>
      </c>
      <c r="F369" s="16">
        <f t="shared" si="10"/>
        <v>1</v>
      </c>
      <c r="G369" s="15" t="s">
        <v>1644</v>
      </c>
      <c r="H369" s="18" t="s">
        <v>2146</v>
      </c>
      <c r="I369" s="19">
        <v>3</v>
      </c>
      <c r="J369" s="20">
        <f t="shared" si="11"/>
        <v>0.33333333333333331</v>
      </c>
    </row>
    <row r="370" spans="1:10" ht="43.2">
      <c r="A370" s="16">
        <v>369</v>
      </c>
      <c r="B370" s="15" t="s">
        <v>5851</v>
      </c>
      <c r="C370" s="17">
        <v>2024</v>
      </c>
      <c r="D370" s="14" t="s">
        <v>33</v>
      </c>
      <c r="E370" s="15" t="s">
        <v>5853</v>
      </c>
      <c r="F370" s="16">
        <f t="shared" si="10"/>
        <v>1</v>
      </c>
      <c r="G370" s="15" t="s">
        <v>5850</v>
      </c>
      <c r="H370" s="18" t="s">
        <v>5858</v>
      </c>
      <c r="I370" s="19">
        <v>1</v>
      </c>
      <c r="J370" s="20">
        <f t="shared" si="11"/>
        <v>1</v>
      </c>
    </row>
    <row r="371" spans="1:10" ht="28.8">
      <c r="A371" s="16">
        <v>370</v>
      </c>
      <c r="B371" s="15" t="s">
        <v>1782</v>
      </c>
      <c r="C371" s="17">
        <v>2024</v>
      </c>
      <c r="D371" s="14" t="s">
        <v>33</v>
      </c>
      <c r="E371" s="15" t="s">
        <v>1784</v>
      </c>
      <c r="F371" s="16">
        <f t="shared" si="10"/>
        <v>1</v>
      </c>
      <c r="G371" s="15" t="s">
        <v>1781</v>
      </c>
      <c r="H371" s="18" t="s">
        <v>1787</v>
      </c>
      <c r="I371" s="19">
        <v>13</v>
      </c>
      <c r="J371" s="20">
        <f t="shared" si="11"/>
        <v>7.6923076923076927E-2</v>
      </c>
    </row>
    <row r="372" spans="1:10">
      <c r="A372" s="16">
        <v>371</v>
      </c>
      <c r="B372" s="15" t="s">
        <v>5255</v>
      </c>
      <c r="C372" s="17">
        <v>2024</v>
      </c>
      <c r="D372" s="14" t="s">
        <v>33</v>
      </c>
      <c r="E372" s="15" t="s">
        <v>5257</v>
      </c>
      <c r="F372" s="16">
        <f t="shared" si="10"/>
        <v>1</v>
      </c>
      <c r="G372" s="15" t="s">
        <v>5254</v>
      </c>
      <c r="H372" s="18" t="s">
        <v>5261</v>
      </c>
      <c r="I372" s="19">
        <v>10</v>
      </c>
      <c r="J372" s="20">
        <f t="shared" si="11"/>
        <v>0.1</v>
      </c>
    </row>
    <row r="373" spans="1:10" ht="28.8">
      <c r="A373" s="16">
        <v>372</v>
      </c>
      <c r="B373" s="15" t="s">
        <v>2073</v>
      </c>
      <c r="C373" s="17">
        <v>2024</v>
      </c>
      <c r="D373" s="14" t="s">
        <v>33</v>
      </c>
      <c r="E373" s="15" t="s">
        <v>849</v>
      </c>
      <c r="F373" s="16">
        <f t="shared" si="10"/>
        <v>1</v>
      </c>
      <c r="G373" s="15" t="s">
        <v>276</v>
      </c>
      <c r="H373" s="18" t="s">
        <v>2076</v>
      </c>
      <c r="I373" s="19">
        <v>11</v>
      </c>
      <c r="J373" s="20">
        <f t="shared" si="11"/>
        <v>9.0909090909090912E-2</v>
      </c>
    </row>
    <row r="374" spans="1:10" ht="28.8">
      <c r="A374" s="16">
        <v>373</v>
      </c>
      <c r="B374" s="15" t="s">
        <v>1409</v>
      </c>
      <c r="C374" s="17">
        <v>2024</v>
      </c>
      <c r="D374" s="14" t="s">
        <v>33</v>
      </c>
      <c r="E374" s="15" t="s">
        <v>1411</v>
      </c>
      <c r="F374" s="16">
        <f t="shared" si="10"/>
        <v>1</v>
      </c>
      <c r="G374" s="15" t="s">
        <v>113</v>
      </c>
      <c r="H374" s="18" t="s">
        <v>1414</v>
      </c>
      <c r="I374" s="19">
        <v>7</v>
      </c>
      <c r="J374" s="20">
        <f t="shared" si="11"/>
        <v>0.14285714285714285</v>
      </c>
    </row>
    <row r="375" spans="1:10" ht="28.8">
      <c r="A375" s="16">
        <v>374</v>
      </c>
      <c r="B375" s="15" t="s">
        <v>3827</v>
      </c>
      <c r="C375" s="17">
        <v>2024</v>
      </c>
      <c r="D375" s="14" t="s">
        <v>33</v>
      </c>
      <c r="E375" s="15" t="s">
        <v>3829</v>
      </c>
      <c r="F375" s="16">
        <f t="shared" si="10"/>
        <v>1</v>
      </c>
      <c r="G375" s="15" t="s">
        <v>3826</v>
      </c>
      <c r="H375" s="18" t="s">
        <v>3834</v>
      </c>
      <c r="I375" s="19">
        <v>4</v>
      </c>
      <c r="J375" s="20">
        <f t="shared" si="11"/>
        <v>0.25</v>
      </c>
    </row>
    <row r="376" spans="1:10" ht="28.8">
      <c r="A376" s="16">
        <v>375</v>
      </c>
      <c r="B376" s="15" t="s">
        <v>544</v>
      </c>
      <c r="C376" s="17">
        <v>2024</v>
      </c>
      <c r="D376" s="14" t="s">
        <v>33</v>
      </c>
      <c r="E376" s="15" t="s">
        <v>203</v>
      </c>
      <c r="F376" s="16">
        <f t="shared" si="10"/>
        <v>0</v>
      </c>
      <c r="G376" s="15"/>
      <c r="H376" s="18" t="s">
        <v>546</v>
      </c>
      <c r="I376" s="19">
        <v>10</v>
      </c>
      <c r="J376" s="20">
        <f t="shared" si="11"/>
        <v>0</v>
      </c>
    </row>
    <row r="377" spans="1:10">
      <c r="A377" s="16">
        <v>376</v>
      </c>
      <c r="B377" s="15" t="s">
        <v>3401</v>
      </c>
      <c r="C377" s="17">
        <v>2024</v>
      </c>
      <c r="D377" s="14" t="s">
        <v>2904</v>
      </c>
      <c r="E377" s="15" t="s">
        <v>3403</v>
      </c>
      <c r="F377" s="16">
        <f t="shared" si="10"/>
        <v>1</v>
      </c>
      <c r="G377" s="15" t="s">
        <v>39</v>
      </c>
      <c r="H377" s="18" t="s">
        <v>3406</v>
      </c>
      <c r="I377" s="19">
        <v>2</v>
      </c>
      <c r="J377" s="20">
        <f t="shared" si="11"/>
        <v>0.5</v>
      </c>
    </row>
    <row r="378" spans="1:10">
      <c r="A378" s="16">
        <v>377</v>
      </c>
      <c r="B378" s="15" t="s">
        <v>4070</v>
      </c>
      <c r="C378" s="17">
        <v>2024</v>
      </c>
      <c r="D378" s="14" t="s">
        <v>33</v>
      </c>
      <c r="E378" s="15" t="s">
        <v>2392</v>
      </c>
      <c r="F378" s="16">
        <f t="shared" si="10"/>
        <v>1</v>
      </c>
      <c r="G378" s="15" t="s">
        <v>3434</v>
      </c>
      <c r="H378" s="18" t="s">
        <v>4073</v>
      </c>
      <c r="I378" s="19">
        <v>5</v>
      </c>
      <c r="J378" s="20">
        <f t="shared" si="11"/>
        <v>0.2</v>
      </c>
    </row>
    <row r="379" spans="1:10" ht="28.8">
      <c r="A379" s="16">
        <v>378</v>
      </c>
      <c r="B379" s="15" t="s">
        <v>2805</v>
      </c>
      <c r="C379" s="17">
        <v>2024</v>
      </c>
      <c r="D379" s="14" t="s">
        <v>33</v>
      </c>
      <c r="E379" s="15" t="s">
        <v>2807</v>
      </c>
      <c r="F379" s="16">
        <f t="shared" si="10"/>
        <v>5</v>
      </c>
      <c r="G379" s="15" t="s">
        <v>5969</v>
      </c>
      <c r="H379" s="18" t="s">
        <v>2810</v>
      </c>
      <c r="I379" s="19">
        <v>10</v>
      </c>
      <c r="J379" s="20">
        <f t="shared" si="11"/>
        <v>0.5</v>
      </c>
    </row>
    <row r="380" spans="1:10" ht="28.8">
      <c r="A380" s="16">
        <v>379</v>
      </c>
      <c r="B380" s="15" t="s">
        <v>887</v>
      </c>
      <c r="C380" s="17">
        <v>2024</v>
      </c>
      <c r="D380" s="14" t="s">
        <v>33</v>
      </c>
      <c r="E380" s="15" t="s">
        <v>889</v>
      </c>
      <c r="F380" s="16">
        <f t="shared" si="10"/>
        <v>1</v>
      </c>
      <c r="G380" s="15" t="s">
        <v>265</v>
      </c>
      <c r="H380" s="18" t="s">
        <v>892</v>
      </c>
      <c r="I380" s="19">
        <v>6</v>
      </c>
      <c r="J380" s="20">
        <f t="shared" si="11"/>
        <v>0.16666666666666666</v>
      </c>
    </row>
    <row r="381" spans="1:10" ht="28.8">
      <c r="A381" s="16">
        <v>380</v>
      </c>
      <c r="B381" s="15" t="s">
        <v>2061</v>
      </c>
      <c r="C381" s="17">
        <v>2024</v>
      </c>
      <c r="D381" s="14" t="s">
        <v>33</v>
      </c>
      <c r="E381" s="15" t="s">
        <v>2063</v>
      </c>
      <c r="F381" s="16">
        <f t="shared" si="10"/>
        <v>1</v>
      </c>
      <c r="G381" s="15" t="s">
        <v>2060</v>
      </c>
      <c r="H381" s="18" t="s">
        <v>2068</v>
      </c>
      <c r="I381" s="19">
        <v>6</v>
      </c>
      <c r="J381" s="20">
        <f t="shared" si="11"/>
        <v>0.16666666666666666</v>
      </c>
    </row>
    <row r="382" spans="1:10">
      <c r="A382" s="16">
        <v>381</v>
      </c>
      <c r="B382" s="15" t="s">
        <v>4887</v>
      </c>
      <c r="C382" s="17">
        <v>2024</v>
      </c>
      <c r="D382" s="14" t="s">
        <v>33</v>
      </c>
      <c r="E382" s="15" t="s">
        <v>4889</v>
      </c>
      <c r="F382" s="16">
        <f t="shared" si="10"/>
        <v>1</v>
      </c>
      <c r="G382" s="15" t="s">
        <v>4886</v>
      </c>
      <c r="H382" s="18" t="s">
        <v>4893</v>
      </c>
      <c r="I382" s="19">
        <v>2</v>
      </c>
      <c r="J382" s="20">
        <f t="shared" si="11"/>
        <v>0.5</v>
      </c>
    </row>
    <row r="383" spans="1:10" ht="28.8">
      <c r="A383" s="16">
        <v>382</v>
      </c>
      <c r="B383" s="15" t="s">
        <v>3837</v>
      </c>
      <c r="C383" s="17">
        <v>2024</v>
      </c>
      <c r="D383" s="14" t="s">
        <v>3843</v>
      </c>
      <c r="E383" s="15" t="s">
        <v>3839</v>
      </c>
      <c r="F383" s="16">
        <f t="shared" si="10"/>
        <v>1</v>
      </c>
      <c r="G383" s="15" t="s">
        <v>2815</v>
      </c>
      <c r="H383" s="18" t="s">
        <v>3842</v>
      </c>
      <c r="I383" s="19">
        <v>43</v>
      </c>
      <c r="J383" s="20">
        <f t="shared" si="11"/>
        <v>2.3255813953488372E-2</v>
      </c>
    </row>
    <row r="384" spans="1:10" ht="28.8">
      <c r="A384" s="16">
        <v>383</v>
      </c>
      <c r="B384" s="15" t="s">
        <v>4077</v>
      </c>
      <c r="C384" s="17">
        <v>2024</v>
      </c>
      <c r="D384" s="14" t="s">
        <v>3843</v>
      </c>
      <c r="E384" s="15" t="s">
        <v>473</v>
      </c>
      <c r="F384" s="16">
        <f t="shared" si="10"/>
        <v>2</v>
      </c>
      <c r="G384" s="15" t="s">
        <v>5970</v>
      </c>
      <c r="H384" s="18" t="s">
        <v>4079</v>
      </c>
      <c r="I384" s="19">
        <v>8</v>
      </c>
      <c r="J384" s="20">
        <f t="shared" si="11"/>
        <v>0.25</v>
      </c>
    </row>
    <row r="385" spans="1:10" ht="43.2">
      <c r="A385" s="16">
        <v>384</v>
      </c>
      <c r="B385" s="15" t="s">
        <v>2936</v>
      </c>
      <c r="C385" s="17">
        <v>2024</v>
      </c>
      <c r="D385" s="14" t="s">
        <v>33</v>
      </c>
      <c r="E385" s="15" t="s">
        <v>1676</v>
      </c>
      <c r="F385" s="16">
        <f t="shared" si="10"/>
        <v>3</v>
      </c>
      <c r="G385" s="15" t="s">
        <v>5903</v>
      </c>
      <c r="H385" s="18" t="s">
        <v>2939</v>
      </c>
      <c r="I385" s="19">
        <v>7</v>
      </c>
      <c r="J385" s="20">
        <f t="shared" si="11"/>
        <v>0.42857142857142855</v>
      </c>
    </row>
    <row r="386" spans="1:10" ht="28.8">
      <c r="A386" s="16">
        <v>385</v>
      </c>
      <c r="B386" s="15" t="s">
        <v>3094</v>
      </c>
      <c r="C386" s="17">
        <v>2024</v>
      </c>
      <c r="D386" s="14" t="s">
        <v>33</v>
      </c>
      <c r="E386" s="15" t="s">
        <v>3096</v>
      </c>
      <c r="F386" s="16">
        <f t="shared" ref="F386:F449" si="12">IF($G386="",0,LEN($G386)-LEN(SUBSTITUTE($G386,"|",""))+1)</f>
        <v>2</v>
      </c>
      <c r="G386" s="15" t="s">
        <v>5971</v>
      </c>
      <c r="H386" s="18" t="s">
        <v>3101</v>
      </c>
      <c r="I386" s="19">
        <v>3</v>
      </c>
      <c r="J386" s="20">
        <f t="shared" ref="J386:J449" si="13">IFERROR(F386/I386,"")</f>
        <v>0.66666666666666663</v>
      </c>
    </row>
    <row r="387" spans="1:10" ht="28.8">
      <c r="A387" s="16">
        <v>386</v>
      </c>
      <c r="B387" s="15" t="s">
        <v>71</v>
      </c>
      <c r="C387" s="17">
        <v>2024</v>
      </c>
      <c r="D387" s="14" t="s">
        <v>49</v>
      </c>
      <c r="E387" s="15" t="s">
        <v>73</v>
      </c>
      <c r="F387" s="16">
        <f t="shared" si="12"/>
        <v>4</v>
      </c>
      <c r="G387" s="15" t="s">
        <v>5972</v>
      </c>
      <c r="H387" s="18" t="s">
        <v>77</v>
      </c>
      <c r="I387" s="19">
        <v>4</v>
      </c>
      <c r="J387" s="20">
        <f t="shared" si="13"/>
        <v>1</v>
      </c>
    </row>
    <row r="388" spans="1:10">
      <c r="A388" s="16">
        <v>387</v>
      </c>
      <c r="B388" s="15" t="s">
        <v>3905</v>
      </c>
      <c r="C388" s="17">
        <v>2024</v>
      </c>
      <c r="D388" s="14" t="s">
        <v>49</v>
      </c>
      <c r="E388" s="15" t="s">
        <v>2392</v>
      </c>
      <c r="F388" s="16">
        <f t="shared" si="12"/>
        <v>3</v>
      </c>
      <c r="G388" s="15" t="s">
        <v>5973</v>
      </c>
      <c r="H388" s="18" t="s">
        <v>3908</v>
      </c>
      <c r="I388" s="19">
        <v>3</v>
      </c>
      <c r="J388" s="20">
        <f t="shared" si="13"/>
        <v>1</v>
      </c>
    </row>
    <row r="389" spans="1:10">
      <c r="A389" s="16">
        <v>388</v>
      </c>
      <c r="B389" s="15" t="s">
        <v>5334</v>
      </c>
      <c r="C389" s="17">
        <v>2024</v>
      </c>
      <c r="D389" s="14" t="s">
        <v>49</v>
      </c>
      <c r="E389" s="15" t="s">
        <v>4161</v>
      </c>
      <c r="F389" s="16">
        <f t="shared" si="12"/>
        <v>1</v>
      </c>
      <c r="G389" s="15" t="s">
        <v>386</v>
      </c>
      <c r="H389" s="18" t="s">
        <v>5336</v>
      </c>
      <c r="I389" s="19">
        <v>3</v>
      </c>
      <c r="J389" s="20">
        <f t="shared" si="13"/>
        <v>0.33333333333333331</v>
      </c>
    </row>
    <row r="390" spans="1:10" ht="28.8">
      <c r="A390" s="16">
        <v>389</v>
      </c>
      <c r="B390" s="15" t="s">
        <v>4860</v>
      </c>
      <c r="C390" s="17">
        <v>2024</v>
      </c>
      <c r="D390" s="14" t="s">
        <v>33</v>
      </c>
      <c r="E390" s="15" t="s">
        <v>3748</v>
      </c>
      <c r="F390" s="16">
        <f t="shared" si="12"/>
        <v>1</v>
      </c>
      <c r="G390" s="15" t="s">
        <v>4859</v>
      </c>
      <c r="H390" s="18" t="s">
        <v>4863</v>
      </c>
      <c r="I390" s="19">
        <v>7</v>
      </c>
      <c r="J390" s="20">
        <f t="shared" si="13"/>
        <v>0.14285714285714285</v>
      </c>
    </row>
    <row r="391" spans="1:10" ht="28.8">
      <c r="A391" s="16">
        <v>390</v>
      </c>
      <c r="B391" s="15" t="s">
        <v>1265</v>
      </c>
      <c r="C391" s="17">
        <v>2024</v>
      </c>
      <c r="D391" s="14" t="s">
        <v>33</v>
      </c>
      <c r="E391" s="15" t="s">
        <v>1035</v>
      </c>
      <c r="F391" s="16">
        <f t="shared" si="12"/>
        <v>2</v>
      </c>
      <c r="G391" s="15" t="s">
        <v>5974</v>
      </c>
      <c r="H391" s="18" t="s">
        <v>1268</v>
      </c>
      <c r="I391" s="19">
        <v>5</v>
      </c>
      <c r="J391" s="20">
        <f t="shared" si="13"/>
        <v>0.4</v>
      </c>
    </row>
    <row r="392" spans="1:10" ht="28.8">
      <c r="A392" s="16">
        <v>391</v>
      </c>
      <c r="B392" s="15" t="s">
        <v>3454</v>
      </c>
      <c r="C392" s="17">
        <v>2024</v>
      </c>
      <c r="D392" s="14" t="s">
        <v>33</v>
      </c>
      <c r="E392" s="15" t="s">
        <v>3456</v>
      </c>
      <c r="F392" s="16">
        <f t="shared" si="12"/>
        <v>1</v>
      </c>
      <c r="G392" s="15" t="s">
        <v>3141</v>
      </c>
      <c r="H392" s="18" t="s">
        <v>3458</v>
      </c>
      <c r="I392" s="19">
        <v>4</v>
      </c>
      <c r="J392" s="20">
        <f t="shared" si="13"/>
        <v>0.25</v>
      </c>
    </row>
    <row r="393" spans="1:10" ht="28.8">
      <c r="A393" s="16">
        <v>392</v>
      </c>
      <c r="B393" s="15" t="s">
        <v>5163</v>
      </c>
      <c r="C393" s="17">
        <v>2024</v>
      </c>
      <c r="D393" s="14" t="s">
        <v>33</v>
      </c>
      <c r="E393" s="15" t="s">
        <v>5164</v>
      </c>
      <c r="F393" s="16">
        <f t="shared" si="12"/>
        <v>1</v>
      </c>
      <c r="G393" s="15" t="s">
        <v>2963</v>
      </c>
      <c r="H393" s="18" t="s">
        <v>5167</v>
      </c>
      <c r="I393" s="19">
        <v>1</v>
      </c>
      <c r="J393" s="20">
        <f t="shared" si="13"/>
        <v>1</v>
      </c>
    </row>
    <row r="394" spans="1:10" ht="28.8">
      <c r="A394" s="16">
        <v>393</v>
      </c>
      <c r="B394" s="15" t="s">
        <v>288</v>
      </c>
      <c r="C394" s="17">
        <v>2024</v>
      </c>
      <c r="D394" s="14" t="s">
        <v>33</v>
      </c>
      <c r="E394" s="15" t="s">
        <v>289</v>
      </c>
      <c r="F394" s="16">
        <f t="shared" si="12"/>
        <v>1</v>
      </c>
      <c r="G394" s="15" t="s">
        <v>128</v>
      </c>
      <c r="H394" s="18" t="s">
        <v>294</v>
      </c>
      <c r="I394" s="19">
        <v>3</v>
      </c>
      <c r="J394" s="20">
        <f t="shared" si="13"/>
        <v>0.33333333333333331</v>
      </c>
    </row>
    <row r="395" spans="1:10" ht="28.8">
      <c r="A395" s="16">
        <v>394</v>
      </c>
      <c r="B395" s="15" t="s">
        <v>3504</v>
      </c>
      <c r="C395" s="17">
        <v>2024</v>
      </c>
      <c r="D395" s="14" t="s">
        <v>33</v>
      </c>
      <c r="E395" s="15" t="s">
        <v>3506</v>
      </c>
      <c r="F395" s="16">
        <f t="shared" si="12"/>
        <v>1</v>
      </c>
      <c r="G395" s="15" t="s">
        <v>3503</v>
      </c>
      <c r="H395" s="18" t="s">
        <v>3510</v>
      </c>
      <c r="I395" s="19">
        <v>4</v>
      </c>
      <c r="J395" s="20">
        <f t="shared" si="13"/>
        <v>0.25</v>
      </c>
    </row>
    <row r="396" spans="1:10" ht="28.8">
      <c r="A396" s="16">
        <v>395</v>
      </c>
      <c r="B396" s="15" t="s">
        <v>1045</v>
      </c>
      <c r="C396" s="17">
        <v>2024</v>
      </c>
      <c r="D396" s="14" t="s">
        <v>33</v>
      </c>
      <c r="E396" s="15" t="s">
        <v>1046</v>
      </c>
      <c r="F396" s="16">
        <f t="shared" si="12"/>
        <v>1</v>
      </c>
      <c r="G396" s="15" t="s">
        <v>128</v>
      </c>
      <c r="H396" s="18" t="s">
        <v>1049</v>
      </c>
      <c r="I396" s="19">
        <v>3</v>
      </c>
      <c r="J396" s="20">
        <f t="shared" si="13"/>
        <v>0.33333333333333331</v>
      </c>
    </row>
    <row r="397" spans="1:10" ht="28.8">
      <c r="A397" s="16">
        <v>396</v>
      </c>
      <c r="B397" s="15" t="s">
        <v>3330</v>
      </c>
      <c r="C397" s="17">
        <v>2024</v>
      </c>
      <c r="D397" s="14" t="s">
        <v>33</v>
      </c>
      <c r="E397" s="15" t="s">
        <v>3332</v>
      </c>
      <c r="F397" s="16">
        <f t="shared" si="12"/>
        <v>2</v>
      </c>
      <c r="G397" s="15" t="s">
        <v>5975</v>
      </c>
      <c r="H397" s="18" t="s">
        <v>3335</v>
      </c>
      <c r="I397" s="19">
        <v>9</v>
      </c>
      <c r="J397" s="20">
        <f t="shared" si="13"/>
        <v>0.22222222222222221</v>
      </c>
    </row>
    <row r="398" spans="1:10" ht="28.8">
      <c r="A398" s="16">
        <v>397</v>
      </c>
      <c r="B398" s="15" t="s">
        <v>1177</v>
      </c>
      <c r="C398" s="17">
        <v>2024</v>
      </c>
      <c r="D398" s="14" t="s">
        <v>33</v>
      </c>
      <c r="E398" s="15" t="s">
        <v>1179</v>
      </c>
      <c r="F398" s="16">
        <f t="shared" si="12"/>
        <v>1</v>
      </c>
      <c r="G398" s="15" t="s">
        <v>822</v>
      </c>
      <c r="H398" s="18" t="s">
        <v>1185</v>
      </c>
      <c r="I398" s="19">
        <v>5</v>
      </c>
      <c r="J398" s="20">
        <f t="shared" si="13"/>
        <v>0.2</v>
      </c>
    </row>
    <row r="399" spans="1:10" ht="28.8">
      <c r="A399" s="16">
        <v>398</v>
      </c>
      <c r="B399" s="15" t="s">
        <v>946</v>
      </c>
      <c r="C399" s="17">
        <v>2024</v>
      </c>
      <c r="D399" s="14" t="s">
        <v>33</v>
      </c>
      <c r="E399" s="15" t="s">
        <v>167</v>
      </c>
      <c r="F399" s="16">
        <v>1</v>
      </c>
      <c r="G399" s="15" t="s">
        <v>6034</v>
      </c>
      <c r="H399" s="18" t="s">
        <v>948</v>
      </c>
      <c r="I399" s="19">
        <v>14</v>
      </c>
      <c r="J399" s="20">
        <f t="shared" si="13"/>
        <v>7.1428571428571425E-2</v>
      </c>
    </row>
    <row r="400" spans="1:10" ht="28.8">
      <c r="A400" s="16">
        <v>399</v>
      </c>
      <c r="B400" s="15" t="s">
        <v>4733</v>
      </c>
      <c r="C400" s="17">
        <v>2024</v>
      </c>
      <c r="D400" s="14" t="s">
        <v>33</v>
      </c>
      <c r="E400" s="15" t="s">
        <v>4735</v>
      </c>
      <c r="F400" s="16">
        <f t="shared" si="12"/>
        <v>1</v>
      </c>
      <c r="G400" s="15" t="s">
        <v>4732</v>
      </c>
      <c r="H400" s="18" t="s">
        <v>4739</v>
      </c>
      <c r="I400" s="19">
        <v>1</v>
      </c>
      <c r="J400" s="20">
        <f t="shared" si="13"/>
        <v>1</v>
      </c>
    </row>
    <row r="401" spans="1:10" ht="28.8">
      <c r="A401" s="16">
        <v>400</v>
      </c>
      <c r="B401" s="15" t="s">
        <v>2105</v>
      </c>
      <c r="C401" s="17">
        <v>2024</v>
      </c>
      <c r="D401" s="14" t="s">
        <v>2112</v>
      </c>
      <c r="E401" s="15" t="s">
        <v>2107</v>
      </c>
      <c r="F401" s="16">
        <f t="shared" si="12"/>
        <v>1</v>
      </c>
      <c r="G401" s="15" t="s">
        <v>128</v>
      </c>
      <c r="H401" s="18" t="s">
        <v>2111</v>
      </c>
      <c r="I401" s="19">
        <v>5</v>
      </c>
      <c r="J401" s="20">
        <f t="shared" si="13"/>
        <v>0.2</v>
      </c>
    </row>
    <row r="402" spans="1:10" ht="28.8">
      <c r="A402" s="16">
        <v>401</v>
      </c>
      <c r="B402" s="15" t="s">
        <v>1233</v>
      </c>
      <c r="C402" s="17">
        <v>2024</v>
      </c>
      <c r="D402" s="14" t="s">
        <v>33</v>
      </c>
      <c r="E402" s="15" t="s">
        <v>889</v>
      </c>
      <c r="F402" s="16">
        <f t="shared" si="12"/>
        <v>1</v>
      </c>
      <c r="G402" s="15" t="s">
        <v>265</v>
      </c>
      <c r="H402" s="18" t="s">
        <v>1235</v>
      </c>
      <c r="I402" s="19">
        <v>5</v>
      </c>
      <c r="J402" s="20">
        <f t="shared" si="13"/>
        <v>0.2</v>
      </c>
    </row>
    <row r="403" spans="1:10">
      <c r="A403" s="16">
        <v>402</v>
      </c>
      <c r="B403" s="15" t="s">
        <v>2376</v>
      </c>
      <c r="C403" s="17">
        <v>2024</v>
      </c>
      <c r="D403" s="14" t="s">
        <v>49</v>
      </c>
      <c r="E403" s="15" t="s">
        <v>2378</v>
      </c>
      <c r="F403" s="16">
        <f t="shared" si="12"/>
        <v>1</v>
      </c>
      <c r="G403" s="15" t="s">
        <v>897</v>
      </c>
      <c r="H403" s="18" t="s">
        <v>2383</v>
      </c>
      <c r="I403" s="19">
        <v>6</v>
      </c>
      <c r="J403" s="20">
        <f t="shared" si="13"/>
        <v>0.16666666666666666</v>
      </c>
    </row>
    <row r="404" spans="1:10" ht="28.8">
      <c r="A404" s="16">
        <v>403</v>
      </c>
      <c r="B404" s="15" t="s">
        <v>5276</v>
      </c>
      <c r="C404" s="17">
        <v>2024</v>
      </c>
      <c r="D404" s="14" t="s">
        <v>33</v>
      </c>
      <c r="E404" s="15" t="s">
        <v>5278</v>
      </c>
      <c r="F404" s="16">
        <f t="shared" si="12"/>
        <v>1</v>
      </c>
      <c r="G404" s="15" t="s">
        <v>5275</v>
      </c>
      <c r="H404" s="18" t="s">
        <v>5283</v>
      </c>
      <c r="I404" s="19">
        <v>1</v>
      </c>
      <c r="J404" s="20">
        <f t="shared" si="13"/>
        <v>1</v>
      </c>
    </row>
    <row r="405" spans="1:10" ht="28.8">
      <c r="A405" s="16">
        <v>404</v>
      </c>
      <c r="B405" s="15" t="s">
        <v>3422</v>
      </c>
      <c r="C405" s="17">
        <v>2024</v>
      </c>
      <c r="D405" s="14" t="s">
        <v>1125</v>
      </c>
      <c r="E405" s="15" t="s">
        <v>3424</v>
      </c>
      <c r="F405" s="16">
        <f t="shared" si="12"/>
        <v>2</v>
      </c>
      <c r="G405" s="15" t="s">
        <v>5976</v>
      </c>
      <c r="H405" s="18" t="s">
        <v>3429</v>
      </c>
      <c r="I405" s="19">
        <v>3</v>
      </c>
      <c r="J405" s="20">
        <f t="shared" si="13"/>
        <v>0.66666666666666663</v>
      </c>
    </row>
    <row r="406" spans="1:10" ht="28.8">
      <c r="A406" s="16">
        <v>405</v>
      </c>
      <c r="B406" s="15" t="s">
        <v>5309</v>
      </c>
      <c r="C406" s="17">
        <v>2024</v>
      </c>
      <c r="D406" s="14" t="s">
        <v>1125</v>
      </c>
      <c r="E406" s="15" t="s">
        <v>1421</v>
      </c>
      <c r="F406" s="16">
        <f t="shared" si="12"/>
        <v>0</v>
      </c>
      <c r="G406" s="15"/>
      <c r="H406" s="15" t="s">
        <v>43</v>
      </c>
      <c r="I406" s="19">
        <v>4</v>
      </c>
      <c r="J406" s="20">
        <f t="shared" si="13"/>
        <v>0</v>
      </c>
    </row>
    <row r="407" spans="1:10" ht="28.8">
      <c r="A407" s="16">
        <v>406</v>
      </c>
      <c r="B407" s="15" t="s">
        <v>3306</v>
      </c>
      <c r="C407" s="17">
        <v>2024</v>
      </c>
      <c r="D407" s="14" t="s">
        <v>33</v>
      </c>
      <c r="E407" s="15" t="s">
        <v>3308</v>
      </c>
      <c r="F407" s="16">
        <f t="shared" si="12"/>
        <v>1</v>
      </c>
      <c r="G407" s="15" t="s">
        <v>2322</v>
      </c>
      <c r="H407" s="18" t="s">
        <v>3310</v>
      </c>
      <c r="I407" s="19">
        <v>5</v>
      </c>
      <c r="J407" s="20">
        <f t="shared" si="13"/>
        <v>0.2</v>
      </c>
    </row>
    <row r="408" spans="1:10">
      <c r="A408" s="16">
        <v>407</v>
      </c>
      <c r="B408" s="15" t="s">
        <v>1674</v>
      </c>
      <c r="C408" s="17">
        <v>2024</v>
      </c>
      <c r="D408" s="14" t="s">
        <v>33</v>
      </c>
      <c r="E408" s="15" t="s">
        <v>1676</v>
      </c>
      <c r="F408" s="16">
        <f t="shared" si="12"/>
        <v>3</v>
      </c>
      <c r="G408" s="15" t="s">
        <v>5977</v>
      </c>
      <c r="H408" s="18" t="s">
        <v>1679</v>
      </c>
      <c r="I408" s="19">
        <v>6</v>
      </c>
      <c r="J408" s="20">
        <f t="shared" si="13"/>
        <v>0.5</v>
      </c>
    </row>
    <row r="409" spans="1:10" ht="28.8">
      <c r="A409" s="16">
        <v>408</v>
      </c>
      <c r="B409" s="15" t="s">
        <v>574</v>
      </c>
      <c r="C409" s="17">
        <v>2024</v>
      </c>
      <c r="D409" s="14" t="s">
        <v>33</v>
      </c>
      <c r="E409" s="15" t="s">
        <v>576</v>
      </c>
      <c r="F409" s="16">
        <f t="shared" si="12"/>
        <v>1</v>
      </c>
      <c r="G409" s="15" t="s">
        <v>113</v>
      </c>
      <c r="H409" s="18" t="s">
        <v>580</v>
      </c>
      <c r="I409" s="19">
        <v>8</v>
      </c>
      <c r="J409" s="20">
        <f t="shared" si="13"/>
        <v>0.125</v>
      </c>
    </row>
    <row r="410" spans="1:10" ht="28.8">
      <c r="A410" s="16">
        <v>409</v>
      </c>
      <c r="B410" s="15" t="s">
        <v>686</v>
      </c>
      <c r="C410" s="17">
        <v>2024</v>
      </c>
      <c r="D410" s="14" t="s">
        <v>33</v>
      </c>
      <c r="E410" s="15" t="s">
        <v>268</v>
      </c>
      <c r="F410" s="16">
        <f t="shared" si="12"/>
        <v>7</v>
      </c>
      <c r="G410" s="15" t="s">
        <v>5978</v>
      </c>
      <c r="H410" s="18" t="s">
        <v>688</v>
      </c>
      <c r="I410" s="19">
        <v>7</v>
      </c>
      <c r="J410" s="20">
        <f t="shared" si="13"/>
        <v>1</v>
      </c>
    </row>
    <row r="411" spans="1:10" ht="43.2">
      <c r="A411" s="16">
        <v>410</v>
      </c>
      <c r="B411" s="15" t="s">
        <v>2846</v>
      </c>
      <c r="C411" s="17">
        <v>2024</v>
      </c>
      <c r="D411" s="14" t="s">
        <v>33</v>
      </c>
      <c r="E411" s="15" t="s">
        <v>2848</v>
      </c>
      <c r="F411" s="16">
        <f t="shared" si="12"/>
        <v>2</v>
      </c>
      <c r="G411" s="15" t="s">
        <v>5979</v>
      </c>
      <c r="H411" s="18" t="s">
        <v>2852</v>
      </c>
      <c r="I411" s="19">
        <v>9</v>
      </c>
      <c r="J411" s="20">
        <f t="shared" si="13"/>
        <v>0.22222222222222221</v>
      </c>
    </row>
    <row r="412" spans="1:10" ht="28.8">
      <c r="A412" s="16">
        <v>411</v>
      </c>
      <c r="B412" s="15" t="s">
        <v>2750</v>
      </c>
      <c r="C412" s="17">
        <v>2024</v>
      </c>
      <c r="D412" s="14" t="s">
        <v>33</v>
      </c>
      <c r="E412" s="15" t="s">
        <v>2752</v>
      </c>
      <c r="F412" s="16">
        <f t="shared" si="12"/>
        <v>3</v>
      </c>
      <c r="G412" s="15" t="s">
        <v>5980</v>
      </c>
      <c r="H412" s="18" t="s">
        <v>2756</v>
      </c>
      <c r="I412" s="19">
        <v>3</v>
      </c>
      <c r="J412" s="20">
        <f t="shared" si="13"/>
        <v>1</v>
      </c>
    </row>
    <row r="413" spans="1:10" ht="28.8">
      <c r="A413" s="16">
        <v>412</v>
      </c>
      <c r="B413" s="15" t="s">
        <v>277</v>
      </c>
      <c r="C413" s="17">
        <v>2024</v>
      </c>
      <c r="D413" s="14" t="s">
        <v>49</v>
      </c>
      <c r="E413" s="15" t="s">
        <v>167</v>
      </c>
      <c r="F413" s="16">
        <f t="shared" si="12"/>
        <v>1</v>
      </c>
      <c r="G413" s="15" t="s">
        <v>276</v>
      </c>
      <c r="H413" s="18" t="s">
        <v>282</v>
      </c>
      <c r="I413" s="19">
        <v>11</v>
      </c>
      <c r="J413" s="20">
        <f t="shared" si="13"/>
        <v>9.0909090909090912E-2</v>
      </c>
    </row>
    <row r="414" spans="1:10" ht="28.8">
      <c r="A414" s="16">
        <v>413</v>
      </c>
      <c r="B414" s="15" t="s">
        <v>2101</v>
      </c>
      <c r="C414" s="17">
        <v>2024</v>
      </c>
      <c r="D414" s="14" t="s">
        <v>49</v>
      </c>
      <c r="E414" s="15" t="s">
        <v>1193</v>
      </c>
      <c r="F414" s="16">
        <f t="shared" si="12"/>
        <v>1</v>
      </c>
      <c r="G414" s="15" t="s">
        <v>276</v>
      </c>
      <c r="H414" s="18" t="s">
        <v>2103</v>
      </c>
      <c r="I414" s="19">
        <v>10</v>
      </c>
      <c r="J414" s="20">
        <f t="shared" si="13"/>
        <v>0.1</v>
      </c>
    </row>
    <row r="415" spans="1:10" ht="28.8">
      <c r="A415" s="16">
        <v>414</v>
      </c>
      <c r="B415" s="15" t="s">
        <v>623</v>
      </c>
      <c r="C415" s="17">
        <v>2024</v>
      </c>
      <c r="D415" s="14" t="s">
        <v>49</v>
      </c>
      <c r="E415" s="15" t="s">
        <v>625</v>
      </c>
      <c r="F415" s="16">
        <f t="shared" si="12"/>
        <v>1</v>
      </c>
      <c r="G415" s="15" t="s">
        <v>622</v>
      </c>
      <c r="H415" s="18" t="s">
        <v>630</v>
      </c>
      <c r="I415" s="19">
        <v>6</v>
      </c>
      <c r="J415" s="20">
        <f t="shared" si="13"/>
        <v>0.16666666666666666</v>
      </c>
    </row>
    <row r="416" spans="1:10" ht="28.8">
      <c r="A416" s="16">
        <v>415</v>
      </c>
      <c r="B416" s="15" t="s">
        <v>2692</v>
      </c>
      <c r="C416" s="17">
        <v>2024</v>
      </c>
      <c r="D416" s="14" t="s">
        <v>33</v>
      </c>
      <c r="E416" s="15" t="s">
        <v>2694</v>
      </c>
      <c r="F416" s="16">
        <f t="shared" si="12"/>
        <v>1</v>
      </c>
      <c r="G416" s="15" t="s">
        <v>39</v>
      </c>
      <c r="H416" s="18" t="s">
        <v>2696</v>
      </c>
      <c r="I416" s="19">
        <v>5</v>
      </c>
      <c r="J416" s="20">
        <f t="shared" si="13"/>
        <v>0.2</v>
      </c>
    </row>
    <row r="417" spans="1:10" ht="28.8">
      <c r="A417" s="16">
        <v>416</v>
      </c>
      <c r="B417" s="15" t="s">
        <v>3583</v>
      </c>
      <c r="C417" s="17">
        <v>2024</v>
      </c>
      <c r="D417" s="14" t="s">
        <v>33</v>
      </c>
      <c r="E417" s="15" t="s">
        <v>2392</v>
      </c>
      <c r="F417" s="16">
        <f t="shared" si="12"/>
        <v>6</v>
      </c>
      <c r="G417" s="15" t="s">
        <v>5981</v>
      </c>
      <c r="H417" s="18" t="s">
        <v>3586</v>
      </c>
      <c r="I417" s="19">
        <v>9</v>
      </c>
      <c r="J417" s="20">
        <f t="shared" si="13"/>
        <v>0.66666666666666663</v>
      </c>
    </row>
    <row r="418" spans="1:10">
      <c r="A418" s="16">
        <v>417</v>
      </c>
      <c r="B418" s="15" t="s">
        <v>1663</v>
      </c>
      <c r="C418" s="17">
        <v>2024</v>
      </c>
      <c r="D418" s="14" t="s">
        <v>33</v>
      </c>
      <c r="E418" s="15" t="s">
        <v>1665</v>
      </c>
      <c r="F418" s="16">
        <f t="shared" si="12"/>
        <v>1</v>
      </c>
      <c r="G418" s="15" t="s">
        <v>897</v>
      </c>
      <c r="H418" s="18" t="s">
        <v>1668</v>
      </c>
      <c r="I418" s="19">
        <v>7</v>
      </c>
      <c r="J418" s="20">
        <f t="shared" si="13"/>
        <v>0.14285714285714285</v>
      </c>
    </row>
    <row r="419" spans="1:10">
      <c r="A419" s="16">
        <v>418</v>
      </c>
      <c r="B419" s="15" t="s">
        <v>3182</v>
      </c>
      <c r="C419" s="17">
        <v>2024</v>
      </c>
      <c r="D419" s="14" t="s">
        <v>33</v>
      </c>
      <c r="E419" s="15" t="s">
        <v>2392</v>
      </c>
      <c r="F419" s="16">
        <f t="shared" si="12"/>
        <v>1</v>
      </c>
      <c r="G419" s="15" t="s">
        <v>3181</v>
      </c>
      <c r="H419" s="18" t="s">
        <v>3185</v>
      </c>
      <c r="I419" s="19">
        <v>4</v>
      </c>
      <c r="J419" s="20">
        <f t="shared" si="13"/>
        <v>0.25</v>
      </c>
    </row>
    <row r="420" spans="1:10" ht="28.8">
      <c r="A420" s="16">
        <v>419</v>
      </c>
      <c r="B420" s="15" t="s">
        <v>1552</v>
      </c>
      <c r="C420" s="17">
        <v>2024</v>
      </c>
      <c r="D420" s="14" t="s">
        <v>33</v>
      </c>
      <c r="E420" s="15" t="s">
        <v>203</v>
      </c>
      <c r="F420" s="16">
        <f t="shared" si="12"/>
        <v>2</v>
      </c>
      <c r="G420" s="15" t="s">
        <v>5964</v>
      </c>
      <c r="H420" s="18" t="s">
        <v>1554</v>
      </c>
      <c r="I420" s="19">
        <v>2</v>
      </c>
      <c r="J420" s="20">
        <f t="shared" si="13"/>
        <v>1</v>
      </c>
    </row>
    <row r="421" spans="1:10">
      <c r="A421" s="16">
        <v>420</v>
      </c>
      <c r="B421" s="15" t="s">
        <v>151</v>
      </c>
      <c r="C421" s="17">
        <v>2024</v>
      </c>
      <c r="D421" s="14" t="s">
        <v>49</v>
      </c>
      <c r="E421" s="15" t="s">
        <v>153</v>
      </c>
      <c r="F421" s="16">
        <f t="shared" si="12"/>
        <v>1</v>
      </c>
      <c r="G421" s="15" t="s">
        <v>39</v>
      </c>
      <c r="H421" s="18" t="s">
        <v>158</v>
      </c>
      <c r="I421" s="19">
        <v>3</v>
      </c>
      <c r="J421" s="20">
        <f t="shared" si="13"/>
        <v>0.33333333333333331</v>
      </c>
    </row>
    <row r="422" spans="1:10" ht="28.8">
      <c r="A422" s="16">
        <v>421</v>
      </c>
      <c r="B422" s="15" t="s">
        <v>1560</v>
      </c>
      <c r="C422" s="17">
        <v>2024</v>
      </c>
      <c r="D422" s="14" t="s">
        <v>33</v>
      </c>
      <c r="E422" s="15" t="s">
        <v>576</v>
      </c>
      <c r="F422" s="16">
        <f t="shared" si="12"/>
        <v>1</v>
      </c>
      <c r="G422" s="15" t="s">
        <v>113</v>
      </c>
      <c r="H422" s="18" t="s">
        <v>1563</v>
      </c>
      <c r="I422" s="19">
        <v>5</v>
      </c>
      <c r="J422" s="20">
        <f t="shared" si="13"/>
        <v>0.2</v>
      </c>
    </row>
    <row r="423" spans="1:10">
      <c r="A423" s="16">
        <v>422</v>
      </c>
      <c r="B423" s="15" t="s">
        <v>3292</v>
      </c>
      <c r="C423" s="17">
        <v>2024</v>
      </c>
      <c r="D423" s="14" t="s">
        <v>33</v>
      </c>
      <c r="E423" s="15" t="s">
        <v>1112</v>
      </c>
      <c r="F423" s="16">
        <f t="shared" si="12"/>
        <v>1</v>
      </c>
      <c r="G423" s="15" t="s">
        <v>1109</v>
      </c>
      <c r="H423" s="18" t="s">
        <v>3294</v>
      </c>
      <c r="I423" s="19">
        <v>3</v>
      </c>
      <c r="J423" s="20">
        <f t="shared" si="13"/>
        <v>0.33333333333333331</v>
      </c>
    </row>
    <row r="424" spans="1:10" ht="28.8">
      <c r="A424" s="16">
        <v>423</v>
      </c>
      <c r="B424" s="15" t="s">
        <v>1370</v>
      </c>
      <c r="C424" s="17">
        <v>2024</v>
      </c>
      <c r="D424" s="14" t="s">
        <v>33</v>
      </c>
      <c r="E424" s="15" t="s">
        <v>1372</v>
      </c>
      <c r="F424" s="16">
        <f t="shared" si="12"/>
        <v>2</v>
      </c>
      <c r="G424" s="15" t="s">
        <v>5982</v>
      </c>
      <c r="H424" s="18" t="s">
        <v>1375</v>
      </c>
      <c r="I424" s="19">
        <v>35</v>
      </c>
      <c r="J424" s="20">
        <f t="shared" si="13"/>
        <v>5.7142857142857141E-2</v>
      </c>
    </row>
    <row r="425" spans="1:10">
      <c r="A425" s="16">
        <v>424</v>
      </c>
      <c r="B425" s="15" t="s">
        <v>3188</v>
      </c>
      <c r="C425" s="17">
        <v>2024</v>
      </c>
      <c r="D425" s="14" t="s">
        <v>33</v>
      </c>
      <c r="E425" s="15" t="s">
        <v>3096</v>
      </c>
      <c r="F425" s="16">
        <f t="shared" si="12"/>
        <v>2</v>
      </c>
      <c r="G425" s="15" t="s">
        <v>5983</v>
      </c>
      <c r="H425" s="18" t="s">
        <v>3191</v>
      </c>
      <c r="I425" s="19">
        <v>3</v>
      </c>
      <c r="J425" s="20">
        <f t="shared" si="13"/>
        <v>0.66666666666666663</v>
      </c>
    </row>
    <row r="426" spans="1:10" ht="28.8">
      <c r="A426" s="16">
        <v>425</v>
      </c>
      <c r="B426" s="15" t="s">
        <v>3242</v>
      </c>
      <c r="C426" s="17">
        <v>2024</v>
      </c>
      <c r="D426" s="14" t="s">
        <v>33</v>
      </c>
      <c r="E426" s="15" t="s">
        <v>357</v>
      </c>
      <c r="F426" s="16">
        <f t="shared" si="12"/>
        <v>1</v>
      </c>
      <c r="G426" s="15" t="s">
        <v>22</v>
      </c>
      <c r="H426" s="18" t="s">
        <v>3245</v>
      </c>
      <c r="I426" s="19">
        <v>12</v>
      </c>
      <c r="J426" s="20">
        <f t="shared" si="13"/>
        <v>8.3333333333333329E-2</v>
      </c>
    </row>
    <row r="427" spans="1:10">
      <c r="A427" s="16">
        <v>426</v>
      </c>
      <c r="B427" s="15" t="s">
        <v>935</v>
      </c>
      <c r="C427" s="17">
        <v>2024</v>
      </c>
      <c r="D427" s="14" t="s">
        <v>33</v>
      </c>
      <c r="E427" s="15" t="s">
        <v>937</v>
      </c>
      <c r="F427" s="16">
        <v>1</v>
      </c>
      <c r="G427" s="15" t="s">
        <v>381</v>
      </c>
      <c r="H427" s="18" t="s">
        <v>940</v>
      </c>
      <c r="I427" s="19">
        <v>6</v>
      </c>
      <c r="J427" s="20">
        <f t="shared" si="13"/>
        <v>0.16666666666666666</v>
      </c>
    </row>
    <row r="428" spans="1:10" ht="28.8">
      <c r="A428" s="16">
        <v>427</v>
      </c>
      <c r="B428" s="15" t="s">
        <v>4817</v>
      </c>
      <c r="C428" s="17">
        <v>2024</v>
      </c>
      <c r="D428" s="14" t="s">
        <v>33</v>
      </c>
      <c r="E428" s="15" t="s">
        <v>3298</v>
      </c>
      <c r="F428" s="16">
        <f t="shared" si="12"/>
        <v>2</v>
      </c>
      <c r="G428" s="15" t="s">
        <v>5984</v>
      </c>
      <c r="H428" s="18" t="s">
        <v>4820</v>
      </c>
      <c r="I428" s="19">
        <v>3</v>
      </c>
      <c r="J428" s="20">
        <f t="shared" si="13"/>
        <v>0.66666666666666663</v>
      </c>
    </row>
    <row r="429" spans="1:10" ht="28.8">
      <c r="A429" s="16">
        <v>428</v>
      </c>
      <c r="B429" s="15" t="s">
        <v>1645</v>
      </c>
      <c r="C429" s="17">
        <v>2024</v>
      </c>
      <c r="D429" s="14" t="s">
        <v>33</v>
      </c>
      <c r="E429" s="15" t="s">
        <v>1647</v>
      </c>
      <c r="F429" s="16">
        <f t="shared" si="12"/>
        <v>1</v>
      </c>
      <c r="G429" s="15" t="s">
        <v>1644</v>
      </c>
      <c r="H429" s="18" t="s">
        <v>1650</v>
      </c>
      <c r="I429" s="19">
        <v>7</v>
      </c>
      <c r="J429" s="20">
        <f t="shared" si="13"/>
        <v>0.14285714285714285</v>
      </c>
    </row>
    <row r="430" spans="1:10" ht="28.8">
      <c r="A430" s="16">
        <v>429</v>
      </c>
      <c r="B430" s="15" t="s">
        <v>729</v>
      </c>
      <c r="C430" s="17">
        <v>2024</v>
      </c>
      <c r="D430" s="14" t="s">
        <v>49</v>
      </c>
      <c r="E430" s="15" t="s">
        <v>731</v>
      </c>
      <c r="F430" s="16">
        <f t="shared" si="12"/>
        <v>1</v>
      </c>
      <c r="G430" s="15" t="s">
        <v>164</v>
      </c>
      <c r="H430" s="18" t="s">
        <v>736</v>
      </c>
      <c r="I430" s="19">
        <v>4</v>
      </c>
      <c r="J430" s="20">
        <f t="shared" si="13"/>
        <v>0.25</v>
      </c>
    </row>
    <row r="431" spans="1:10">
      <c r="A431" s="16">
        <v>430</v>
      </c>
      <c r="B431" s="15" t="s">
        <v>266</v>
      </c>
      <c r="C431" s="17">
        <v>2024</v>
      </c>
      <c r="D431" s="14" t="s">
        <v>33</v>
      </c>
      <c r="E431" s="15" t="s">
        <v>268</v>
      </c>
      <c r="F431" s="16">
        <f t="shared" si="12"/>
        <v>1</v>
      </c>
      <c r="G431" s="15" t="s">
        <v>265</v>
      </c>
      <c r="H431" s="18" t="s">
        <v>271</v>
      </c>
      <c r="I431" s="19">
        <v>8</v>
      </c>
      <c r="J431" s="20">
        <f t="shared" si="13"/>
        <v>0.125</v>
      </c>
    </row>
    <row r="432" spans="1:10" ht="28.8">
      <c r="A432" s="16">
        <v>431</v>
      </c>
      <c r="B432" s="15" t="s">
        <v>459</v>
      </c>
      <c r="C432" s="17">
        <v>2024</v>
      </c>
      <c r="D432" s="14" t="s">
        <v>33</v>
      </c>
      <c r="E432" s="15" t="s">
        <v>461</v>
      </c>
      <c r="F432" s="16">
        <f t="shared" si="12"/>
        <v>1</v>
      </c>
      <c r="G432" s="15" t="s">
        <v>97</v>
      </c>
      <c r="H432" s="18" t="s">
        <v>465</v>
      </c>
      <c r="I432" s="19">
        <v>6</v>
      </c>
      <c r="J432" s="20">
        <f t="shared" si="13"/>
        <v>0.16666666666666666</v>
      </c>
    </row>
    <row r="433" spans="1:10" ht="28.8">
      <c r="A433" s="16">
        <v>432</v>
      </c>
      <c r="B433" s="15" t="s">
        <v>1302</v>
      </c>
      <c r="C433" s="17">
        <v>2024</v>
      </c>
      <c r="D433" s="14" t="s">
        <v>49</v>
      </c>
      <c r="E433" s="15" t="s">
        <v>1304</v>
      </c>
      <c r="F433" s="16">
        <f t="shared" si="12"/>
        <v>4</v>
      </c>
      <c r="G433" s="15" t="s">
        <v>5985</v>
      </c>
      <c r="H433" s="18" t="s">
        <v>1308</v>
      </c>
      <c r="I433" s="19">
        <v>6</v>
      </c>
      <c r="J433" s="20">
        <f t="shared" si="13"/>
        <v>0.66666666666666663</v>
      </c>
    </row>
    <row r="434" spans="1:10" ht="28.8">
      <c r="A434" s="16">
        <v>433</v>
      </c>
      <c r="B434" s="15" t="s">
        <v>4111</v>
      </c>
      <c r="C434" s="17">
        <v>2024</v>
      </c>
      <c r="D434" s="14" t="s">
        <v>33</v>
      </c>
      <c r="E434" s="15" t="s">
        <v>4113</v>
      </c>
      <c r="F434" s="16">
        <f t="shared" si="12"/>
        <v>1</v>
      </c>
      <c r="G434" s="15" t="s">
        <v>4110</v>
      </c>
      <c r="H434" s="15" t="s">
        <v>43</v>
      </c>
      <c r="I434" s="19">
        <v>1</v>
      </c>
      <c r="J434" s="20">
        <f t="shared" si="13"/>
        <v>1</v>
      </c>
    </row>
    <row r="435" spans="1:10" ht="28.8">
      <c r="A435" s="16">
        <v>434</v>
      </c>
      <c r="B435" s="15" t="s">
        <v>767</v>
      </c>
      <c r="C435" s="17">
        <v>2024</v>
      </c>
      <c r="D435" s="14" t="s">
        <v>33</v>
      </c>
      <c r="E435" s="15" t="s">
        <v>769</v>
      </c>
      <c r="F435" s="16">
        <f t="shared" si="12"/>
        <v>1</v>
      </c>
      <c r="G435" s="15" t="s">
        <v>635</v>
      </c>
      <c r="H435" s="18" t="s">
        <v>777</v>
      </c>
      <c r="I435" s="19">
        <v>12</v>
      </c>
      <c r="J435" s="20">
        <f t="shared" si="13"/>
        <v>8.3333333333333329E-2</v>
      </c>
    </row>
    <row r="436" spans="1:10" ht="28.8">
      <c r="A436" s="16">
        <v>435</v>
      </c>
      <c r="B436" s="15" t="s">
        <v>4437</v>
      </c>
      <c r="C436" s="17">
        <v>2024</v>
      </c>
      <c r="D436" s="14" t="s">
        <v>33</v>
      </c>
      <c r="E436" s="15" t="s">
        <v>4439</v>
      </c>
      <c r="F436" s="16">
        <f t="shared" si="12"/>
        <v>2</v>
      </c>
      <c r="G436" s="15" t="s">
        <v>5986</v>
      </c>
      <c r="H436" s="18" t="s">
        <v>4443</v>
      </c>
      <c r="I436" s="19">
        <v>2</v>
      </c>
      <c r="J436" s="20">
        <f t="shared" si="13"/>
        <v>1</v>
      </c>
    </row>
    <row r="437" spans="1:10" ht="43.2">
      <c r="A437" s="16">
        <v>436</v>
      </c>
      <c r="B437" s="15" t="s">
        <v>4573</v>
      </c>
      <c r="C437" s="17">
        <v>2024</v>
      </c>
      <c r="D437" s="14" t="s">
        <v>2112</v>
      </c>
      <c r="E437" s="15" t="s">
        <v>4575</v>
      </c>
      <c r="F437" s="16">
        <f t="shared" si="12"/>
        <v>1</v>
      </c>
      <c r="G437" s="15" t="s">
        <v>3553</v>
      </c>
      <c r="H437" s="18" t="s">
        <v>4579</v>
      </c>
      <c r="I437" s="19">
        <v>4</v>
      </c>
      <c r="J437" s="20">
        <f t="shared" si="13"/>
        <v>0.25</v>
      </c>
    </row>
    <row r="438" spans="1:10" ht="28.8">
      <c r="A438" s="16">
        <v>437</v>
      </c>
      <c r="B438" s="15" t="s">
        <v>40</v>
      </c>
      <c r="C438" s="17">
        <v>2024</v>
      </c>
      <c r="D438" s="14" t="s">
        <v>49</v>
      </c>
      <c r="E438" s="15" t="s">
        <v>42</v>
      </c>
      <c r="F438" s="16">
        <f t="shared" si="12"/>
        <v>2</v>
      </c>
      <c r="G438" s="15" t="s">
        <v>5987</v>
      </c>
      <c r="H438" s="18" t="s">
        <v>48</v>
      </c>
      <c r="I438" s="19">
        <v>7</v>
      </c>
      <c r="J438" s="20">
        <f t="shared" si="13"/>
        <v>0.2857142857142857</v>
      </c>
    </row>
    <row r="439" spans="1:10">
      <c r="A439" s="16">
        <v>438</v>
      </c>
      <c r="B439" s="15" t="s">
        <v>4850</v>
      </c>
      <c r="C439" s="17">
        <v>2024</v>
      </c>
      <c r="D439" s="14" t="s">
        <v>33</v>
      </c>
      <c r="E439" s="15" t="s">
        <v>4658</v>
      </c>
      <c r="F439" s="16">
        <f t="shared" si="12"/>
        <v>1</v>
      </c>
      <c r="G439" s="15" t="s">
        <v>834</v>
      </c>
      <c r="H439" s="18" t="s">
        <v>4854</v>
      </c>
      <c r="I439" s="19">
        <v>5</v>
      </c>
      <c r="J439" s="20">
        <f t="shared" si="13"/>
        <v>0.2</v>
      </c>
    </row>
    <row r="440" spans="1:10" ht="28.8">
      <c r="A440" s="16">
        <v>439</v>
      </c>
      <c r="B440" s="15" t="s">
        <v>2900</v>
      </c>
      <c r="C440" s="17">
        <v>2024</v>
      </c>
      <c r="D440" s="14" t="s">
        <v>2904</v>
      </c>
      <c r="E440" s="15" t="s">
        <v>357</v>
      </c>
      <c r="F440" s="16">
        <f t="shared" si="12"/>
        <v>1</v>
      </c>
      <c r="G440" s="15" t="s">
        <v>22</v>
      </c>
      <c r="H440" s="18" t="s">
        <v>2903</v>
      </c>
      <c r="I440" s="19">
        <v>2</v>
      </c>
      <c r="J440" s="20">
        <f t="shared" si="13"/>
        <v>0.5</v>
      </c>
    </row>
    <row r="441" spans="1:10" ht="28.8">
      <c r="A441" s="16">
        <v>440</v>
      </c>
      <c r="B441" s="15" t="s">
        <v>4427</v>
      </c>
      <c r="C441" s="17">
        <v>2024</v>
      </c>
      <c r="D441" s="14" t="s">
        <v>1125</v>
      </c>
      <c r="E441" s="15" t="s">
        <v>4429</v>
      </c>
      <c r="F441" s="16">
        <f t="shared" si="12"/>
        <v>1</v>
      </c>
      <c r="G441" s="15" t="s">
        <v>4426</v>
      </c>
      <c r="H441" s="18" t="s">
        <v>4432</v>
      </c>
      <c r="I441" s="19">
        <v>1</v>
      </c>
      <c r="J441" s="20">
        <f t="shared" si="13"/>
        <v>1</v>
      </c>
    </row>
    <row r="442" spans="1:10" ht="28.8">
      <c r="A442" s="16">
        <v>441</v>
      </c>
      <c r="B442" s="15" t="s">
        <v>2729</v>
      </c>
      <c r="C442" s="17">
        <v>2024</v>
      </c>
      <c r="D442" s="14" t="s">
        <v>33</v>
      </c>
      <c r="E442" s="15" t="s">
        <v>2731</v>
      </c>
      <c r="F442" s="16">
        <f t="shared" si="12"/>
        <v>1</v>
      </c>
      <c r="G442" s="15" t="s">
        <v>2728</v>
      </c>
      <c r="H442" s="18" t="s">
        <v>2737</v>
      </c>
      <c r="I442" s="19">
        <v>3</v>
      </c>
      <c r="J442" s="20">
        <f t="shared" si="13"/>
        <v>0.33333333333333331</v>
      </c>
    </row>
    <row r="443" spans="1:10" ht="28.8">
      <c r="A443" s="16">
        <v>442</v>
      </c>
      <c r="B443" s="15" t="s">
        <v>2047</v>
      </c>
      <c r="C443" s="17">
        <v>2024</v>
      </c>
      <c r="D443" s="14" t="s">
        <v>33</v>
      </c>
      <c r="E443" s="15" t="s">
        <v>2049</v>
      </c>
      <c r="F443" s="16">
        <f t="shared" si="12"/>
        <v>1</v>
      </c>
      <c r="G443" s="15" t="s">
        <v>2046</v>
      </c>
      <c r="H443" s="18" t="s">
        <v>2055</v>
      </c>
      <c r="I443" s="19">
        <v>5</v>
      </c>
      <c r="J443" s="20">
        <f t="shared" si="13"/>
        <v>0.2</v>
      </c>
    </row>
    <row r="444" spans="1:10">
      <c r="A444" s="16">
        <v>443</v>
      </c>
      <c r="B444" s="15" t="s">
        <v>3627</v>
      </c>
      <c r="C444" s="17">
        <v>2024</v>
      </c>
      <c r="D444" s="14" t="s">
        <v>33</v>
      </c>
      <c r="E444" s="15" t="s">
        <v>3629</v>
      </c>
      <c r="F444" s="16">
        <f t="shared" si="12"/>
        <v>1</v>
      </c>
      <c r="G444" s="15" t="s">
        <v>97</v>
      </c>
      <c r="H444" s="18" t="s">
        <v>3632</v>
      </c>
      <c r="I444" s="19">
        <v>7</v>
      </c>
      <c r="J444" s="20">
        <f t="shared" si="13"/>
        <v>0.14285714285714285</v>
      </c>
    </row>
    <row r="445" spans="1:10" ht="28.8">
      <c r="A445" s="16">
        <v>444</v>
      </c>
      <c r="B445" s="15" t="s">
        <v>1910</v>
      </c>
      <c r="C445" s="17">
        <v>2024</v>
      </c>
      <c r="D445" s="14" t="s">
        <v>33</v>
      </c>
      <c r="E445" s="15" t="s">
        <v>181</v>
      </c>
      <c r="F445" s="16">
        <f t="shared" si="12"/>
        <v>1</v>
      </c>
      <c r="G445" s="15" t="s">
        <v>178</v>
      </c>
      <c r="H445" s="18" t="s">
        <v>1911</v>
      </c>
      <c r="I445" s="19">
        <v>3</v>
      </c>
      <c r="J445" s="20">
        <f t="shared" si="13"/>
        <v>0.33333333333333331</v>
      </c>
    </row>
    <row r="446" spans="1:10" ht="28.8">
      <c r="A446" s="16">
        <v>445</v>
      </c>
      <c r="B446" s="15" t="s">
        <v>2390</v>
      </c>
      <c r="C446" s="17">
        <v>2024</v>
      </c>
      <c r="D446" s="14" t="s">
        <v>33</v>
      </c>
      <c r="E446" s="15" t="s">
        <v>2392</v>
      </c>
      <c r="F446" s="16">
        <f t="shared" si="12"/>
        <v>2</v>
      </c>
      <c r="G446" s="15" t="s">
        <v>5988</v>
      </c>
      <c r="H446" s="18" t="s">
        <v>2397</v>
      </c>
      <c r="I446" s="19">
        <v>3</v>
      </c>
      <c r="J446" s="20">
        <f t="shared" si="13"/>
        <v>0.66666666666666663</v>
      </c>
    </row>
    <row r="447" spans="1:10">
      <c r="A447" s="16">
        <v>446</v>
      </c>
      <c r="B447" s="15" t="s">
        <v>4896</v>
      </c>
      <c r="C447" s="17">
        <v>2024</v>
      </c>
      <c r="D447" s="14" t="s">
        <v>33</v>
      </c>
      <c r="E447" s="15" t="s">
        <v>4898</v>
      </c>
      <c r="F447" s="16">
        <f t="shared" si="12"/>
        <v>1</v>
      </c>
      <c r="G447" s="15" t="s">
        <v>4895</v>
      </c>
      <c r="H447" s="18" t="s">
        <v>4903</v>
      </c>
      <c r="I447" s="19">
        <v>4</v>
      </c>
      <c r="J447" s="20">
        <f t="shared" si="13"/>
        <v>0.25</v>
      </c>
    </row>
    <row r="448" spans="1:10" ht="28.8">
      <c r="A448" s="16">
        <v>447</v>
      </c>
      <c r="B448" s="15" t="s">
        <v>823</v>
      </c>
      <c r="C448" s="17">
        <v>2024</v>
      </c>
      <c r="D448" s="14" t="s">
        <v>33</v>
      </c>
      <c r="E448" s="15" t="s">
        <v>825</v>
      </c>
      <c r="F448" s="16">
        <f t="shared" si="12"/>
        <v>1</v>
      </c>
      <c r="G448" s="15" t="s">
        <v>822</v>
      </c>
      <c r="H448" s="18" t="s">
        <v>828</v>
      </c>
      <c r="I448" s="19">
        <v>5</v>
      </c>
      <c r="J448" s="20">
        <f t="shared" si="13"/>
        <v>0.2</v>
      </c>
    </row>
    <row r="449" spans="1:10" ht="28.8">
      <c r="A449" s="16">
        <v>448</v>
      </c>
      <c r="B449" s="15" t="s">
        <v>741</v>
      </c>
      <c r="C449" s="17">
        <v>2024</v>
      </c>
      <c r="D449" s="14" t="s">
        <v>33</v>
      </c>
      <c r="E449" s="15" t="s">
        <v>743</v>
      </c>
      <c r="F449" s="16">
        <f t="shared" si="12"/>
        <v>1</v>
      </c>
      <c r="G449" s="15" t="s">
        <v>22</v>
      </c>
      <c r="H449" s="18" t="s">
        <v>746</v>
      </c>
      <c r="I449" s="19">
        <v>5</v>
      </c>
      <c r="J449" s="20">
        <f t="shared" si="13"/>
        <v>0.2</v>
      </c>
    </row>
    <row r="450" spans="1:10" ht="28.8">
      <c r="A450" s="16">
        <v>449</v>
      </c>
      <c r="B450" s="15" t="s">
        <v>3064</v>
      </c>
      <c r="C450" s="17">
        <v>2024</v>
      </c>
      <c r="D450" s="14" t="s">
        <v>49</v>
      </c>
      <c r="E450" s="15" t="s">
        <v>3066</v>
      </c>
      <c r="F450" s="16">
        <f t="shared" ref="F450:F513" si="14">IF($G450="",0,LEN($G450)-LEN(SUBSTITUTE($G450,"|",""))+1)</f>
        <v>1</v>
      </c>
      <c r="G450" s="15" t="s">
        <v>276</v>
      </c>
      <c r="H450" s="18" t="s">
        <v>3069</v>
      </c>
      <c r="I450" s="19">
        <v>10</v>
      </c>
      <c r="J450" s="20">
        <f t="shared" ref="J450:J513" si="15">IFERROR(F450/I450,"")</f>
        <v>0.1</v>
      </c>
    </row>
    <row r="451" spans="1:10" ht="28.8">
      <c r="A451" s="16">
        <v>450</v>
      </c>
      <c r="B451" s="15" t="s">
        <v>3056</v>
      </c>
      <c r="C451" s="17">
        <v>2024</v>
      </c>
      <c r="D451" s="14" t="s">
        <v>49</v>
      </c>
      <c r="E451" s="15" t="s">
        <v>651</v>
      </c>
      <c r="F451" s="16">
        <f t="shared" si="14"/>
        <v>1</v>
      </c>
      <c r="G451" s="15" t="s">
        <v>276</v>
      </c>
      <c r="H451" s="18" t="s">
        <v>3058</v>
      </c>
      <c r="I451" s="19">
        <v>11</v>
      </c>
      <c r="J451" s="20">
        <f t="shared" si="15"/>
        <v>9.0909090909090912E-2</v>
      </c>
    </row>
    <row r="452" spans="1:10">
      <c r="A452" s="16">
        <v>451</v>
      </c>
      <c r="B452" s="15" t="s">
        <v>4101</v>
      </c>
      <c r="C452" s="17">
        <v>2024</v>
      </c>
      <c r="D452" s="14" t="s">
        <v>33</v>
      </c>
      <c r="E452" s="15" t="s">
        <v>4103</v>
      </c>
      <c r="F452" s="16">
        <f t="shared" si="14"/>
        <v>1</v>
      </c>
      <c r="G452" s="15" t="s">
        <v>4100</v>
      </c>
      <c r="H452" s="18" t="s">
        <v>4108</v>
      </c>
      <c r="I452" s="19">
        <v>1</v>
      </c>
      <c r="J452" s="20">
        <f t="shared" si="15"/>
        <v>1</v>
      </c>
    </row>
    <row r="453" spans="1:10" ht="28.8">
      <c r="A453" s="16">
        <v>452</v>
      </c>
      <c r="B453" s="15" t="s">
        <v>4147</v>
      </c>
      <c r="C453" s="17">
        <v>2024</v>
      </c>
      <c r="D453" s="14" t="s">
        <v>33</v>
      </c>
      <c r="E453" s="15" t="s">
        <v>4149</v>
      </c>
      <c r="F453" s="16">
        <f t="shared" si="14"/>
        <v>1</v>
      </c>
      <c r="G453" s="15" t="s">
        <v>4146</v>
      </c>
      <c r="H453" s="18" t="s">
        <v>4155</v>
      </c>
      <c r="I453" s="19">
        <v>1</v>
      </c>
      <c r="J453" s="20">
        <f t="shared" si="15"/>
        <v>1</v>
      </c>
    </row>
    <row r="454" spans="1:10">
      <c r="A454" s="16">
        <v>453</v>
      </c>
      <c r="B454" s="15" t="s">
        <v>3850</v>
      </c>
      <c r="C454" s="17">
        <v>2024</v>
      </c>
      <c r="D454" s="14" t="s">
        <v>49</v>
      </c>
      <c r="E454" s="15" t="s">
        <v>3852</v>
      </c>
      <c r="F454" s="16">
        <f t="shared" si="14"/>
        <v>1</v>
      </c>
      <c r="G454" s="15" t="s">
        <v>3849</v>
      </c>
      <c r="H454" s="18" t="s">
        <v>3856</v>
      </c>
      <c r="I454" s="19">
        <v>3</v>
      </c>
      <c r="J454" s="20">
        <f t="shared" si="15"/>
        <v>0.33333333333333331</v>
      </c>
    </row>
    <row r="455" spans="1:10" ht="28.8">
      <c r="A455" s="16">
        <v>454</v>
      </c>
      <c r="B455" s="15" t="s">
        <v>1215</v>
      </c>
      <c r="C455" s="17">
        <v>2024</v>
      </c>
      <c r="D455" s="14" t="s">
        <v>33</v>
      </c>
      <c r="E455" s="15" t="s">
        <v>1217</v>
      </c>
      <c r="F455" s="16">
        <f t="shared" si="14"/>
        <v>1</v>
      </c>
      <c r="G455" s="15" t="s">
        <v>113</v>
      </c>
      <c r="H455" s="18" t="s">
        <v>1220</v>
      </c>
      <c r="I455" s="19">
        <v>9</v>
      </c>
      <c r="J455" s="20">
        <f t="shared" si="15"/>
        <v>0.1111111111111111</v>
      </c>
    </row>
    <row r="456" spans="1:10" ht="28.8">
      <c r="A456" s="16">
        <v>455</v>
      </c>
      <c r="B456" s="15" t="s">
        <v>4065</v>
      </c>
      <c r="C456" s="17">
        <v>2024</v>
      </c>
      <c r="D456" s="14" t="s">
        <v>33</v>
      </c>
      <c r="E456" s="15" t="s">
        <v>2392</v>
      </c>
      <c r="F456" s="16">
        <f t="shared" si="14"/>
        <v>1</v>
      </c>
      <c r="G456" s="15" t="s">
        <v>4064</v>
      </c>
      <c r="H456" s="18" t="s">
        <v>4068</v>
      </c>
      <c r="I456" s="19">
        <v>2</v>
      </c>
      <c r="J456" s="20">
        <f t="shared" si="15"/>
        <v>0.5</v>
      </c>
    </row>
    <row r="457" spans="1:10" ht="28.8">
      <c r="A457" s="16">
        <v>456</v>
      </c>
      <c r="B457" s="15" t="s">
        <v>2981</v>
      </c>
      <c r="C457" s="17">
        <v>2024</v>
      </c>
      <c r="D457" s="14" t="s">
        <v>33</v>
      </c>
      <c r="E457" s="15" t="s">
        <v>2392</v>
      </c>
      <c r="F457" s="16">
        <f t="shared" si="14"/>
        <v>2</v>
      </c>
      <c r="G457" s="15" t="s">
        <v>5989</v>
      </c>
      <c r="H457" s="18" t="s">
        <v>2984</v>
      </c>
      <c r="I457" s="19">
        <v>4</v>
      </c>
      <c r="J457" s="20">
        <f t="shared" si="15"/>
        <v>0.5</v>
      </c>
    </row>
    <row r="458" spans="1:10" ht="28.8">
      <c r="A458" s="16">
        <v>457</v>
      </c>
      <c r="B458" s="15" t="s">
        <v>114</v>
      </c>
      <c r="C458" s="17">
        <v>2024</v>
      </c>
      <c r="D458" s="14" t="s">
        <v>33</v>
      </c>
      <c r="E458" s="15" t="s">
        <v>116</v>
      </c>
      <c r="F458" s="16">
        <f t="shared" si="14"/>
        <v>1</v>
      </c>
      <c r="G458" s="15" t="s">
        <v>113</v>
      </c>
      <c r="H458" s="18" t="s">
        <v>122</v>
      </c>
      <c r="I458" s="19">
        <v>7</v>
      </c>
      <c r="J458" s="20">
        <f t="shared" si="15"/>
        <v>0.14285714285714285</v>
      </c>
    </row>
    <row r="459" spans="1:10" ht="28.8">
      <c r="A459" s="16">
        <v>458</v>
      </c>
      <c r="B459" s="15" t="s">
        <v>5718</v>
      </c>
      <c r="C459" s="17">
        <v>2024</v>
      </c>
      <c r="D459" s="14" t="s">
        <v>1125</v>
      </c>
      <c r="E459" s="15" t="s">
        <v>1812</v>
      </c>
      <c r="F459" s="16">
        <f t="shared" si="14"/>
        <v>1</v>
      </c>
      <c r="G459" s="15" t="s">
        <v>128</v>
      </c>
      <c r="H459" s="18" t="s">
        <v>5721</v>
      </c>
      <c r="I459" s="19">
        <v>3</v>
      </c>
      <c r="J459" s="20">
        <f t="shared" si="15"/>
        <v>0.33333333333333331</v>
      </c>
    </row>
    <row r="460" spans="1:10">
      <c r="A460" s="16">
        <v>459</v>
      </c>
      <c r="B460" s="15" t="s">
        <v>3766</v>
      </c>
      <c r="C460" s="17">
        <v>2024</v>
      </c>
      <c r="D460" s="14" t="s">
        <v>33</v>
      </c>
      <c r="E460" s="15" t="s">
        <v>3077</v>
      </c>
      <c r="F460" s="16">
        <f t="shared" si="14"/>
        <v>1</v>
      </c>
      <c r="G460" s="15" t="s">
        <v>1916</v>
      </c>
      <c r="H460" s="18" t="s">
        <v>3770</v>
      </c>
      <c r="I460" s="19">
        <v>4</v>
      </c>
      <c r="J460" s="20">
        <f t="shared" si="15"/>
        <v>0.25</v>
      </c>
    </row>
    <row r="461" spans="1:10" ht="28.8">
      <c r="A461" s="16">
        <v>460</v>
      </c>
      <c r="B461" s="15" t="s">
        <v>847</v>
      </c>
      <c r="C461" s="17">
        <v>2024</v>
      </c>
      <c r="D461" s="14" t="s">
        <v>49</v>
      </c>
      <c r="E461" s="15" t="s">
        <v>849</v>
      </c>
      <c r="F461" s="16">
        <f t="shared" si="14"/>
        <v>4</v>
      </c>
      <c r="G461" s="15" t="s">
        <v>5990</v>
      </c>
      <c r="H461" s="18" t="s">
        <v>856</v>
      </c>
      <c r="I461" s="19">
        <v>8</v>
      </c>
      <c r="J461" s="20">
        <f t="shared" si="15"/>
        <v>0.5</v>
      </c>
    </row>
    <row r="462" spans="1:10">
      <c r="A462" s="16">
        <v>461</v>
      </c>
      <c r="B462" s="15" t="s">
        <v>674</v>
      </c>
      <c r="C462" s="17">
        <v>2024</v>
      </c>
      <c r="D462" s="14" t="s">
        <v>33</v>
      </c>
      <c r="E462" s="15" t="s">
        <v>676</v>
      </c>
      <c r="F462" s="16">
        <f t="shared" si="14"/>
        <v>1</v>
      </c>
      <c r="G462" s="15" t="s">
        <v>83</v>
      </c>
      <c r="H462" s="18" t="s">
        <v>680</v>
      </c>
      <c r="I462" s="19">
        <v>6</v>
      </c>
      <c r="J462" s="20">
        <f t="shared" si="15"/>
        <v>0.16666666666666666</v>
      </c>
    </row>
    <row r="463" spans="1:10" ht="28.8">
      <c r="A463" s="16">
        <v>462</v>
      </c>
      <c r="B463" s="15" t="s">
        <v>1811</v>
      </c>
      <c r="C463" s="17">
        <v>2024</v>
      </c>
      <c r="D463" s="14" t="s">
        <v>1125</v>
      </c>
      <c r="E463" s="15" t="s">
        <v>1812</v>
      </c>
      <c r="F463" s="16">
        <f t="shared" si="14"/>
        <v>1</v>
      </c>
      <c r="G463" s="15" t="s">
        <v>128</v>
      </c>
      <c r="H463" s="18" t="s">
        <v>1815</v>
      </c>
      <c r="I463" s="19">
        <v>3</v>
      </c>
      <c r="J463" s="20">
        <f t="shared" si="15"/>
        <v>0.33333333333333331</v>
      </c>
    </row>
    <row r="464" spans="1:10" ht="28.8">
      <c r="A464" s="16">
        <v>463</v>
      </c>
      <c r="B464" s="15" t="s">
        <v>5005</v>
      </c>
      <c r="C464" s="17">
        <v>2024</v>
      </c>
      <c r="D464" s="14" t="s">
        <v>33</v>
      </c>
      <c r="E464" s="15" t="s">
        <v>5007</v>
      </c>
      <c r="F464" s="16">
        <f t="shared" si="14"/>
        <v>1</v>
      </c>
      <c r="G464" s="15" t="s">
        <v>5004</v>
      </c>
      <c r="H464" s="18" t="s">
        <v>5011</v>
      </c>
      <c r="I464" s="19">
        <v>2</v>
      </c>
      <c r="J464" s="20">
        <f t="shared" si="15"/>
        <v>0.5</v>
      </c>
    </row>
    <row r="465" spans="1:10" ht="28.8">
      <c r="A465" s="16">
        <v>464</v>
      </c>
      <c r="B465" s="15" t="s">
        <v>201</v>
      </c>
      <c r="C465" s="17">
        <v>2024</v>
      </c>
      <c r="D465" s="14" t="s">
        <v>208</v>
      </c>
      <c r="E465" s="15" t="s">
        <v>203</v>
      </c>
      <c r="F465" s="16">
        <f t="shared" si="14"/>
        <v>1</v>
      </c>
      <c r="G465" s="15" t="s">
        <v>200</v>
      </c>
      <c r="H465" s="18" t="s">
        <v>207</v>
      </c>
      <c r="I465" s="19">
        <v>3</v>
      </c>
      <c r="J465" s="20">
        <f t="shared" si="15"/>
        <v>0.33333333333333331</v>
      </c>
    </row>
    <row r="466" spans="1:10" ht="28.8">
      <c r="A466" s="16">
        <v>465</v>
      </c>
      <c r="B466" s="15" t="s">
        <v>1291</v>
      </c>
      <c r="C466" s="17">
        <v>2024</v>
      </c>
      <c r="D466" s="14" t="s">
        <v>33</v>
      </c>
      <c r="E466" s="15" t="s">
        <v>1293</v>
      </c>
      <c r="F466" s="16">
        <f t="shared" si="14"/>
        <v>2</v>
      </c>
      <c r="G466" s="15" t="s">
        <v>5991</v>
      </c>
      <c r="H466" s="18" t="s">
        <v>1296</v>
      </c>
      <c r="I466" s="19">
        <v>16</v>
      </c>
      <c r="J466" s="20">
        <f t="shared" si="15"/>
        <v>0.125</v>
      </c>
    </row>
    <row r="467" spans="1:10" ht="28.8">
      <c r="A467" s="16">
        <v>466</v>
      </c>
      <c r="B467" s="15" t="s">
        <v>142</v>
      </c>
      <c r="C467" s="17">
        <v>2024</v>
      </c>
      <c r="D467" s="14" t="s">
        <v>33</v>
      </c>
      <c r="E467" s="15" t="s">
        <v>131</v>
      </c>
      <c r="F467" s="16">
        <f t="shared" si="14"/>
        <v>1</v>
      </c>
      <c r="G467" s="15" t="s">
        <v>128</v>
      </c>
      <c r="H467" s="18" t="s">
        <v>147</v>
      </c>
      <c r="I467" s="19">
        <v>3</v>
      </c>
      <c r="J467" s="20">
        <f t="shared" si="15"/>
        <v>0.33333333333333331</v>
      </c>
    </row>
    <row r="468" spans="1:10" ht="28.8">
      <c r="A468" s="16">
        <v>467</v>
      </c>
      <c r="B468" s="15" t="s">
        <v>3175</v>
      </c>
      <c r="C468" s="17">
        <v>2024</v>
      </c>
      <c r="D468" s="14" t="s">
        <v>33</v>
      </c>
      <c r="E468" s="15" t="s">
        <v>203</v>
      </c>
      <c r="F468" s="16">
        <f t="shared" si="14"/>
        <v>3</v>
      </c>
      <c r="G468" s="15" t="s">
        <v>5992</v>
      </c>
      <c r="H468" s="18" t="s">
        <v>3177</v>
      </c>
      <c r="I468" s="19">
        <v>3</v>
      </c>
      <c r="J468" s="20">
        <f t="shared" si="15"/>
        <v>1</v>
      </c>
    </row>
    <row r="469" spans="1:10" ht="28.8">
      <c r="A469" s="16">
        <v>468</v>
      </c>
      <c r="B469" s="15" t="s">
        <v>241</v>
      </c>
      <c r="C469" s="17">
        <v>2024</v>
      </c>
      <c r="D469" s="14" t="s">
        <v>33</v>
      </c>
      <c r="E469" s="15" t="s">
        <v>243</v>
      </c>
      <c r="F469" s="16">
        <f t="shared" si="14"/>
        <v>1</v>
      </c>
      <c r="G469" s="15" t="s">
        <v>22</v>
      </c>
      <c r="H469" s="18" t="s">
        <v>248</v>
      </c>
      <c r="I469" s="19">
        <v>9</v>
      </c>
      <c r="J469" s="20">
        <f t="shared" si="15"/>
        <v>0.1111111111111111</v>
      </c>
    </row>
    <row r="470" spans="1:10" ht="28.8">
      <c r="A470" s="16">
        <v>469</v>
      </c>
      <c r="B470" s="15" t="s">
        <v>713</v>
      </c>
      <c r="C470" s="17">
        <v>2024</v>
      </c>
      <c r="D470" s="14" t="s">
        <v>33</v>
      </c>
      <c r="E470" s="15" t="s">
        <v>715</v>
      </c>
      <c r="F470" s="16">
        <f t="shared" si="14"/>
        <v>3</v>
      </c>
      <c r="G470" s="15" t="s">
        <v>5993</v>
      </c>
      <c r="H470" s="18" t="s">
        <v>721</v>
      </c>
      <c r="I470" s="19">
        <v>10</v>
      </c>
      <c r="J470" s="20">
        <f t="shared" si="15"/>
        <v>0.3</v>
      </c>
    </row>
    <row r="471" spans="1:10" ht="28.8">
      <c r="A471" s="16">
        <v>470</v>
      </c>
      <c r="B471" s="15" t="s">
        <v>4460</v>
      </c>
      <c r="C471" s="17">
        <v>2024</v>
      </c>
      <c r="D471" s="14" t="s">
        <v>33</v>
      </c>
      <c r="E471" s="15" t="s">
        <v>4462</v>
      </c>
      <c r="F471" s="16">
        <f t="shared" si="14"/>
        <v>1</v>
      </c>
      <c r="G471" s="15" t="s">
        <v>4459</v>
      </c>
      <c r="H471" s="18" t="s">
        <v>4466</v>
      </c>
      <c r="I471" s="19">
        <v>1</v>
      </c>
      <c r="J471" s="20">
        <f t="shared" si="15"/>
        <v>1</v>
      </c>
    </row>
    <row r="472" spans="1:10" ht="28.8">
      <c r="A472" s="16">
        <v>471</v>
      </c>
      <c r="B472" s="15" t="s">
        <v>5671</v>
      </c>
      <c r="C472" s="17">
        <v>2024</v>
      </c>
      <c r="D472" s="14" t="s">
        <v>33</v>
      </c>
      <c r="E472" s="15" t="s">
        <v>3046</v>
      </c>
      <c r="F472" s="16">
        <f t="shared" si="14"/>
        <v>1</v>
      </c>
      <c r="G472" s="15" t="s">
        <v>5670</v>
      </c>
      <c r="H472" s="18" t="s">
        <v>5674</v>
      </c>
      <c r="I472" s="19">
        <v>2</v>
      </c>
      <c r="J472" s="20">
        <f t="shared" si="15"/>
        <v>0.5</v>
      </c>
    </row>
    <row r="473" spans="1:10">
      <c r="A473" s="16">
        <v>472</v>
      </c>
      <c r="B473" s="15" t="s">
        <v>2197</v>
      </c>
      <c r="C473" s="17">
        <v>2024</v>
      </c>
      <c r="D473" s="14" t="s">
        <v>33</v>
      </c>
      <c r="E473" s="15" t="s">
        <v>2199</v>
      </c>
      <c r="F473" s="16">
        <f t="shared" si="14"/>
        <v>1</v>
      </c>
      <c r="G473" s="15" t="s">
        <v>790</v>
      </c>
      <c r="H473" s="18" t="s">
        <v>2205</v>
      </c>
      <c r="I473" s="19">
        <v>3</v>
      </c>
      <c r="J473" s="20">
        <f t="shared" si="15"/>
        <v>0.33333333333333331</v>
      </c>
    </row>
    <row r="474" spans="1:10">
      <c r="A474" s="16">
        <v>473</v>
      </c>
      <c r="B474" s="15" t="s">
        <v>4241</v>
      </c>
      <c r="C474" s="17">
        <v>2024</v>
      </c>
      <c r="D474" s="14" t="s">
        <v>33</v>
      </c>
      <c r="E474" s="15" t="s">
        <v>4243</v>
      </c>
      <c r="F474" s="16">
        <f t="shared" si="14"/>
        <v>1</v>
      </c>
      <c r="G474" s="15" t="s">
        <v>4240</v>
      </c>
      <c r="H474" s="15" t="s">
        <v>43</v>
      </c>
      <c r="I474" s="19">
        <v>1</v>
      </c>
      <c r="J474" s="20">
        <f t="shared" si="15"/>
        <v>1</v>
      </c>
    </row>
    <row r="475" spans="1:10" ht="28.8">
      <c r="A475" s="16">
        <v>474</v>
      </c>
      <c r="B475" s="15" t="s">
        <v>3881</v>
      </c>
      <c r="C475" s="17">
        <v>2024</v>
      </c>
      <c r="D475" s="14" t="s">
        <v>33</v>
      </c>
      <c r="E475" s="15" t="s">
        <v>3883</v>
      </c>
      <c r="F475" s="16">
        <f t="shared" si="14"/>
        <v>1</v>
      </c>
      <c r="G475" s="15" t="s">
        <v>3880</v>
      </c>
      <c r="H475" s="15" t="s">
        <v>43</v>
      </c>
      <c r="I475" s="19">
        <v>2</v>
      </c>
      <c r="J475" s="20">
        <f t="shared" si="15"/>
        <v>0.5</v>
      </c>
    </row>
    <row r="476" spans="1:10">
      <c r="A476" s="16">
        <v>475</v>
      </c>
      <c r="B476" s="15" t="s">
        <v>2417</v>
      </c>
      <c r="C476" s="17">
        <v>2024</v>
      </c>
      <c r="D476" s="14" t="s">
        <v>33</v>
      </c>
      <c r="E476" s="15" t="s">
        <v>2419</v>
      </c>
      <c r="F476" s="16">
        <f t="shared" si="14"/>
        <v>1</v>
      </c>
      <c r="G476" s="15" t="s">
        <v>2416</v>
      </c>
      <c r="H476" s="18" t="s">
        <v>2425</v>
      </c>
      <c r="I476" s="19">
        <v>1</v>
      </c>
      <c r="J476" s="20">
        <f t="shared" si="15"/>
        <v>1</v>
      </c>
    </row>
    <row r="477" spans="1:10" ht="43.2">
      <c r="A477" s="16">
        <v>476</v>
      </c>
      <c r="B477" s="15" t="s">
        <v>3526</v>
      </c>
      <c r="C477" s="17">
        <v>2024</v>
      </c>
      <c r="D477" s="14" t="s">
        <v>33</v>
      </c>
      <c r="E477" s="15" t="s">
        <v>3528</v>
      </c>
      <c r="F477" s="16">
        <f t="shared" si="14"/>
        <v>1</v>
      </c>
      <c r="G477" s="15" t="s">
        <v>3525</v>
      </c>
      <c r="H477" s="18" t="s">
        <v>3533</v>
      </c>
      <c r="I477" s="19">
        <v>1</v>
      </c>
      <c r="J477" s="20">
        <f t="shared" si="15"/>
        <v>1</v>
      </c>
    </row>
    <row r="478" spans="1:10" ht="43.2">
      <c r="A478" s="16">
        <v>477</v>
      </c>
      <c r="B478" s="15" t="s">
        <v>3442</v>
      </c>
      <c r="C478" s="17">
        <v>2024</v>
      </c>
      <c r="D478" s="14" t="s">
        <v>644</v>
      </c>
      <c r="E478" s="15" t="s">
        <v>3444</v>
      </c>
      <c r="F478" s="16">
        <f t="shared" si="14"/>
        <v>1</v>
      </c>
      <c r="G478" s="15" t="s">
        <v>635</v>
      </c>
      <c r="H478" s="18" t="s">
        <v>3448</v>
      </c>
      <c r="I478" s="19">
        <v>6</v>
      </c>
      <c r="J478" s="20">
        <f t="shared" si="15"/>
        <v>0.16666666666666666</v>
      </c>
    </row>
    <row r="479" spans="1:10" ht="43.2">
      <c r="A479" s="16">
        <v>478</v>
      </c>
      <c r="B479" s="15" t="s">
        <v>1312</v>
      </c>
      <c r="C479" s="17">
        <v>2024</v>
      </c>
      <c r="D479" s="14" t="s">
        <v>33</v>
      </c>
      <c r="E479" s="15" t="s">
        <v>167</v>
      </c>
      <c r="F479" s="16">
        <f t="shared" si="14"/>
        <v>3</v>
      </c>
      <c r="G479" s="15" t="s">
        <v>5994</v>
      </c>
      <c r="H479" s="18" t="s">
        <v>1314</v>
      </c>
      <c r="I479" s="19">
        <v>7</v>
      </c>
      <c r="J479" s="20">
        <f t="shared" si="15"/>
        <v>0.42857142857142855</v>
      </c>
    </row>
    <row r="480" spans="1:10" ht="28.8">
      <c r="A480" s="16">
        <v>479</v>
      </c>
      <c r="B480" s="15" t="s">
        <v>1861</v>
      </c>
      <c r="C480" s="17">
        <v>2024</v>
      </c>
      <c r="D480" s="14" t="s">
        <v>33</v>
      </c>
      <c r="E480" s="15" t="s">
        <v>1863</v>
      </c>
      <c r="F480" s="16">
        <f t="shared" si="14"/>
        <v>1</v>
      </c>
      <c r="G480" s="15" t="s">
        <v>1860</v>
      </c>
      <c r="H480" s="18" t="s">
        <v>1870</v>
      </c>
      <c r="I480" s="19">
        <v>5</v>
      </c>
      <c r="J480" s="20">
        <f t="shared" si="15"/>
        <v>0.2</v>
      </c>
    </row>
    <row r="481" spans="1:10">
      <c r="A481" s="16">
        <v>480</v>
      </c>
      <c r="B481" s="15" t="s">
        <v>4159</v>
      </c>
      <c r="C481" s="17">
        <v>2024</v>
      </c>
      <c r="D481" s="14" t="s">
        <v>33</v>
      </c>
      <c r="E481" s="15" t="s">
        <v>4161</v>
      </c>
      <c r="F481" s="16">
        <f t="shared" si="14"/>
        <v>1</v>
      </c>
      <c r="G481" s="15" t="s">
        <v>386</v>
      </c>
      <c r="H481" s="18" t="s">
        <v>4167</v>
      </c>
      <c r="I481" s="19">
        <v>3</v>
      </c>
      <c r="J481" s="20">
        <f t="shared" si="15"/>
        <v>0.33333333333333331</v>
      </c>
    </row>
    <row r="482" spans="1:10">
      <c r="A482" s="16">
        <v>481</v>
      </c>
      <c r="B482" s="15" t="s">
        <v>3315</v>
      </c>
      <c r="C482" s="17">
        <v>2024</v>
      </c>
      <c r="D482" s="14" t="s">
        <v>33</v>
      </c>
      <c r="E482" s="15" t="s">
        <v>2766</v>
      </c>
      <c r="F482" s="16">
        <f t="shared" si="14"/>
        <v>1</v>
      </c>
      <c r="G482" s="15" t="s">
        <v>790</v>
      </c>
      <c r="H482" s="18" t="s">
        <v>3319</v>
      </c>
      <c r="I482" s="19">
        <v>4</v>
      </c>
      <c r="J482" s="20">
        <f t="shared" si="15"/>
        <v>0.25</v>
      </c>
    </row>
    <row r="483" spans="1:10" ht="28.8">
      <c r="A483" s="16">
        <v>482</v>
      </c>
      <c r="B483" s="15" t="s">
        <v>2890</v>
      </c>
      <c r="C483" s="17">
        <v>2024</v>
      </c>
      <c r="D483" s="14" t="s">
        <v>2112</v>
      </c>
      <c r="E483" s="15" t="s">
        <v>2892</v>
      </c>
      <c r="F483" s="16">
        <f t="shared" si="14"/>
        <v>1</v>
      </c>
      <c r="G483" s="15" t="s">
        <v>1619</v>
      </c>
      <c r="H483" s="18" t="s">
        <v>2894</v>
      </c>
      <c r="I483" s="19">
        <v>3</v>
      </c>
      <c r="J483" s="20">
        <f t="shared" si="15"/>
        <v>0.33333333333333331</v>
      </c>
    </row>
    <row r="484" spans="1:10">
      <c r="A484" s="16">
        <v>483</v>
      </c>
      <c r="B484" s="15" t="s">
        <v>2456</v>
      </c>
      <c r="C484" s="17">
        <v>2024</v>
      </c>
      <c r="D484" s="14" t="s">
        <v>33</v>
      </c>
      <c r="E484" s="15" t="s">
        <v>2458</v>
      </c>
      <c r="F484" s="16">
        <f t="shared" si="14"/>
        <v>1</v>
      </c>
      <c r="G484" s="15" t="s">
        <v>2455</v>
      </c>
      <c r="H484" s="18" t="s">
        <v>2462</v>
      </c>
      <c r="I484" s="19">
        <v>2</v>
      </c>
      <c r="J484" s="20">
        <f t="shared" si="15"/>
        <v>0.5</v>
      </c>
    </row>
    <row r="485" spans="1:10">
      <c r="A485" s="16">
        <v>484</v>
      </c>
      <c r="B485" s="15" t="s">
        <v>3377</v>
      </c>
      <c r="C485" s="17">
        <v>2024</v>
      </c>
      <c r="D485" s="14" t="s">
        <v>33</v>
      </c>
      <c r="E485" s="15" t="s">
        <v>3379</v>
      </c>
      <c r="F485" s="16">
        <f t="shared" si="14"/>
        <v>1</v>
      </c>
      <c r="G485" s="15" t="s">
        <v>2100</v>
      </c>
      <c r="H485" s="18" t="s">
        <v>3382</v>
      </c>
      <c r="I485" s="19">
        <v>4</v>
      </c>
      <c r="J485" s="20">
        <f t="shared" si="15"/>
        <v>0.25</v>
      </c>
    </row>
    <row r="486" spans="1:10" ht="28.8">
      <c r="A486" s="16">
        <v>485</v>
      </c>
      <c r="B486" s="15" t="s">
        <v>2826</v>
      </c>
      <c r="C486" s="17">
        <v>2024</v>
      </c>
      <c r="D486" s="14" t="s">
        <v>33</v>
      </c>
      <c r="E486" s="15" t="s">
        <v>1293</v>
      </c>
      <c r="F486" s="16">
        <f t="shared" si="14"/>
        <v>6</v>
      </c>
      <c r="G486" s="15" t="s">
        <v>5995</v>
      </c>
      <c r="H486" s="18" t="s">
        <v>2828</v>
      </c>
      <c r="I486" s="19">
        <v>9</v>
      </c>
      <c r="J486" s="20">
        <f t="shared" si="15"/>
        <v>0.66666666666666663</v>
      </c>
    </row>
    <row r="487" spans="1:10" ht="28.8">
      <c r="A487" s="16">
        <v>486</v>
      </c>
      <c r="B487" s="15" t="s">
        <v>898</v>
      </c>
      <c r="C487" s="17">
        <v>2024</v>
      </c>
      <c r="D487" s="14" t="s">
        <v>33</v>
      </c>
      <c r="E487" s="15" t="s">
        <v>900</v>
      </c>
      <c r="F487" s="16">
        <f t="shared" si="14"/>
        <v>1</v>
      </c>
      <c r="G487" s="15" t="s">
        <v>897</v>
      </c>
      <c r="H487" s="18" t="s">
        <v>906</v>
      </c>
      <c r="I487" s="19">
        <v>4</v>
      </c>
      <c r="J487" s="20">
        <f t="shared" si="15"/>
        <v>0.25</v>
      </c>
    </row>
    <row r="488" spans="1:10" ht="28.8">
      <c r="A488" s="16">
        <v>487</v>
      </c>
      <c r="B488" s="15" t="s">
        <v>2310</v>
      </c>
      <c r="C488" s="17">
        <v>2024</v>
      </c>
      <c r="D488" s="14" t="s">
        <v>33</v>
      </c>
      <c r="E488" s="15" t="s">
        <v>2312</v>
      </c>
      <c r="F488" s="16">
        <f t="shared" si="14"/>
        <v>1</v>
      </c>
      <c r="G488" s="15" t="s">
        <v>164</v>
      </c>
      <c r="H488" s="18" t="s">
        <v>2316</v>
      </c>
      <c r="I488" s="19">
        <v>10</v>
      </c>
      <c r="J488" s="20">
        <f t="shared" si="15"/>
        <v>0.1</v>
      </c>
    </row>
    <row r="489" spans="1:10">
      <c r="A489" s="16">
        <v>488</v>
      </c>
      <c r="B489" s="15" t="s">
        <v>1632</v>
      </c>
      <c r="C489" s="17">
        <v>2024</v>
      </c>
      <c r="D489" s="14" t="s">
        <v>33</v>
      </c>
      <c r="E489" s="15" t="s">
        <v>1634</v>
      </c>
      <c r="F489" s="16">
        <f t="shared" si="14"/>
        <v>1</v>
      </c>
      <c r="G489" s="15" t="s">
        <v>514</v>
      </c>
      <c r="H489" s="18" t="s">
        <v>1639</v>
      </c>
      <c r="I489" s="19">
        <v>4</v>
      </c>
      <c r="J489" s="20">
        <f t="shared" si="15"/>
        <v>0.25</v>
      </c>
    </row>
    <row r="490" spans="1:10" ht="28.8">
      <c r="A490" s="16">
        <v>489</v>
      </c>
      <c r="B490" s="15" t="s">
        <v>1839</v>
      </c>
      <c r="C490" s="17">
        <v>2024</v>
      </c>
      <c r="D490" s="14" t="s">
        <v>33</v>
      </c>
      <c r="E490" s="15" t="s">
        <v>1841</v>
      </c>
      <c r="F490" s="16">
        <f t="shared" si="14"/>
        <v>2</v>
      </c>
      <c r="G490" s="15" t="s">
        <v>5996</v>
      </c>
      <c r="H490" s="18" t="s">
        <v>1844</v>
      </c>
      <c r="I490" s="19">
        <v>4</v>
      </c>
      <c r="J490" s="20">
        <f t="shared" si="15"/>
        <v>0.5</v>
      </c>
    </row>
    <row r="491" spans="1:10" ht="28.8">
      <c r="A491" s="16">
        <v>490</v>
      </c>
      <c r="B491" s="15" t="s">
        <v>1468</v>
      </c>
      <c r="C491" s="17">
        <v>2024</v>
      </c>
      <c r="D491" s="14" t="s">
        <v>33</v>
      </c>
      <c r="E491" s="15" t="s">
        <v>1470</v>
      </c>
      <c r="F491" s="16">
        <f t="shared" si="14"/>
        <v>1</v>
      </c>
      <c r="G491" s="15" t="s">
        <v>276</v>
      </c>
      <c r="H491" s="18" t="s">
        <v>1475</v>
      </c>
      <c r="I491" s="19">
        <v>10</v>
      </c>
      <c r="J491" s="20">
        <f t="shared" si="15"/>
        <v>0.1</v>
      </c>
    </row>
    <row r="492" spans="1:10" ht="28.8">
      <c r="A492" s="16">
        <v>491</v>
      </c>
      <c r="B492" s="15" t="s">
        <v>1817</v>
      </c>
      <c r="C492" s="17">
        <v>2024</v>
      </c>
      <c r="D492" s="14" t="s">
        <v>33</v>
      </c>
      <c r="E492" s="15" t="s">
        <v>1819</v>
      </c>
      <c r="F492" s="16">
        <f t="shared" si="14"/>
        <v>1</v>
      </c>
      <c r="G492" s="15" t="s">
        <v>1480</v>
      </c>
      <c r="H492" s="18" t="s">
        <v>1823</v>
      </c>
      <c r="I492" s="19">
        <v>13</v>
      </c>
      <c r="J492" s="20">
        <f t="shared" si="15"/>
        <v>7.6923076923076927E-2</v>
      </c>
    </row>
    <row r="493" spans="1:10">
      <c r="A493" s="16">
        <v>492</v>
      </c>
      <c r="B493" s="15" t="s">
        <v>494</v>
      </c>
      <c r="C493" s="17">
        <v>2024</v>
      </c>
      <c r="D493" s="14" t="s">
        <v>33</v>
      </c>
      <c r="E493" s="15" t="s">
        <v>496</v>
      </c>
      <c r="F493" s="16">
        <f t="shared" si="14"/>
        <v>1</v>
      </c>
      <c r="G493" s="15" t="s">
        <v>493</v>
      </c>
      <c r="H493" s="18" t="s">
        <v>499</v>
      </c>
      <c r="I493" s="19">
        <v>15</v>
      </c>
      <c r="J493" s="20">
        <f t="shared" si="15"/>
        <v>6.6666666666666666E-2</v>
      </c>
    </row>
    <row r="494" spans="1:10" ht="28.8">
      <c r="A494" s="16">
        <v>493</v>
      </c>
      <c r="B494" s="15" t="s">
        <v>791</v>
      </c>
      <c r="C494" s="17">
        <v>2024</v>
      </c>
      <c r="D494" s="14" t="s">
        <v>33</v>
      </c>
      <c r="E494" s="15" t="s">
        <v>793</v>
      </c>
      <c r="F494" s="16">
        <f t="shared" si="14"/>
        <v>1</v>
      </c>
      <c r="G494" s="15" t="s">
        <v>790</v>
      </c>
      <c r="H494" s="18" t="s">
        <v>797</v>
      </c>
      <c r="I494" s="19">
        <v>6</v>
      </c>
      <c r="J494" s="20">
        <f t="shared" si="15"/>
        <v>0.16666666666666666</v>
      </c>
    </row>
    <row r="495" spans="1:10" ht="28.8">
      <c r="A495" s="16">
        <v>494</v>
      </c>
      <c r="B495" s="15" t="s">
        <v>636</v>
      </c>
      <c r="C495" s="17">
        <v>2024</v>
      </c>
      <c r="D495" s="14" t="s">
        <v>644</v>
      </c>
      <c r="E495" s="15" t="s">
        <v>638</v>
      </c>
      <c r="F495" s="16">
        <f t="shared" si="14"/>
        <v>1</v>
      </c>
      <c r="G495" s="15" t="s">
        <v>635</v>
      </c>
      <c r="H495" s="18" t="s">
        <v>643</v>
      </c>
      <c r="I495" s="19">
        <v>9</v>
      </c>
      <c r="J495" s="20">
        <f t="shared" si="15"/>
        <v>0.1111111111111111</v>
      </c>
    </row>
    <row r="496" spans="1:10" ht="28.8">
      <c r="A496" s="16">
        <v>495</v>
      </c>
      <c r="B496" s="15" t="s">
        <v>3817</v>
      </c>
      <c r="C496" s="17">
        <v>2024</v>
      </c>
      <c r="D496" s="14" t="s">
        <v>33</v>
      </c>
      <c r="E496" s="15" t="s">
        <v>2912</v>
      </c>
      <c r="F496" s="16">
        <f t="shared" si="14"/>
        <v>2</v>
      </c>
      <c r="G496" s="15" t="s">
        <v>5897</v>
      </c>
      <c r="H496" s="18" t="s">
        <v>3821</v>
      </c>
      <c r="I496" s="19">
        <v>7</v>
      </c>
      <c r="J496" s="20">
        <f t="shared" si="15"/>
        <v>0.2857142857142857</v>
      </c>
    </row>
    <row r="497" spans="1:10" ht="28.8">
      <c r="A497" s="16">
        <v>496</v>
      </c>
      <c r="B497" s="15" t="s">
        <v>5621</v>
      </c>
      <c r="C497" s="17">
        <v>2024</v>
      </c>
      <c r="D497" s="14" t="s">
        <v>33</v>
      </c>
      <c r="E497" s="15" t="s">
        <v>3096</v>
      </c>
      <c r="F497" s="16">
        <f t="shared" si="14"/>
        <v>1</v>
      </c>
      <c r="G497" s="15" t="s">
        <v>727</v>
      </c>
      <c r="H497" s="18" t="s">
        <v>5624</v>
      </c>
      <c r="I497" s="19">
        <v>5</v>
      </c>
      <c r="J497" s="20">
        <f t="shared" si="15"/>
        <v>0.2</v>
      </c>
    </row>
    <row r="498" spans="1:10" ht="28.8">
      <c r="A498" s="16">
        <v>497</v>
      </c>
      <c r="B498" s="15" t="s">
        <v>1481</v>
      </c>
      <c r="C498" s="17">
        <v>2024</v>
      </c>
      <c r="D498" s="14" t="s">
        <v>33</v>
      </c>
      <c r="E498" s="15" t="s">
        <v>1483</v>
      </c>
      <c r="F498" s="16">
        <f t="shared" si="14"/>
        <v>1</v>
      </c>
      <c r="G498" s="15" t="s">
        <v>1480</v>
      </c>
      <c r="H498" s="18" t="s">
        <v>1490</v>
      </c>
      <c r="I498" s="19">
        <v>42</v>
      </c>
      <c r="J498" s="20">
        <f t="shared" si="15"/>
        <v>2.3809523809523808E-2</v>
      </c>
    </row>
    <row r="499" spans="1:10" ht="28.8">
      <c r="A499" s="16">
        <v>498</v>
      </c>
      <c r="B499" s="15" t="s">
        <v>997</v>
      </c>
      <c r="C499" s="17">
        <v>2024</v>
      </c>
      <c r="D499" s="14" t="s">
        <v>33</v>
      </c>
      <c r="E499" s="15" t="s">
        <v>999</v>
      </c>
      <c r="F499" s="16">
        <f t="shared" si="14"/>
        <v>7</v>
      </c>
      <c r="G499" s="15" t="s">
        <v>5997</v>
      </c>
      <c r="H499" s="18" t="s">
        <v>1002</v>
      </c>
      <c r="I499" s="19">
        <v>19</v>
      </c>
      <c r="J499" s="20">
        <f t="shared" si="15"/>
        <v>0.36842105263157893</v>
      </c>
    </row>
    <row r="500" spans="1:10">
      <c r="A500" s="16">
        <v>499</v>
      </c>
      <c r="B500" s="15" t="s">
        <v>5118</v>
      </c>
      <c r="C500" s="17">
        <v>2024</v>
      </c>
      <c r="D500" s="14" t="s">
        <v>33</v>
      </c>
      <c r="E500" s="15" t="s">
        <v>1442</v>
      </c>
      <c r="F500" s="16">
        <f t="shared" si="14"/>
        <v>1</v>
      </c>
      <c r="G500" s="15" t="s">
        <v>276</v>
      </c>
      <c r="H500" s="18" t="s">
        <v>5120</v>
      </c>
      <c r="I500" s="19">
        <v>6</v>
      </c>
      <c r="J500" s="20">
        <f t="shared" si="15"/>
        <v>0.16666666666666666</v>
      </c>
    </row>
    <row r="501" spans="1:10" ht="28.8">
      <c r="A501" s="16">
        <v>500</v>
      </c>
      <c r="B501" s="15" t="s">
        <v>4220</v>
      </c>
      <c r="C501" s="17">
        <v>2024</v>
      </c>
      <c r="D501" s="14" t="s">
        <v>33</v>
      </c>
      <c r="E501" s="15" t="s">
        <v>2392</v>
      </c>
      <c r="F501" s="16">
        <f t="shared" si="14"/>
        <v>4</v>
      </c>
      <c r="G501" s="15" t="s">
        <v>5998</v>
      </c>
      <c r="H501" s="18" t="s">
        <v>4223</v>
      </c>
      <c r="I501" s="19">
        <v>5</v>
      </c>
      <c r="J501" s="20">
        <f t="shared" si="15"/>
        <v>0.8</v>
      </c>
    </row>
    <row r="502" spans="1:10" ht="28.8">
      <c r="A502" s="16">
        <v>501</v>
      </c>
      <c r="B502" s="15" t="s">
        <v>2878</v>
      </c>
      <c r="C502" s="17">
        <v>2024</v>
      </c>
      <c r="D502" s="14" t="s">
        <v>33</v>
      </c>
      <c r="E502" s="15" t="s">
        <v>2880</v>
      </c>
      <c r="F502" s="16">
        <f t="shared" si="14"/>
        <v>2</v>
      </c>
      <c r="G502" s="15" t="s">
        <v>5999</v>
      </c>
      <c r="H502" s="18" t="s">
        <v>2885</v>
      </c>
      <c r="I502" s="19">
        <v>2</v>
      </c>
      <c r="J502" s="20">
        <f t="shared" si="15"/>
        <v>1</v>
      </c>
    </row>
    <row r="503" spans="1:10" ht="28.8">
      <c r="A503" s="16">
        <v>502</v>
      </c>
      <c r="B503" s="15" t="s">
        <v>1335</v>
      </c>
      <c r="C503" s="17">
        <v>2024</v>
      </c>
      <c r="D503" s="14" t="s">
        <v>33</v>
      </c>
      <c r="E503" s="15" t="s">
        <v>231</v>
      </c>
      <c r="F503" s="16">
        <f t="shared" si="14"/>
        <v>3</v>
      </c>
      <c r="G503" s="15" t="s">
        <v>6000</v>
      </c>
      <c r="H503" s="18" t="s">
        <v>1338</v>
      </c>
      <c r="I503" s="19">
        <v>11</v>
      </c>
      <c r="J503" s="20">
        <f t="shared" si="15"/>
        <v>0.27272727272727271</v>
      </c>
    </row>
    <row r="504" spans="1:10">
      <c r="A504" s="16">
        <v>503</v>
      </c>
      <c r="B504" s="15" t="s">
        <v>515</v>
      </c>
      <c r="C504" s="17">
        <v>2024</v>
      </c>
      <c r="D504" s="14" t="s">
        <v>33</v>
      </c>
      <c r="E504" s="15" t="s">
        <v>517</v>
      </c>
      <c r="F504" s="16">
        <f t="shared" si="14"/>
        <v>1</v>
      </c>
      <c r="G504" s="15" t="s">
        <v>514</v>
      </c>
      <c r="H504" s="18" t="s">
        <v>518</v>
      </c>
      <c r="I504" s="19">
        <v>5</v>
      </c>
      <c r="J504" s="20">
        <f t="shared" si="15"/>
        <v>0.2</v>
      </c>
    </row>
    <row r="505" spans="1:10" ht="28.8">
      <c r="A505" s="16">
        <v>504</v>
      </c>
      <c r="B505" s="15" t="s">
        <v>2973</v>
      </c>
      <c r="C505" s="17">
        <v>2024</v>
      </c>
      <c r="D505" s="14" t="s">
        <v>33</v>
      </c>
      <c r="E505" s="15" t="s">
        <v>651</v>
      </c>
      <c r="F505" s="16">
        <f t="shared" si="14"/>
        <v>1</v>
      </c>
      <c r="G505" s="15" t="s">
        <v>2342</v>
      </c>
      <c r="H505" s="18" t="s">
        <v>2975</v>
      </c>
      <c r="I505" s="19">
        <v>4</v>
      </c>
      <c r="J505" s="20">
        <f t="shared" si="15"/>
        <v>0.25</v>
      </c>
    </row>
    <row r="506" spans="1:10" ht="28.8">
      <c r="A506" s="16">
        <v>505</v>
      </c>
      <c r="B506" s="15" t="s">
        <v>3781</v>
      </c>
      <c r="C506" s="17">
        <v>2024</v>
      </c>
      <c r="D506" s="14" t="s">
        <v>1125</v>
      </c>
      <c r="E506" s="15" t="s">
        <v>1421</v>
      </c>
      <c r="F506" s="16">
        <f t="shared" si="14"/>
        <v>1</v>
      </c>
      <c r="G506" s="15" t="s">
        <v>128</v>
      </c>
      <c r="H506" s="15" t="s">
        <v>43</v>
      </c>
      <c r="I506" s="19">
        <v>3</v>
      </c>
      <c r="J506" s="20">
        <f t="shared" si="15"/>
        <v>0.33333333333333331</v>
      </c>
    </row>
    <row r="507" spans="1:10" ht="28.8">
      <c r="A507" s="16">
        <v>506</v>
      </c>
      <c r="B507" s="15" t="s">
        <v>2499</v>
      </c>
      <c r="C507" s="17">
        <v>2024</v>
      </c>
      <c r="D507" s="14" t="s">
        <v>33</v>
      </c>
      <c r="E507" s="15" t="s">
        <v>2392</v>
      </c>
      <c r="F507" s="16">
        <f t="shared" si="14"/>
        <v>1</v>
      </c>
      <c r="G507" s="15" t="s">
        <v>39</v>
      </c>
      <c r="H507" s="18" t="s">
        <v>2502</v>
      </c>
      <c r="I507" s="19">
        <v>5</v>
      </c>
      <c r="J507" s="20">
        <f t="shared" si="15"/>
        <v>0.2</v>
      </c>
    </row>
    <row r="508" spans="1:10" ht="28.8">
      <c r="A508" s="16">
        <v>507</v>
      </c>
      <c r="B508" s="15" t="s">
        <v>561</v>
      </c>
      <c r="C508" s="17">
        <v>2024</v>
      </c>
      <c r="D508" s="14" t="s">
        <v>33</v>
      </c>
      <c r="E508" s="15" t="s">
        <v>563</v>
      </c>
      <c r="F508" s="16">
        <f t="shared" si="14"/>
        <v>1</v>
      </c>
      <c r="G508" s="15" t="s">
        <v>635</v>
      </c>
      <c r="H508" s="18" t="s">
        <v>568</v>
      </c>
      <c r="I508" s="19">
        <v>49</v>
      </c>
      <c r="J508" s="20">
        <f t="shared" si="15"/>
        <v>2.0408163265306121E-2</v>
      </c>
    </row>
    <row r="509" spans="1:10" ht="28.8">
      <c r="A509" s="16">
        <v>508</v>
      </c>
      <c r="B509" s="15" t="s">
        <v>3471</v>
      </c>
      <c r="C509" s="17">
        <v>2024</v>
      </c>
      <c r="D509" s="14" t="s">
        <v>33</v>
      </c>
      <c r="E509" s="15" t="s">
        <v>3473</v>
      </c>
      <c r="F509" s="16">
        <f t="shared" si="14"/>
        <v>2</v>
      </c>
      <c r="G509" s="15" t="s">
        <v>6001</v>
      </c>
      <c r="H509" s="18" t="s">
        <v>3477</v>
      </c>
      <c r="I509" s="19">
        <v>2</v>
      </c>
      <c r="J509" s="20">
        <f t="shared" si="15"/>
        <v>1</v>
      </c>
    </row>
    <row r="510" spans="1:10" ht="28.8">
      <c r="A510" s="16">
        <v>509</v>
      </c>
      <c r="B510" s="15" t="s">
        <v>5828</v>
      </c>
      <c r="C510" s="17">
        <v>2024</v>
      </c>
      <c r="D510" s="14" t="s">
        <v>33</v>
      </c>
      <c r="E510" s="15" t="s">
        <v>5830</v>
      </c>
      <c r="F510" s="16">
        <f t="shared" si="14"/>
        <v>1</v>
      </c>
      <c r="G510" s="15" t="s">
        <v>5827</v>
      </c>
      <c r="H510" s="18" t="s">
        <v>5835</v>
      </c>
      <c r="I510" s="19">
        <v>3</v>
      </c>
      <c r="J510" s="20">
        <f t="shared" si="15"/>
        <v>0.33333333333333331</v>
      </c>
    </row>
    <row r="511" spans="1:10">
      <c r="A511" s="16">
        <v>510</v>
      </c>
      <c r="B511" s="15" t="s">
        <v>4645</v>
      </c>
      <c r="C511" s="17">
        <v>2024</v>
      </c>
      <c r="D511" s="14" t="s">
        <v>33</v>
      </c>
      <c r="E511" s="15" t="s">
        <v>167</v>
      </c>
      <c r="F511" s="16">
        <f t="shared" si="14"/>
        <v>3</v>
      </c>
      <c r="G511" s="15" t="s">
        <v>6002</v>
      </c>
      <c r="H511" s="18" t="s">
        <v>4647</v>
      </c>
      <c r="I511" s="19">
        <v>4</v>
      </c>
      <c r="J511" s="20">
        <f t="shared" si="15"/>
        <v>0.75</v>
      </c>
    </row>
    <row r="512" spans="1:10">
      <c r="A512" s="16">
        <v>511</v>
      </c>
      <c r="B512" s="15" t="s">
        <v>4727</v>
      </c>
      <c r="C512" s="17">
        <v>2024</v>
      </c>
      <c r="D512" s="14" t="s">
        <v>33</v>
      </c>
      <c r="E512" s="15" t="s">
        <v>2392</v>
      </c>
      <c r="F512" s="16">
        <f t="shared" si="14"/>
        <v>1</v>
      </c>
      <c r="G512" s="15" t="s">
        <v>4726</v>
      </c>
      <c r="H512" s="18" t="s">
        <v>4730</v>
      </c>
      <c r="I512" s="19">
        <v>2</v>
      </c>
      <c r="J512" s="20">
        <f t="shared" si="15"/>
        <v>0.5</v>
      </c>
    </row>
    <row r="513" spans="1:10" ht="43.2">
      <c r="A513" s="16">
        <v>512</v>
      </c>
      <c r="B513" s="15" t="s">
        <v>434</v>
      </c>
      <c r="C513" s="17">
        <v>2024</v>
      </c>
      <c r="D513" s="14" t="s">
        <v>33</v>
      </c>
      <c r="E513" s="15" t="s">
        <v>436</v>
      </c>
      <c r="F513" s="16">
        <f t="shared" si="14"/>
        <v>1</v>
      </c>
      <c r="G513" s="15" t="s">
        <v>433</v>
      </c>
      <c r="H513" s="18" t="s">
        <v>441</v>
      </c>
      <c r="I513" s="19">
        <v>11</v>
      </c>
      <c r="J513" s="20">
        <f t="shared" si="15"/>
        <v>9.0909090909090912E-2</v>
      </c>
    </row>
    <row r="514" spans="1:10" ht="28.8">
      <c r="A514" s="16">
        <v>513</v>
      </c>
      <c r="B514" s="15" t="s">
        <v>5133</v>
      </c>
      <c r="C514" s="17">
        <v>2024</v>
      </c>
      <c r="D514" s="14" t="s">
        <v>33</v>
      </c>
      <c r="E514" s="15" t="s">
        <v>5135</v>
      </c>
      <c r="F514" s="16">
        <f t="shared" ref="F514:F577" si="16">IF($G514="",0,LEN($G514)-LEN(SUBSTITUTE($G514,"|",""))+1)</f>
        <v>1</v>
      </c>
      <c r="G514" s="15" t="s">
        <v>5132</v>
      </c>
      <c r="H514" s="18" t="s">
        <v>5140</v>
      </c>
      <c r="I514" s="19">
        <v>2</v>
      </c>
      <c r="J514" s="20">
        <f t="shared" ref="J514:J577" si="17">IFERROR(F514/I514,"")</f>
        <v>0.5</v>
      </c>
    </row>
    <row r="515" spans="1:10" ht="28.8">
      <c r="A515" s="16">
        <v>514</v>
      </c>
      <c r="B515" s="15" t="s">
        <v>401</v>
      </c>
      <c r="C515" s="17">
        <v>2024</v>
      </c>
      <c r="D515" s="14" t="s">
        <v>33</v>
      </c>
      <c r="E515" s="15" t="s">
        <v>403</v>
      </c>
      <c r="F515" s="16">
        <f t="shared" si="16"/>
        <v>1</v>
      </c>
      <c r="G515" s="15" t="s">
        <v>325</v>
      </c>
      <c r="H515" s="18" t="s">
        <v>407</v>
      </c>
      <c r="I515" s="19">
        <v>9</v>
      </c>
      <c r="J515" s="20">
        <f t="shared" si="17"/>
        <v>0.1111111111111111</v>
      </c>
    </row>
    <row r="516" spans="1:10" ht="28.8">
      <c r="A516" s="16">
        <v>515</v>
      </c>
      <c r="B516" s="15" t="s">
        <v>165</v>
      </c>
      <c r="C516" s="17">
        <v>2024</v>
      </c>
      <c r="D516" s="14" t="s">
        <v>33</v>
      </c>
      <c r="E516" s="15" t="s">
        <v>167</v>
      </c>
      <c r="F516" s="16">
        <f t="shared" si="16"/>
        <v>1</v>
      </c>
      <c r="G516" s="15" t="s">
        <v>164</v>
      </c>
      <c r="H516" s="18" t="s">
        <v>172</v>
      </c>
      <c r="I516" s="19">
        <v>9</v>
      </c>
      <c r="J516" s="20">
        <f t="shared" si="17"/>
        <v>0.1111111111111111</v>
      </c>
    </row>
    <row r="517" spans="1:10">
      <c r="A517" s="16">
        <v>516</v>
      </c>
      <c r="B517" s="15" t="s">
        <v>4230</v>
      </c>
      <c r="C517" s="17">
        <v>2024</v>
      </c>
      <c r="D517" s="14" t="s">
        <v>33</v>
      </c>
      <c r="E517" s="15" t="s">
        <v>4232</v>
      </c>
      <c r="F517" s="16">
        <f t="shared" si="16"/>
        <v>1</v>
      </c>
      <c r="G517" s="15" t="s">
        <v>1051</v>
      </c>
      <c r="H517" s="18" t="s">
        <v>4236</v>
      </c>
      <c r="I517" s="19">
        <v>3</v>
      </c>
      <c r="J517" s="20">
        <f t="shared" si="17"/>
        <v>0.33333333333333331</v>
      </c>
    </row>
    <row r="518" spans="1:10">
      <c r="A518" s="16">
        <v>517</v>
      </c>
      <c r="B518" s="15" t="s">
        <v>2403</v>
      </c>
      <c r="C518" s="17">
        <v>2024</v>
      </c>
      <c r="D518" s="14" t="s">
        <v>33</v>
      </c>
      <c r="E518" s="15" t="s">
        <v>2405</v>
      </c>
      <c r="F518" s="16">
        <f t="shared" si="16"/>
        <v>3</v>
      </c>
      <c r="G518" s="15" t="s">
        <v>6003</v>
      </c>
      <c r="H518" s="18" t="s">
        <v>2409</v>
      </c>
      <c r="I518" s="19">
        <v>5</v>
      </c>
      <c r="J518" s="20">
        <f t="shared" si="17"/>
        <v>0.6</v>
      </c>
    </row>
    <row r="519" spans="1:10">
      <c r="A519" s="16">
        <v>518</v>
      </c>
      <c r="B519" s="15" t="s">
        <v>1607</v>
      </c>
      <c r="C519" s="17">
        <v>2024</v>
      </c>
      <c r="D519" s="14" t="s">
        <v>1125</v>
      </c>
      <c r="E519" s="15" t="s">
        <v>1608</v>
      </c>
      <c r="F519" s="16">
        <f t="shared" si="16"/>
        <v>1</v>
      </c>
      <c r="G519" s="15" t="s">
        <v>128</v>
      </c>
      <c r="H519" s="15" t="s">
        <v>43</v>
      </c>
      <c r="I519" s="19">
        <v>3</v>
      </c>
      <c r="J519" s="20">
        <f t="shared" si="17"/>
        <v>0.33333333333333331</v>
      </c>
    </row>
    <row r="520" spans="1:10" ht="28.8">
      <c r="A520" s="16">
        <v>519</v>
      </c>
      <c r="B520" s="15" t="s">
        <v>5077</v>
      </c>
      <c r="C520" s="17">
        <v>2024</v>
      </c>
      <c r="D520" s="14" t="s">
        <v>644</v>
      </c>
      <c r="E520" s="15" t="s">
        <v>5079</v>
      </c>
      <c r="F520" s="16">
        <f t="shared" si="16"/>
        <v>1</v>
      </c>
      <c r="G520" s="15" t="s">
        <v>1480</v>
      </c>
      <c r="H520" s="18" t="s">
        <v>5082</v>
      </c>
      <c r="I520" s="19">
        <v>1</v>
      </c>
      <c r="J520" s="20">
        <f t="shared" si="17"/>
        <v>1</v>
      </c>
    </row>
    <row r="521" spans="1:10" ht="28.8">
      <c r="A521" s="16">
        <v>520</v>
      </c>
      <c r="B521" s="15" t="s">
        <v>1101</v>
      </c>
      <c r="C521" s="17">
        <v>2024</v>
      </c>
      <c r="D521" s="14" t="s">
        <v>644</v>
      </c>
      <c r="E521" s="15" t="s">
        <v>638</v>
      </c>
      <c r="F521" s="16">
        <f t="shared" si="16"/>
        <v>1</v>
      </c>
      <c r="G521" s="15" t="s">
        <v>1100</v>
      </c>
      <c r="H521" s="18" t="s">
        <v>1104</v>
      </c>
      <c r="I521" s="19">
        <v>4</v>
      </c>
      <c r="J521" s="20">
        <f t="shared" si="17"/>
        <v>0.25</v>
      </c>
    </row>
    <row r="522" spans="1:10" ht="28.8">
      <c r="A522" s="16">
        <v>521</v>
      </c>
      <c r="B522" s="15" t="s">
        <v>5110</v>
      </c>
      <c r="C522" s="17">
        <v>2024</v>
      </c>
      <c r="D522" s="14" t="s">
        <v>33</v>
      </c>
      <c r="E522" s="15" t="s">
        <v>2912</v>
      </c>
      <c r="F522" s="16">
        <f t="shared" si="16"/>
        <v>1</v>
      </c>
      <c r="G522" s="15" t="s">
        <v>39</v>
      </c>
      <c r="H522" s="18" t="s">
        <v>5113</v>
      </c>
      <c r="I522" s="19">
        <v>3</v>
      </c>
      <c r="J522" s="20">
        <f t="shared" si="17"/>
        <v>0.33333333333333331</v>
      </c>
    </row>
    <row r="523" spans="1:10" ht="28.8">
      <c r="A523" s="16">
        <v>522</v>
      </c>
      <c r="B523" s="15" t="s">
        <v>608</v>
      </c>
      <c r="C523" s="17">
        <v>2024</v>
      </c>
      <c r="D523" s="14" t="s">
        <v>33</v>
      </c>
      <c r="E523" s="15" t="s">
        <v>610</v>
      </c>
      <c r="F523" s="16">
        <f t="shared" si="16"/>
        <v>1</v>
      </c>
      <c r="G523" s="15" t="s">
        <v>39</v>
      </c>
      <c r="H523" s="18" t="s">
        <v>616</v>
      </c>
      <c r="I523" s="19">
        <v>5</v>
      </c>
      <c r="J523" s="20">
        <f t="shared" si="17"/>
        <v>0.2</v>
      </c>
    </row>
    <row r="524" spans="1:10" ht="28.8">
      <c r="A524" s="16">
        <v>523</v>
      </c>
      <c r="B524" s="15" t="s">
        <v>4200</v>
      </c>
      <c r="C524" s="17">
        <v>2024</v>
      </c>
      <c r="D524" s="14" t="s">
        <v>33</v>
      </c>
      <c r="E524" s="15" t="s">
        <v>3692</v>
      </c>
      <c r="F524" s="16">
        <f t="shared" si="16"/>
        <v>2</v>
      </c>
      <c r="G524" s="15" t="s">
        <v>6004</v>
      </c>
      <c r="H524" s="18" t="s">
        <v>4204</v>
      </c>
      <c r="I524" s="19">
        <v>3</v>
      </c>
      <c r="J524" s="20">
        <f t="shared" si="17"/>
        <v>0.66666666666666663</v>
      </c>
    </row>
    <row r="525" spans="1:10" ht="43.2">
      <c r="A525" s="16">
        <v>524</v>
      </c>
      <c r="B525" s="15" t="s">
        <v>1062</v>
      </c>
      <c r="C525" s="17">
        <v>2024</v>
      </c>
      <c r="D525" s="14" t="s">
        <v>49</v>
      </c>
      <c r="E525" s="15" t="s">
        <v>889</v>
      </c>
      <c r="F525" s="16">
        <f t="shared" si="16"/>
        <v>1</v>
      </c>
      <c r="G525" s="15" t="s">
        <v>1061</v>
      </c>
      <c r="H525" s="18" t="s">
        <v>1064</v>
      </c>
      <c r="I525" s="19">
        <v>11</v>
      </c>
      <c r="J525" s="20">
        <f t="shared" si="17"/>
        <v>9.0909090909090912E-2</v>
      </c>
    </row>
    <row r="526" spans="1:10" ht="28.8">
      <c r="A526" s="16">
        <v>525</v>
      </c>
      <c r="B526" s="15" t="s">
        <v>4833</v>
      </c>
      <c r="C526" s="17">
        <v>2024</v>
      </c>
      <c r="D526" s="14" t="s">
        <v>1125</v>
      </c>
      <c r="E526" s="15" t="s">
        <v>4835</v>
      </c>
      <c r="F526" s="16">
        <f t="shared" si="16"/>
        <v>1</v>
      </c>
      <c r="G526" s="15" t="s">
        <v>128</v>
      </c>
      <c r="H526" s="18" t="s">
        <v>4837</v>
      </c>
      <c r="I526" s="19">
        <v>4</v>
      </c>
      <c r="J526" s="20">
        <f t="shared" si="17"/>
        <v>0.25</v>
      </c>
    </row>
    <row r="527" spans="1:10">
      <c r="A527" s="16">
        <v>526</v>
      </c>
      <c r="B527" s="15" t="s">
        <v>179</v>
      </c>
      <c r="C527" s="17">
        <v>2024</v>
      </c>
      <c r="D527" s="14" t="s">
        <v>49</v>
      </c>
      <c r="E527" s="15" t="s">
        <v>181</v>
      </c>
      <c r="F527" s="16">
        <f t="shared" si="16"/>
        <v>1</v>
      </c>
      <c r="G527" s="15" t="s">
        <v>178</v>
      </c>
      <c r="H527" s="18" t="s">
        <v>186</v>
      </c>
      <c r="I527" s="19">
        <v>2</v>
      </c>
      <c r="J527" s="20">
        <f t="shared" si="17"/>
        <v>0.5</v>
      </c>
    </row>
    <row r="528" spans="1:10">
      <c r="A528" s="16">
        <v>527</v>
      </c>
      <c r="B528" s="15" t="s">
        <v>2369</v>
      </c>
      <c r="C528" s="17">
        <v>2024</v>
      </c>
      <c r="D528" s="14" t="s">
        <v>33</v>
      </c>
      <c r="E528" s="15" t="s">
        <v>2371</v>
      </c>
      <c r="F528" s="16">
        <f t="shared" si="16"/>
        <v>1</v>
      </c>
      <c r="G528" s="15" t="s">
        <v>897</v>
      </c>
      <c r="H528" s="18" t="s">
        <v>2374</v>
      </c>
      <c r="I528" s="19">
        <v>5</v>
      </c>
      <c r="J528" s="20">
        <f t="shared" si="17"/>
        <v>0.2</v>
      </c>
    </row>
    <row r="529" spans="1:10">
      <c r="A529" s="16">
        <v>528</v>
      </c>
      <c r="B529" s="15" t="s">
        <v>3681</v>
      </c>
      <c r="C529" s="17">
        <v>2024</v>
      </c>
      <c r="D529" s="14" t="s">
        <v>644</v>
      </c>
      <c r="E529" s="15" t="s">
        <v>2912</v>
      </c>
      <c r="F529" s="16">
        <f t="shared" si="16"/>
        <v>3</v>
      </c>
      <c r="G529" s="15" t="s">
        <v>6005</v>
      </c>
      <c r="H529" s="18" t="s">
        <v>3686</v>
      </c>
      <c r="I529" s="19">
        <v>3</v>
      </c>
      <c r="J529" s="20">
        <f t="shared" si="17"/>
        <v>1</v>
      </c>
    </row>
    <row r="530" spans="1:10" ht="28.8">
      <c r="A530" s="16">
        <v>529</v>
      </c>
      <c r="B530" s="15" t="s">
        <v>4918</v>
      </c>
      <c r="C530" s="17">
        <v>2024</v>
      </c>
      <c r="D530" s="14" t="s">
        <v>33</v>
      </c>
      <c r="E530" s="15" t="s">
        <v>2392</v>
      </c>
      <c r="F530" s="16">
        <f t="shared" si="16"/>
        <v>2</v>
      </c>
      <c r="G530" s="15" t="s">
        <v>6006</v>
      </c>
      <c r="H530" s="18" t="s">
        <v>4921</v>
      </c>
      <c r="I530" s="19">
        <v>2</v>
      </c>
      <c r="J530" s="20">
        <f t="shared" si="17"/>
        <v>1</v>
      </c>
    </row>
    <row r="531" spans="1:10" ht="28.8">
      <c r="A531" s="16">
        <v>530</v>
      </c>
      <c r="B531" s="15" t="s">
        <v>5267</v>
      </c>
      <c r="C531" s="17">
        <v>2024</v>
      </c>
      <c r="D531" s="14" t="s">
        <v>33</v>
      </c>
      <c r="E531" s="15" t="s">
        <v>3473</v>
      </c>
      <c r="F531" s="16">
        <f t="shared" si="16"/>
        <v>2</v>
      </c>
      <c r="G531" s="15" t="s">
        <v>6007</v>
      </c>
      <c r="H531" s="18" t="s">
        <v>5269</v>
      </c>
      <c r="I531" s="19">
        <v>2</v>
      </c>
      <c r="J531" s="20">
        <f t="shared" si="17"/>
        <v>1</v>
      </c>
    </row>
    <row r="532" spans="1:10">
      <c r="A532" s="16">
        <v>531</v>
      </c>
      <c r="B532" s="15" t="s">
        <v>595</v>
      </c>
      <c r="C532" s="17">
        <v>2024</v>
      </c>
      <c r="D532" s="14" t="s">
        <v>33</v>
      </c>
      <c r="E532" s="15" t="s">
        <v>597</v>
      </c>
      <c r="F532" s="16">
        <v>1</v>
      </c>
      <c r="G532" s="15" t="s">
        <v>789</v>
      </c>
      <c r="H532" s="18" t="s">
        <v>602</v>
      </c>
      <c r="I532" s="19">
        <v>19</v>
      </c>
      <c r="J532" s="20">
        <f t="shared" si="17"/>
        <v>5.2631578947368418E-2</v>
      </c>
    </row>
    <row r="533" spans="1:10" ht="43.2">
      <c r="A533" s="16">
        <v>532</v>
      </c>
      <c r="B533" s="15" t="s">
        <v>3366</v>
      </c>
      <c r="C533" s="17">
        <v>2024</v>
      </c>
      <c r="D533" s="14" t="s">
        <v>33</v>
      </c>
      <c r="E533" s="15" t="s">
        <v>3368</v>
      </c>
      <c r="F533" s="16">
        <f t="shared" si="16"/>
        <v>4</v>
      </c>
      <c r="G533" s="15" t="s">
        <v>6008</v>
      </c>
      <c r="H533" s="18" t="s">
        <v>3371</v>
      </c>
      <c r="I533" s="19">
        <v>4</v>
      </c>
      <c r="J533" s="20">
        <f t="shared" si="17"/>
        <v>1</v>
      </c>
    </row>
    <row r="534" spans="1:10" ht="28.8">
      <c r="A534" s="16">
        <v>533</v>
      </c>
      <c r="B534" s="15" t="s">
        <v>2256</v>
      </c>
      <c r="C534" s="17">
        <v>2024</v>
      </c>
      <c r="D534" s="14" t="s">
        <v>33</v>
      </c>
      <c r="E534" s="15" t="s">
        <v>167</v>
      </c>
      <c r="F534" s="16">
        <f t="shared" si="16"/>
        <v>1</v>
      </c>
      <c r="G534" s="15" t="s">
        <v>2255</v>
      </c>
      <c r="H534" s="18" t="s">
        <v>2260</v>
      </c>
      <c r="I534" s="19">
        <v>6</v>
      </c>
      <c r="J534" s="20">
        <f t="shared" si="17"/>
        <v>0.16666666666666666</v>
      </c>
    </row>
    <row r="535" spans="1:10" ht="28.8">
      <c r="A535" s="16">
        <v>534</v>
      </c>
      <c r="B535" s="15" t="s">
        <v>1420</v>
      </c>
      <c r="C535" s="17">
        <v>2024</v>
      </c>
      <c r="D535" s="14" t="s">
        <v>1125</v>
      </c>
      <c r="E535" s="15" t="s">
        <v>1421</v>
      </c>
      <c r="F535" s="16">
        <f t="shared" si="16"/>
        <v>1</v>
      </c>
      <c r="G535" s="15" t="s">
        <v>128</v>
      </c>
      <c r="H535" s="15" t="s">
        <v>43</v>
      </c>
      <c r="I535" s="19">
        <v>3</v>
      </c>
      <c r="J535" s="20">
        <f t="shared" si="17"/>
        <v>0.33333333333333331</v>
      </c>
    </row>
    <row r="536" spans="1:10">
      <c r="A536" s="16">
        <v>535</v>
      </c>
      <c r="B536" s="15" t="s">
        <v>2516</v>
      </c>
      <c r="C536" s="17">
        <v>2024</v>
      </c>
      <c r="D536" s="14" t="s">
        <v>33</v>
      </c>
      <c r="E536" s="15" t="s">
        <v>2518</v>
      </c>
      <c r="F536" s="16">
        <f t="shared" si="16"/>
        <v>1</v>
      </c>
      <c r="G536" s="15" t="s">
        <v>622</v>
      </c>
      <c r="H536" s="18" t="s">
        <v>2524</v>
      </c>
      <c r="I536" s="19">
        <v>6</v>
      </c>
      <c r="J536" s="20">
        <f t="shared" si="17"/>
        <v>0.16666666666666666</v>
      </c>
    </row>
    <row r="537" spans="1:10" ht="28.8">
      <c r="A537" s="16">
        <v>536</v>
      </c>
      <c r="B537" s="15" t="s">
        <v>1771</v>
      </c>
      <c r="C537" s="17">
        <v>2024</v>
      </c>
      <c r="D537" s="14" t="s">
        <v>33</v>
      </c>
      <c r="E537" s="15" t="s">
        <v>1773</v>
      </c>
      <c r="F537" s="16">
        <f t="shared" si="16"/>
        <v>1</v>
      </c>
      <c r="G537" s="15" t="s">
        <v>1644</v>
      </c>
      <c r="H537" s="18" t="s">
        <v>1776</v>
      </c>
      <c r="I537" s="19">
        <v>3</v>
      </c>
      <c r="J537" s="20">
        <f t="shared" si="17"/>
        <v>0.33333333333333331</v>
      </c>
    </row>
    <row r="538" spans="1:10">
      <c r="A538" s="16">
        <v>537</v>
      </c>
      <c r="B538" s="15" t="s">
        <v>812</v>
      </c>
      <c r="C538" s="17">
        <v>2024</v>
      </c>
      <c r="D538" s="14" t="s">
        <v>33</v>
      </c>
      <c r="E538" s="15" t="s">
        <v>814</v>
      </c>
      <c r="F538" s="16">
        <f t="shared" si="16"/>
        <v>1</v>
      </c>
      <c r="G538" s="15" t="s">
        <v>811</v>
      </c>
      <c r="H538" s="18" t="s">
        <v>817</v>
      </c>
      <c r="I538" s="19">
        <v>2</v>
      </c>
      <c r="J538" s="20">
        <f t="shared" si="17"/>
        <v>0.5</v>
      </c>
    </row>
    <row r="539" spans="1:10">
      <c r="A539" s="16">
        <v>538</v>
      </c>
      <c r="B539" s="15" t="s">
        <v>1130</v>
      </c>
      <c r="C539" s="17">
        <v>2024</v>
      </c>
      <c r="D539" s="14" t="s">
        <v>33</v>
      </c>
      <c r="E539" s="15" t="s">
        <v>1132</v>
      </c>
      <c r="F539" s="16">
        <f t="shared" si="16"/>
        <v>1</v>
      </c>
      <c r="G539" s="15" t="s">
        <v>1129</v>
      </c>
      <c r="H539" s="18" t="s">
        <v>1138</v>
      </c>
      <c r="I539" s="19">
        <v>4</v>
      </c>
      <c r="J539" s="20">
        <f t="shared" si="17"/>
        <v>0.25</v>
      </c>
    </row>
    <row r="540" spans="1:10" ht="28.8">
      <c r="A540" s="16">
        <v>539</v>
      </c>
      <c r="B540" s="15" t="s">
        <v>2294</v>
      </c>
      <c r="C540" s="17">
        <v>2024</v>
      </c>
      <c r="D540" s="14" t="s">
        <v>33</v>
      </c>
      <c r="E540" s="15" t="s">
        <v>167</v>
      </c>
      <c r="F540" s="16">
        <f t="shared" si="16"/>
        <v>1</v>
      </c>
      <c r="G540" s="15" t="s">
        <v>265</v>
      </c>
      <c r="H540" s="18" t="s">
        <v>2298</v>
      </c>
      <c r="I540" s="19">
        <v>8</v>
      </c>
      <c r="J540" s="20">
        <f t="shared" si="17"/>
        <v>0.125</v>
      </c>
    </row>
    <row r="541" spans="1:10" ht="28.8">
      <c r="A541" s="16">
        <v>540</v>
      </c>
      <c r="B541" s="15" t="s">
        <v>2609</v>
      </c>
      <c r="C541" s="17">
        <v>2024</v>
      </c>
      <c r="D541" s="14" t="s">
        <v>33</v>
      </c>
      <c r="E541" s="15" t="s">
        <v>2611</v>
      </c>
      <c r="F541" s="16">
        <f t="shared" si="16"/>
        <v>1</v>
      </c>
      <c r="G541" s="15" t="s">
        <v>1282</v>
      </c>
      <c r="H541" s="18" t="s">
        <v>2614</v>
      </c>
      <c r="I541" s="19">
        <v>15</v>
      </c>
      <c r="J541" s="20">
        <f t="shared" si="17"/>
        <v>6.6666666666666666E-2</v>
      </c>
    </row>
    <row r="542" spans="1:10" ht="28.8">
      <c r="A542" s="16">
        <v>541</v>
      </c>
      <c r="B542" s="15" t="s">
        <v>1984</v>
      </c>
      <c r="C542" s="17">
        <v>2024</v>
      </c>
      <c r="D542" s="14" t="s">
        <v>33</v>
      </c>
      <c r="E542" s="15" t="s">
        <v>181</v>
      </c>
      <c r="F542" s="16">
        <f t="shared" si="16"/>
        <v>1</v>
      </c>
      <c r="G542" s="15" t="s">
        <v>1983</v>
      </c>
      <c r="H542" s="18" t="s">
        <v>1986</v>
      </c>
      <c r="I542" s="19">
        <v>7</v>
      </c>
      <c r="J542" s="20">
        <f t="shared" si="17"/>
        <v>0.14285714285714285</v>
      </c>
    </row>
    <row r="543" spans="1:10" ht="28.8">
      <c r="A543" s="16">
        <v>542</v>
      </c>
      <c r="B543" s="15" t="s">
        <v>297</v>
      </c>
      <c r="C543" s="17">
        <v>2024</v>
      </c>
      <c r="D543" s="14" t="s">
        <v>33</v>
      </c>
      <c r="E543" s="15" t="s">
        <v>299</v>
      </c>
      <c r="F543" s="16">
        <f t="shared" si="16"/>
        <v>1</v>
      </c>
      <c r="G543" s="15" t="s">
        <v>296</v>
      </c>
      <c r="H543" s="18" t="s">
        <v>305</v>
      </c>
      <c r="I543" s="19">
        <v>3</v>
      </c>
      <c r="J543" s="20">
        <f t="shared" si="17"/>
        <v>0.33333333333333331</v>
      </c>
    </row>
    <row r="544" spans="1:10" ht="28.8">
      <c r="A544" s="16">
        <v>543</v>
      </c>
      <c r="B544" s="15" t="s">
        <v>835</v>
      </c>
      <c r="C544" s="17">
        <v>2024</v>
      </c>
      <c r="D544" s="14" t="s">
        <v>49</v>
      </c>
      <c r="E544" s="15" t="s">
        <v>837</v>
      </c>
      <c r="F544" s="16">
        <f t="shared" si="16"/>
        <v>1</v>
      </c>
      <c r="G544" s="15" t="s">
        <v>834</v>
      </c>
      <c r="H544" s="18" t="s">
        <v>842</v>
      </c>
      <c r="I544" s="19">
        <v>2</v>
      </c>
      <c r="J544" s="20">
        <f t="shared" si="17"/>
        <v>0.5</v>
      </c>
    </row>
    <row r="545" spans="1:10" ht="28.8">
      <c r="A545" s="16">
        <v>544</v>
      </c>
      <c r="B545" s="15" t="s">
        <v>343</v>
      </c>
      <c r="C545" s="17">
        <v>2024</v>
      </c>
      <c r="D545" s="14" t="s">
        <v>33</v>
      </c>
      <c r="E545" s="15" t="s">
        <v>345</v>
      </c>
      <c r="F545" s="16">
        <f t="shared" si="16"/>
        <v>1</v>
      </c>
      <c r="G545" s="15" t="s">
        <v>342</v>
      </c>
      <c r="H545" s="18" t="s">
        <v>350</v>
      </c>
      <c r="I545" s="19">
        <v>10</v>
      </c>
      <c r="J545" s="20">
        <f t="shared" si="17"/>
        <v>0.1</v>
      </c>
    </row>
    <row r="546" spans="1:10" ht="28.8">
      <c r="A546" s="16">
        <v>545</v>
      </c>
      <c r="B546" s="15" t="s">
        <v>1611</v>
      </c>
      <c r="C546" s="17">
        <v>2024</v>
      </c>
      <c r="D546" s="14" t="s">
        <v>49</v>
      </c>
      <c r="E546" s="15" t="s">
        <v>1470</v>
      </c>
      <c r="F546" s="16">
        <f t="shared" si="16"/>
        <v>1</v>
      </c>
      <c r="G546" s="15" t="s">
        <v>276</v>
      </c>
      <c r="H546" s="18" t="s">
        <v>1613</v>
      </c>
      <c r="I546" s="19">
        <v>13</v>
      </c>
      <c r="J546" s="20">
        <f t="shared" si="17"/>
        <v>7.6923076923076927E-2</v>
      </c>
    </row>
    <row r="547" spans="1:10" ht="28.8">
      <c r="A547" s="16">
        <v>546</v>
      </c>
      <c r="B547" s="15" t="s">
        <v>1440</v>
      </c>
      <c r="C547" s="17">
        <v>2024</v>
      </c>
      <c r="D547" s="14" t="s">
        <v>33</v>
      </c>
      <c r="E547" s="15" t="s">
        <v>1442</v>
      </c>
      <c r="F547" s="16">
        <f t="shared" si="16"/>
        <v>1</v>
      </c>
      <c r="G547" s="15" t="s">
        <v>1439</v>
      </c>
      <c r="H547" s="18" t="s">
        <v>1446</v>
      </c>
      <c r="I547" s="19">
        <v>8</v>
      </c>
      <c r="J547" s="20">
        <f t="shared" si="17"/>
        <v>0.125</v>
      </c>
    </row>
    <row r="548" spans="1:10" ht="28.8">
      <c r="A548" s="16">
        <v>547</v>
      </c>
      <c r="B548" s="15" t="s">
        <v>3995</v>
      </c>
      <c r="C548" s="17">
        <v>2024</v>
      </c>
      <c r="D548" s="14" t="s">
        <v>33</v>
      </c>
      <c r="E548" s="15" t="s">
        <v>3997</v>
      </c>
      <c r="F548" s="16">
        <f t="shared" si="16"/>
        <v>1</v>
      </c>
      <c r="G548" s="15" t="s">
        <v>113</v>
      </c>
      <c r="H548" s="18" t="s">
        <v>4002</v>
      </c>
      <c r="I548" s="19">
        <v>8</v>
      </c>
      <c r="J548" s="20">
        <f t="shared" si="17"/>
        <v>0.125</v>
      </c>
    </row>
    <row r="549" spans="1:10" ht="28.8">
      <c r="A549" s="16">
        <v>548</v>
      </c>
      <c r="B549" s="15" t="s">
        <v>4542</v>
      </c>
      <c r="C549" s="17">
        <v>2024</v>
      </c>
      <c r="D549" s="14" t="s">
        <v>33</v>
      </c>
      <c r="E549" s="15" t="s">
        <v>4544</v>
      </c>
      <c r="F549" s="16">
        <f t="shared" si="16"/>
        <v>2</v>
      </c>
      <c r="G549" s="15" t="s">
        <v>6009</v>
      </c>
      <c r="H549" s="18" t="s">
        <v>4549</v>
      </c>
      <c r="I549" s="19">
        <v>4</v>
      </c>
      <c r="J549" s="20">
        <f t="shared" si="17"/>
        <v>0.5</v>
      </c>
    </row>
    <row r="550" spans="1:10">
      <c r="A550" s="16">
        <v>549</v>
      </c>
      <c r="B550" s="15" t="s">
        <v>3252</v>
      </c>
      <c r="C550" s="17">
        <v>2024</v>
      </c>
      <c r="D550" s="14" t="s">
        <v>3257</v>
      </c>
      <c r="E550" s="15" t="s">
        <v>3252</v>
      </c>
      <c r="F550" s="16">
        <f t="shared" si="16"/>
        <v>1</v>
      </c>
      <c r="G550" s="15" t="s">
        <v>3251</v>
      </c>
      <c r="H550" s="18" t="s">
        <v>3256</v>
      </c>
      <c r="I550" s="19">
        <v>2</v>
      </c>
      <c r="J550" s="20">
        <f t="shared" si="17"/>
        <v>0.5</v>
      </c>
    </row>
    <row r="551" spans="1:10" ht="28.8">
      <c r="A551" s="16">
        <v>550</v>
      </c>
      <c r="B551" s="15" t="s">
        <v>2267</v>
      </c>
      <c r="C551" s="17">
        <v>2024</v>
      </c>
      <c r="D551" s="14" t="s">
        <v>49</v>
      </c>
      <c r="E551" s="15" t="s">
        <v>1470</v>
      </c>
      <c r="F551" s="16">
        <f t="shared" si="16"/>
        <v>1</v>
      </c>
      <c r="G551" s="15" t="s">
        <v>2266</v>
      </c>
      <c r="H551" s="18" t="s">
        <v>2269</v>
      </c>
      <c r="I551" s="19">
        <v>11</v>
      </c>
      <c r="J551" s="20">
        <f t="shared" si="17"/>
        <v>9.0909090909090912E-2</v>
      </c>
    </row>
    <row r="552" spans="1:10" ht="28.8">
      <c r="A552" s="16">
        <v>551</v>
      </c>
      <c r="B552" s="15" t="s">
        <v>2343</v>
      </c>
      <c r="C552" s="17">
        <v>2024</v>
      </c>
      <c r="D552" s="14" t="s">
        <v>33</v>
      </c>
      <c r="E552" s="15" t="s">
        <v>651</v>
      </c>
      <c r="F552" s="16">
        <f t="shared" si="16"/>
        <v>1</v>
      </c>
      <c r="G552" s="15" t="s">
        <v>2342</v>
      </c>
      <c r="H552" s="18" t="s">
        <v>2345</v>
      </c>
      <c r="I552" s="19">
        <v>7</v>
      </c>
      <c r="J552" s="20">
        <f t="shared" si="17"/>
        <v>0.14285714285714285</v>
      </c>
    </row>
    <row r="553" spans="1:10" ht="28.8">
      <c r="A553" s="16">
        <v>552</v>
      </c>
      <c r="B553" s="15" t="s">
        <v>2002</v>
      </c>
      <c r="C553" s="17">
        <v>2024</v>
      </c>
      <c r="D553" s="14" t="s">
        <v>49</v>
      </c>
      <c r="E553" s="15" t="s">
        <v>889</v>
      </c>
      <c r="F553" s="16">
        <f t="shared" si="16"/>
        <v>1</v>
      </c>
      <c r="G553" s="15" t="s">
        <v>1282</v>
      </c>
      <c r="H553" s="18" t="s">
        <v>2004</v>
      </c>
      <c r="I553" s="19">
        <v>9</v>
      </c>
      <c r="J553" s="20">
        <f t="shared" si="17"/>
        <v>0.1111111111111111</v>
      </c>
    </row>
    <row r="554" spans="1:10" ht="28.8">
      <c r="A554" s="16">
        <v>553</v>
      </c>
      <c r="B554" s="15" t="s">
        <v>2998</v>
      </c>
      <c r="C554" s="17">
        <v>2024</v>
      </c>
      <c r="D554" s="14" t="s">
        <v>33</v>
      </c>
      <c r="E554" s="15" t="s">
        <v>3000</v>
      </c>
      <c r="F554" s="16">
        <f t="shared" si="16"/>
        <v>1</v>
      </c>
      <c r="G554" s="15" t="s">
        <v>2997</v>
      </c>
      <c r="H554" s="18" t="s">
        <v>3003</v>
      </c>
      <c r="I554" s="19">
        <v>1</v>
      </c>
      <c r="J554" s="20">
        <f t="shared" si="17"/>
        <v>1</v>
      </c>
    </row>
    <row r="555" spans="1:10" ht="28.8">
      <c r="A555" s="16">
        <v>554</v>
      </c>
      <c r="B555" s="15" t="s">
        <v>482</v>
      </c>
      <c r="C555" s="17">
        <v>2024</v>
      </c>
      <c r="D555" s="14" t="s">
        <v>33</v>
      </c>
      <c r="E555" s="15" t="s">
        <v>357</v>
      </c>
      <c r="F555" s="16">
        <f t="shared" si="16"/>
        <v>1</v>
      </c>
      <c r="G555" s="15" t="s">
        <v>22</v>
      </c>
      <c r="H555" s="18" t="s">
        <v>487</v>
      </c>
      <c r="I555" s="19">
        <v>10</v>
      </c>
      <c r="J555" s="20">
        <f t="shared" si="17"/>
        <v>0.1</v>
      </c>
    </row>
    <row r="556" spans="1:10" ht="28.8">
      <c r="A556" s="16">
        <v>555</v>
      </c>
      <c r="B556" s="15" t="s">
        <v>2573</v>
      </c>
      <c r="C556" s="17">
        <v>2024</v>
      </c>
      <c r="D556" s="14" t="s">
        <v>1125</v>
      </c>
      <c r="E556" s="15" t="s">
        <v>2575</v>
      </c>
      <c r="F556" s="16">
        <f t="shared" si="16"/>
        <v>1</v>
      </c>
      <c r="G556" s="15" t="s">
        <v>2572</v>
      </c>
      <c r="H556" s="18" t="s">
        <v>2578</v>
      </c>
      <c r="I556" s="19">
        <v>1</v>
      </c>
      <c r="J556" s="20">
        <f t="shared" si="17"/>
        <v>1</v>
      </c>
    </row>
    <row r="557" spans="1:10">
      <c r="A557" s="16">
        <v>556</v>
      </c>
      <c r="B557" s="15" t="s">
        <v>3351</v>
      </c>
      <c r="C557" s="17">
        <v>2024</v>
      </c>
      <c r="D557" s="14" t="s">
        <v>49</v>
      </c>
      <c r="E557" s="15" t="s">
        <v>3353</v>
      </c>
      <c r="F557" s="16">
        <f t="shared" si="16"/>
        <v>2</v>
      </c>
      <c r="G557" s="15" t="s">
        <v>6010</v>
      </c>
      <c r="H557" s="18" t="s">
        <v>3360</v>
      </c>
      <c r="I557" s="19">
        <v>6</v>
      </c>
      <c r="J557" s="20">
        <f t="shared" si="17"/>
        <v>0.33333333333333331</v>
      </c>
    </row>
    <row r="558" spans="1:10">
      <c r="A558" s="16">
        <v>557</v>
      </c>
      <c r="B558" s="15" t="s">
        <v>5814</v>
      </c>
      <c r="C558" s="17">
        <v>2024</v>
      </c>
      <c r="D558" s="14" t="s">
        <v>644</v>
      </c>
      <c r="E558" s="15" t="s">
        <v>5816</v>
      </c>
      <c r="F558" s="16">
        <f t="shared" si="16"/>
        <v>1</v>
      </c>
      <c r="G558" s="15" t="s">
        <v>5813</v>
      </c>
      <c r="H558" s="18" t="s">
        <v>5821</v>
      </c>
      <c r="I558" s="19">
        <v>6</v>
      </c>
      <c r="J558" s="20">
        <f t="shared" si="17"/>
        <v>0.16666666666666666</v>
      </c>
    </row>
    <row r="559" spans="1:10" ht="28.8">
      <c r="A559" s="16">
        <v>558</v>
      </c>
      <c r="B559" s="15" t="s">
        <v>5228</v>
      </c>
      <c r="C559" s="17">
        <v>2024</v>
      </c>
      <c r="D559" s="14" t="s">
        <v>33</v>
      </c>
      <c r="E559" s="15" t="s">
        <v>3389</v>
      </c>
      <c r="F559" s="16">
        <f t="shared" si="16"/>
        <v>3</v>
      </c>
      <c r="G559" s="15" t="s">
        <v>6011</v>
      </c>
      <c r="H559" s="18" t="s">
        <v>5230</v>
      </c>
      <c r="I559" s="19">
        <v>3</v>
      </c>
      <c r="J559" s="20">
        <f t="shared" si="17"/>
        <v>1</v>
      </c>
    </row>
    <row r="560" spans="1:10">
      <c r="A560" s="16">
        <v>559</v>
      </c>
      <c r="B560" s="15" t="s">
        <v>2684</v>
      </c>
      <c r="C560" s="17">
        <v>2024</v>
      </c>
      <c r="D560" s="14" t="s">
        <v>33</v>
      </c>
      <c r="E560" s="15" t="s">
        <v>2509</v>
      </c>
      <c r="F560" s="16">
        <f t="shared" si="16"/>
        <v>1</v>
      </c>
      <c r="G560" s="15" t="s">
        <v>2683</v>
      </c>
      <c r="H560" s="18" t="s">
        <v>2687</v>
      </c>
      <c r="I560" s="19">
        <v>2</v>
      </c>
      <c r="J560" s="20">
        <f t="shared" si="17"/>
        <v>0.5</v>
      </c>
    </row>
    <row r="561" spans="1:10" ht="28.8">
      <c r="A561" s="16">
        <v>560</v>
      </c>
      <c r="B561" s="15" t="s">
        <v>2479</v>
      </c>
      <c r="C561" s="17">
        <v>2024</v>
      </c>
      <c r="D561" s="14" t="s">
        <v>33</v>
      </c>
      <c r="E561" s="15" t="s">
        <v>2481</v>
      </c>
      <c r="F561" s="16">
        <f t="shared" si="16"/>
        <v>1</v>
      </c>
      <c r="G561" s="15" t="s">
        <v>2478</v>
      </c>
      <c r="H561" s="18" t="s">
        <v>2486</v>
      </c>
      <c r="I561" s="19">
        <v>10</v>
      </c>
      <c r="J561" s="20">
        <f t="shared" si="17"/>
        <v>0.1</v>
      </c>
    </row>
    <row r="562" spans="1:10" ht="28.8">
      <c r="A562" s="16">
        <v>561</v>
      </c>
      <c r="B562" s="15" t="s">
        <v>5037</v>
      </c>
      <c r="C562" s="17">
        <v>2024</v>
      </c>
      <c r="D562" s="14" t="s">
        <v>33</v>
      </c>
      <c r="E562" s="15" t="s">
        <v>5039</v>
      </c>
      <c r="F562" s="16">
        <f t="shared" si="16"/>
        <v>1</v>
      </c>
      <c r="G562" s="15" t="s">
        <v>5036</v>
      </c>
      <c r="H562" s="18" t="s">
        <v>5043</v>
      </c>
      <c r="I562" s="19">
        <v>1</v>
      </c>
      <c r="J562" s="20">
        <f t="shared" si="17"/>
        <v>1</v>
      </c>
    </row>
    <row r="563" spans="1:10" ht="28.8">
      <c r="A563" s="16">
        <v>562</v>
      </c>
      <c r="B563" s="15" t="s">
        <v>412</v>
      </c>
      <c r="C563" s="17">
        <v>2024</v>
      </c>
      <c r="D563" s="14" t="s">
        <v>33</v>
      </c>
      <c r="E563" s="15" t="s">
        <v>167</v>
      </c>
      <c r="F563" s="16">
        <f t="shared" si="16"/>
        <v>1</v>
      </c>
      <c r="G563" s="15" t="s">
        <v>164</v>
      </c>
      <c r="H563" s="18" t="s">
        <v>416</v>
      </c>
      <c r="I563" s="19">
        <v>35</v>
      </c>
      <c r="J563" s="20">
        <f t="shared" si="17"/>
        <v>2.8571428571428571E-2</v>
      </c>
    </row>
    <row r="564" spans="1:10" ht="28.8">
      <c r="A564" s="16">
        <v>563</v>
      </c>
      <c r="B564" s="15" t="s">
        <v>1528</v>
      </c>
      <c r="C564" s="17">
        <v>2024</v>
      </c>
      <c r="D564" s="14" t="s">
        <v>33</v>
      </c>
      <c r="E564" s="15" t="s">
        <v>1530</v>
      </c>
      <c r="F564" s="16">
        <f t="shared" si="16"/>
        <v>1</v>
      </c>
      <c r="G564" s="15" t="s">
        <v>1527</v>
      </c>
      <c r="H564" s="18" t="s">
        <v>1534</v>
      </c>
      <c r="I564" s="19">
        <v>3</v>
      </c>
      <c r="J564" s="20">
        <f t="shared" si="17"/>
        <v>0.33333333333333331</v>
      </c>
    </row>
    <row r="565" spans="1:10" ht="28.8">
      <c r="A565" s="16">
        <v>564</v>
      </c>
      <c r="B565" s="15" t="s">
        <v>5425</v>
      </c>
      <c r="C565" s="17">
        <v>2024</v>
      </c>
      <c r="D565" s="14" t="s">
        <v>33</v>
      </c>
      <c r="E565" s="15" t="s">
        <v>5427</v>
      </c>
      <c r="F565" s="16">
        <f t="shared" si="16"/>
        <v>1</v>
      </c>
      <c r="G565" s="15" t="s">
        <v>5424</v>
      </c>
      <c r="H565" s="18" t="s">
        <v>5430</v>
      </c>
      <c r="I565" s="19">
        <v>1</v>
      </c>
      <c r="J565" s="20">
        <f t="shared" si="17"/>
        <v>1</v>
      </c>
    </row>
    <row r="566" spans="1:10">
      <c r="A566" s="16">
        <v>565</v>
      </c>
      <c r="B566" s="15" t="s">
        <v>387</v>
      </c>
      <c r="C566" s="17">
        <v>2024</v>
      </c>
      <c r="D566" s="14" t="s">
        <v>49</v>
      </c>
      <c r="E566" s="15" t="s">
        <v>389</v>
      </c>
      <c r="F566" s="16">
        <f t="shared" si="16"/>
        <v>1</v>
      </c>
      <c r="G566" s="15" t="s">
        <v>386</v>
      </c>
      <c r="H566" s="18" t="s">
        <v>396</v>
      </c>
      <c r="I566" s="19">
        <v>3</v>
      </c>
      <c r="J566" s="20">
        <f t="shared" si="17"/>
        <v>0.33333333333333331</v>
      </c>
    </row>
    <row r="567" spans="1:10">
      <c r="A567" s="16">
        <v>566</v>
      </c>
      <c r="B567" s="15" t="s">
        <v>423</v>
      </c>
      <c r="C567" s="17">
        <v>2024</v>
      </c>
      <c r="D567" s="14" t="s">
        <v>49</v>
      </c>
      <c r="E567" s="15" t="s">
        <v>425</v>
      </c>
      <c r="F567" s="16">
        <f t="shared" si="16"/>
        <v>1</v>
      </c>
      <c r="G567" s="15" t="s">
        <v>422</v>
      </c>
      <c r="H567" s="18" t="s">
        <v>429</v>
      </c>
      <c r="I567" s="19">
        <v>1</v>
      </c>
      <c r="J567" s="20">
        <f t="shared" si="17"/>
        <v>1</v>
      </c>
    </row>
    <row r="568" spans="1:10" ht="28.8">
      <c r="A568" s="16">
        <v>567</v>
      </c>
      <c r="B568" s="15" t="s">
        <v>4471</v>
      </c>
      <c r="C568" s="17">
        <v>2024</v>
      </c>
      <c r="D568" s="14" t="s">
        <v>644</v>
      </c>
      <c r="E568" s="15" t="s">
        <v>2912</v>
      </c>
      <c r="F568" s="16">
        <f t="shared" si="16"/>
        <v>1</v>
      </c>
      <c r="G568" s="15" t="s">
        <v>39</v>
      </c>
      <c r="H568" s="18" t="s">
        <v>4474</v>
      </c>
      <c r="I568" s="19">
        <v>3</v>
      </c>
      <c r="J568" s="20">
        <f t="shared" si="17"/>
        <v>0.33333333333333331</v>
      </c>
    </row>
    <row r="569" spans="1:10" ht="28.8">
      <c r="A569" s="16">
        <v>568</v>
      </c>
      <c r="B569" s="15" t="s">
        <v>3862</v>
      </c>
      <c r="C569" s="17">
        <v>2024</v>
      </c>
      <c r="D569" s="14" t="s">
        <v>49</v>
      </c>
      <c r="E569" s="15" t="s">
        <v>3864</v>
      </c>
      <c r="F569" s="16">
        <f t="shared" si="16"/>
        <v>1</v>
      </c>
      <c r="G569" s="15" t="s">
        <v>3861</v>
      </c>
      <c r="H569" s="18" t="s">
        <v>3870</v>
      </c>
      <c r="I569" s="19">
        <v>7</v>
      </c>
      <c r="J569" s="20">
        <f t="shared" si="17"/>
        <v>0.14285714285714285</v>
      </c>
    </row>
    <row r="570" spans="1:10" ht="28.8">
      <c r="A570" s="16">
        <v>569</v>
      </c>
      <c r="B570" s="15" t="s">
        <v>5054</v>
      </c>
      <c r="C570" s="17">
        <v>2024</v>
      </c>
      <c r="D570" s="14" t="s">
        <v>33</v>
      </c>
      <c r="E570" s="15" t="s">
        <v>5056</v>
      </c>
      <c r="F570" s="16">
        <f t="shared" si="16"/>
        <v>2</v>
      </c>
      <c r="G570" s="15" t="s">
        <v>6012</v>
      </c>
      <c r="H570" s="18" t="s">
        <v>5060</v>
      </c>
      <c r="I570" s="19">
        <v>2</v>
      </c>
      <c r="J570" s="20">
        <f t="shared" si="17"/>
        <v>1</v>
      </c>
    </row>
    <row r="571" spans="1:10">
      <c r="A571" s="16">
        <v>570</v>
      </c>
      <c r="B571" s="15" t="s">
        <v>57</v>
      </c>
      <c r="C571" s="17">
        <v>2024</v>
      </c>
      <c r="D571" s="14" t="s">
        <v>49</v>
      </c>
      <c r="E571" s="15" t="s">
        <v>59</v>
      </c>
      <c r="F571" s="16">
        <f t="shared" si="16"/>
        <v>1</v>
      </c>
      <c r="G571" s="15" t="s">
        <v>56</v>
      </c>
      <c r="H571" s="18" t="s">
        <v>64</v>
      </c>
      <c r="I571" s="19">
        <v>8</v>
      </c>
      <c r="J571" s="20">
        <f t="shared" si="17"/>
        <v>0.125</v>
      </c>
    </row>
    <row r="572" spans="1:10" ht="28.8">
      <c r="A572" s="16">
        <v>571</v>
      </c>
      <c r="B572" s="15" t="s">
        <v>1970</v>
      </c>
      <c r="C572" s="17">
        <v>2024</v>
      </c>
      <c r="D572" s="14" t="s">
        <v>33</v>
      </c>
      <c r="E572" s="15" t="s">
        <v>1972</v>
      </c>
      <c r="F572" s="16">
        <f t="shared" si="16"/>
        <v>1</v>
      </c>
      <c r="G572" s="15" t="s">
        <v>113</v>
      </c>
      <c r="H572" s="18" t="s">
        <v>1978</v>
      </c>
      <c r="I572" s="19">
        <v>5</v>
      </c>
      <c r="J572" s="20">
        <f t="shared" si="17"/>
        <v>0.2</v>
      </c>
    </row>
    <row r="573" spans="1:10">
      <c r="A573" s="16">
        <v>572</v>
      </c>
      <c r="B573" s="15" t="s">
        <v>98</v>
      </c>
      <c r="C573" s="17">
        <v>2024</v>
      </c>
      <c r="D573" s="14" t="s">
        <v>33</v>
      </c>
      <c r="E573" s="15" t="s">
        <v>100</v>
      </c>
      <c r="F573" s="16">
        <f t="shared" si="16"/>
        <v>1</v>
      </c>
      <c r="G573" s="15" t="s">
        <v>97</v>
      </c>
      <c r="H573" s="18" t="s">
        <v>107</v>
      </c>
      <c r="I573" s="19">
        <v>8</v>
      </c>
      <c r="J573" s="20">
        <f t="shared" si="17"/>
        <v>0.125</v>
      </c>
    </row>
    <row r="574" spans="1:10" ht="28.8">
      <c r="A574" s="16">
        <v>573</v>
      </c>
      <c r="B574" s="15" t="s">
        <v>1253</v>
      </c>
      <c r="C574" s="17">
        <v>2024</v>
      </c>
      <c r="D574" s="14" t="s">
        <v>33</v>
      </c>
      <c r="E574" s="15" t="s">
        <v>1255</v>
      </c>
      <c r="F574" s="16">
        <f t="shared" si="16"/>
        <v>2</v>
      </c>
      <c r="G574" s="15" t="s">
        <v>6013</v>
      </c>
      <c r="H574" s="18" t="s">
        <v>1260</v>
      </c>
      <c r="I574" s="19">
        <v>6</v>
      </c>
      <c r="J574" s="20">
        <f t="shared" si="17"/>
        <v>0.33333333333333331</v>
      </c>
    </row>
    <row r="575" spans="1:10">
      <c r="A575" s="16">
        <v>574</v>
      </c>
      <c r="B575" s="15" t="s">
        <v>2286</v>
      </c>
      <c r="C575" s="17">
        <v>2024</v>
      </c>
      <c r="D575" s="14" t="s">
        <v>33</v>
      </c>
      <c r="E575" s="15" t="s">
        <v>1255</v>
      </c>
      <c r="F575" s="16">
        <f t="shared" si="16"/>
        <v>2</v>
      </c>
      <c r="G575" s="15" t="s">
        <v>6014</v>
      </c>
      <c r="H575" s="18" t="s">
        <v>2289</v>
      </c>
      <c r="I575" s="19">
        <v>3</v>
      </c>
      <c r="J575" s="20">
        <f t="shared" si="17"/>
        <v>0.66666666666666663</v>
      </c>
    </row>
    <row r="576" spans="1:10" ht="28.8">
      <c r="A576" s="16">
        <v>575</v>
      </c>
      <c r="B576" s="15" t="s">
        <v>1052</v>
      </c>
      <c r="C576" s="17">
        <v>2024</v>
      </c>
      <c r="D576" s="14" t="s">
        <v>33</v>
      </c>
      <c r="E576" s="15" t="s">
        <v>1054</v>
      </c>
      <c r="F576" s="16">
        <f t="shared" si="16"/>
        <v>1</v>
      </c>
      <c r="G576" s="15" t="s">
        <v>1051</v>
      </c>
      <c r="H576" s="18" t="s">
        <v>1056</v>
      </c>
      <c r="I576" s="19">
        <v>3</v>
      </c>
      <c r="J576" s="20">
        <f t="shared" si="17"/>
        <v>0.33333333333333331</v>
      </c>
    </row>
    <row r="577" spans="1:10">
      <c r="A577" s="16">
        <v>576</v>
      </c>
      <c r="B577" s="15" t="s">
        <v>1155</v>
      </c>
      <c r="C577" s="17">
        <v>2024</v>
      </c>
      <c r="D577" s="14" t="s">
        <v>33</v>
      </c>
      <c r="E577" s="15" t="s">
        <v>1157</v>
      </c>
      <c r="F577" s="16">
        <f t="shared" si="16"/>
        <v>2</v>
      </c>
      <c r="G577" s="15" t="s">
        <v>6015</v>
      </c>
      <c r="H577" s="18" t="s">
        <v>1161</v>
      </c>
      <c r="I577" s="19">
        <v>6</v>
      </c>
      <c r="J577" s="20">
        <f t="shared" si="17"/>
        <v>0.33333333333333331</v>
      </c>
    </row>
    <row r="578" spans="1:10" ht="28.8">
      <c r="A578" s="16">
        <v>577</v>
      </c>
      <c r="B578" s="15" t="s">
        <v>1226</v>
      </c>
      <c r="C578" s="17">
        <v>2024</v>
      </c>
      <c r="D578" s="14" t="s">
        <v>49</v>
      </c>
      <c r="E578" s="15" t="s">
        <v>1228</v>
      </c>
      <c r="F578" s="16">
        <f t="shared" ref="F578:F590" si="18">IF($G578="",0,LEN($G578)-LEN(SUBSTITUTE($G578,"|",""))+1)</f>
        <v>1</v>
      </c>
      <c r="G578" s="15" t="s">
        <v>164</v>
      </c>
      <c r="H578" s="18" t="s">
        <v>1231</v>
      </c>
      <c r="I578" s="19">
        <v>3</v>
      </c>
      <c r="J578" s="20">
        <f t="shared" ref="J578:J590" si="19">IFERROR(F578/I578,"")</f>
        <v>0.33333333333333331</v>
      </c>
    </row>
    <row r="579" spans="1:10" ht="28.8">
      <c r="A579" s="16">
        <v>578</v>
      </c>
      <c r="B579" s="15" t="s">
        <v>1579</v>
      </c>
      <c r="C579" s="17">
        <v>2024</v>
      </c>
      <c r="D579" s="14" t="s">
        <v>49</v>
      </c>
      <c r="E579" s="15" t="s">
        <v>1193</v>
      </c>
      <c r="F579" s="16">
        <f t="shared" si="18"/>
        <v>1</v>
      </c>
      <c r="G579" s="15" t="s">
        <v>276</v>
      </c>
      <c r="H579" s="18" t="s">
        <v>1582</v>
      </c>
      <c r="I579" s="19">
        <v>13</v>
      </c>
      <c r="J579" s="20">
        <f t="shared" si="19"/>
        <v>7.6923076923076927E-2</v>
      </c>
    </row>
    <row r="580" spans="1:10" ht="28.8">
      <c r="A580" s="16">
        <v>579</v>
      </c>
      <c r="B580" s="15" t="s">
        <v>2631</v>
      </c>
      <c r="C580" s="17">
        <v>2024</v>
      </c>
      <c r="D580" s="14" t="s">
        <v>33</v>
      </c>
      <c r="E580" s="15" t="s">
        <v>2633</v>
      </c>
      <c r="F580" s="16">
        <f t="shared" si="18"/>
        <v>1</v>
      </c>
      <c r="G580" s="15" t="s">
        <v>2630</v>
      </c>
      <c r="H580" s="18" t="s">
        <v>2636</v>
      </c>
      <c r="I580" s="19">
        <v>2</v>
      </c>
      <c r="J580" s="20">
        <f t="shared" si="19"/>
        <v>0.5</v>
      </c>
    </row>
    <row r="581" spans="1:10" ht="28.8">
      <c r="A581" s="16">
        <v>580</v>
      </c>
      <c r="B581" s="15" t="s">
        <v>23</v>
      </c>
      <c r="C581" s="17">
        <v>2024</v>
      </c>
      <c r="D581" s="14" t="s">
        <v>33</v>
      </c>
      <c r="E581" s="15" t="s">
        <v>25</v>
      </c>
      <c r="F581" s="16">
        <f t="shared" si="18"/>
        <v>1</v>
      </c>
      <c r="G581" s="15" t="s">
        <v>22</v>
      </c>
      <c r="H581" s="18" t="s">
        <v>32</v>
      </c>
      <c r="I581" s="19">
        <v>32</v>
      </c>
      <c r="J581" s="20">
        <f t="shared" si="19"/>
        <v>3.125E-2</v>
      </c>
    </row>
    <row r="582" spans="1:10" ht="28.8">
      <c r="A582" s="16">
        <v>581</v>
      </c>
      <c r="B582" s="15" t="s">
        <v>2468</v>
      </c>
      <c r="C582" s="17">
        <v>2024</v>
      </c>
      <c r="D582" s="14" t="s">
        <v>33</v>
      </c>
      <c r="E582" s="15" t="s">
        <v>2470</v>
      </c>
      <c r="F582" s="16">
        <f t="shared" si="18"/>
        <v>1</v>
      </c>
      <c r="G582" s="15" t="s">
        <v>2467</v>
      </c>
      <c r="H582" s="18" t="s">
        <v>2474</v>
      </c>
      <c r="I582" s="19">
        <v>13</v>
      </c>
      <c r="J582" s="20">
        <f t="shared" si="19"/>
        <v>7.6923076923076927E-2</v>
      </c>
    </row>
    <row r="583" spans="1:10" ht="43.2">
      <c r="A583" s="16">
        <v>582</v>
      </c>
      <c r="B583" s="15" t="s">
        <v>5145</v>
      </c>
      <c r="C583" s="17">
        <v>2024</v>
      </c>
      <c r="D583" s="14" t="s">
        <v>33</v>
      </c>
      <c r="E583" s="15" t="s">
        <v>5147</v>
      </c>
      <c r="F583" s="16">
        <f t="shared" si="18"/>
        <v>1</v>
      </c>
      <c r="G583" s="15" t="s">
        <v>635</v>
      </c>
      <c r="H583" s="18" t="s">
        <v>5150</v>
      </c>
      <c r="I583" s="19">
        <v>5</v>
      </c>
      <c r="J583" s="20">
        <f t="shared" si="19"/>
        <v>0.2</v>
      </c>
    </row>
    <row r="584" spans="1:10">
      <c r="A584" s="16">
        <v>583</v>
      </c>
      <c r="B584" s="15" t="s">
        <v>5086</v>
      </c>
      <c r="C584" s="17">
        <v>2024</v>
      </c>
      <c r="D584" s="14" t="s">
        <v>49</v>
      </c>
      <c r="E584" s="15" t="s">
        <v>4161</v>
      </c>
      <c r="F584" s="16">
        <f t="shared" si="18"/>
        <v>1</v>
      </c>
      <c r="G584" s="15" t="s">
        <v>386</v>
      </c>
      <c r="H584" s="18" t="s">
        <v>5089</v>
      </c>
      <c r="I584" s="19">
        <v>2</v>
      </c>
      <c r="J584" s="20">
        <f t="shared" si="19"/>
        <v>0.5</v>
      </c>
    </row>
    <row r="585" spans="1:10" ht="28.8">
      <c r="A585" s="16">
        <v>584</v>
      </c>
      <c r="B585" s="15" t="s">
        <v>2007</v>
      </c>
      <c r="C585" s="17">
        <v>2024</v>
      </c>
      <c r="D585" s="14" t="s">
        <v>33</v>
      </c>
      <c r="E585" s="15" t="s">
        <v>2009</v>
      </c>
      <c r="F585" s="16">
        <f t="shared" si="18"/>
        <v>1</v>
      </c>
      <c r="G585" s="15" t="s">
        <v>2006</v>
      </c>
      <c r="H585" s="18" t="s">
        <v>2013</v>
      </c>
      <c r="I585" s="19">
        <v>2</v>
      </c>
      <c r="J585" s="20">
        <f t="shared" si="19"/>
        <v>0.5</v>
      </c>
    </row>
    <row r="586" spans="1:10">
      <c r="A586" s="16">
        <v>585</v>
      </c>
      <c r="B586" s="15" t="s">
        <v>3555</v>
      </c>
      <c r="C586" s="17">
        <v>2024</v>
      </c>
      <c r="D586" s="14" t="s">
        <v>49</v>
      </c>
      <c r="E586" s="15" t="s">
        <v>3096</v>
      </c>
      <c r="F586" s="16">
        <f t="shared" si="18"/>
        <v>1</v>
      </c>
      <c r="G586" s="15" t="s">
        <v>2046</v>
      </c>
      <c r="H586" s="18" t="s">
        <v>3558</v>
      </c>
      <c r="I586" s="19">
        <v>7</v>
      </c>
      <c r="J586" s="20">
        <f t="shared" si="19"/>
        <v>0.14285714285714285</v>
      </c>
    </row>
    <row r="587" spans="1:10">
      <c r="A587" s="16">
        <v>586</v>
      </c>
      <c r="B587" s="15" t="s">
        <v>4052</v>
      </c>
      <c r="C587" s="17">
        <v>2024</v>
      </c>
      <c r="D587" s="14" t="s">
        <v>33</v>
      </c>
      <c r="E587" s="15" t="s">
        <v>4054</v>
      </c>
      <c r="F587" s="16">
        <f t="shared" si="18"/>
        <v>1</v>
      </c>
      <c r="G587" s="15" t="s">
        <v>82</v>
      </c>
      <c r="H587" s="18" t="s">
        <v>4060</v>
      </c>
      <c r="I587" s="19">
        <v>2</v>
      </c>
      <c r="J587" s="20">
        <f t="shared" si="19"/>
        <v>0.5</v>
      </c>
    </row>
    <row r="588" spans="1:10" ht="28.8">
      <c r="A588" s="16">
        <v>587</v>
      </c>
      <c r="B588" s="15" t="s">
        <v>2673</v>
      </c>
      <c r="C588" s="17">
        <v>2024</v>
      </c>
      <c r="D588" s="14" t="s">
        <v>33</v>
      </c>
      <c r="E588" s="15" t="s">
        <v>2675</v>
      </c>
      <c r="F588" s="16">
        <f t="shared" si="18"/>
        <v>1</v>
      </c>
      <c r="G588" s="15" t="s">
        <v>2672</v>
      </c>
      <c r="H588" s="18" t="s">
        <v>2679</v>
      </c>
      <c r="I588" s="19">
        <v>10</v>
      </c>
      <c r="J588" s="20">
        <f t="shared" si="19"/>
        <v>0.1</v>
      </c>
    </row>
    <row r="589" spans="1:10" ht="28.8">
      <c r="A589" s="16">
        <v>588</v>
      </c>
      <c r="B589" s="15" t="s">
        <v>5208</v>
      </c>
      <c r="C589" s="17">
        <v>2024</v>
      </c>
      <c r="D589" s="14" t="s">
        <v>33</v>
      </c>
      <c r="E589" s="15" t="s">
        <v>5210</v>
      </c>
      <c r="F589" s="16">
        <f t="shared" si="18"/>
        <v>2</v>
      </c>
      <c r="G589" s="15" t="s">
        <v>6016</v>
      </c>
      <c r="H589" s="15" t="s">
        <v>43</v>
      </c>
      <c r="I589" s="19">
        <v>2</v>
      </c>
      <c r="J589" s="20">
        <f t="shared" si="19"/>
        <v>1</v>
      </c>
    </row>
    <row r="590" spans="1:10">
      <c r="A590" s="16">
        <v>589</v>
      </c>
      <c r="B590" s="15" t="s">
        <v>4324</v>
      </c>
      <c r="C590" s="17"/>
      <c r="D590" s="14"/>
      <c r="E590" s="15"/>
      <c r="F590" s="16">
        <f t="shared" si="18"/>
        <v>1</v>
      </c>
      <c r="G590" s="15" t="s">
        <v>433</v>
      </c>
      <c r="H590" s="15" t="s">
        <v>43</v>
      </c>
      <c r="I590" s="19"/>
      <c r="J590" s="20" t="str">
        <f t="shared" si="19"/>
        <v/>
      </c>
    </row>
  </sheetData>
  <hyperlinks>
    <hyperlink ref="H2" r:id="rId1" xr:uid="{49DF0D59-AAA7-4230-9353-A101484E6CA3}"/>
    <hyperlink ref="H3" r:id="rId2" xr:uid="{D692AB07-88E8-4052-A178-1122B09CA09B}"/>
    <hyperlink ref="H4" r:id="rId3" xr:uid="{72C53E46-E504-47E6-A84B-9BCAC832D29E}"/>
    <hyperlink ref="H5" r:id="rId4" xr:uid="{1FAFB08D-153A-4251-8BD9-CA3EA8556E00}"/>
    <hyperlink ref="H6" r:id="rId5" xr:uid="{B9419880-C77D-4E64-AC98-17AF5121EEEC}"/>
    <hyperlink ref="H7" r:id="rId6" xr:uid="{C48C4CA1-F75B-4573-9F77-A4A95E612666}"/>
    <hyperlink ref="H8" r:id="rId7" xr:uid="{8E2C758B-6A02-44F8-90E6-18010DDE9E12}"/>
    <hyperlink ref="H9" r:id="rId8" xr:uid="{63E25204-40C1-49F0-9ECC-7B65148ABEDA}"/>
    <hyperlink ref="H10" r:id="rId9" xr:uid="{91F7F521-0C9B-4003-AAFC-F1B2B5812875}"/>
    <hyperlink ref="H11" r:id="rId10" xr:uid="{A05A499D-2700-4ADD-89B6-4A061D72AC36}"/>
    <hyperlink ref="H12" r:id="rId11" xr:uid="{BA4D3496-1F63-41B8-925B-2A02B5917D72}"/>
    <hyperlink ref="H13" r:id="rId12" xr:uid="{41FDCA54-1D1D-4800-8D55-33EA6A67F3BF}"/>
    <hyperlink ref="H14" r:id="rId13" xr:uid="{2A1B7938-53EC-4A4B-9DEE-F8FFA054D597}"/>
    <hyperlink ref="H15" r:id="rId14" xr:uid="{C2EDA09F-6E70-4AE1-9C54-CF7EB37FF0C1}"/>
    <hyperlink ref="H16" r:id="rId15" xr:uid="{8F06977A-1EB7-48DC-8F77-22C38F751A0F}"/>
    <hyperlink ref="H17" r:id="rId16" xr:uid="{5618021B-EAF0-44F1-8534-B1AC0F9EBB50}"/>
    <hyperlink ref="H18" r:id="rId17" xr:uid="{DB80EA2A-D0E7-4D0F-8929-0B4A2026222A}"/>
    <hyperlink ref="H19" r:id="rId18" xr:uid="{9BA51D75-D5DB-4CA0-AD20-3A7FE56D1BAB}"/>
    <hyperlink ref="H20" r:id="rId19" xr:uid="{216D179E-AD56-499C-B120-96D8CE02E373}"/>
    <hyperlink ref="H21" r:id="rId20" xr:uid="{FA945907-7CCA-4674-84F8-7A1B87954939}"/>
    <hyperlink ref="H22" r:id="rId21" xr:uid="{EF8ADE7B-5AEE-4B75-A8A1-B72D8B8D26F2}"/>
    <hyperlink ref="H23" r:id="rId22" xr:uid="{15FB9CB5-FCBB-4319-8438-7D5DE06B9495}"/>
    <hyperlink ref="H24" r:id="rId23" xr:uid="{2A02761A-F589-4893-A193-550D76D7719E}"/>
    <hyperlink ref="H25" r:id="rId24" xr:uid="{322932F2-4AC7-4074-8D5E-87BC5478EFF0}"/>
    <hyperlink ref="H26" r:id="rId25" xr:uid="{50DD26AF-0CC7-44B5-9978-F93356714530}"/>
    <hyperlink ref="H27" r:id="rId26" xr:uid="{52EEB5E0-D89F-42B1-8393-0A5ADF067B24}"/>
    <hyperlink ref="H28" r:id="rId27" xr:uid="{44E3700D-CC82-40D2-83C9-45B5ABFA1481}"/>
    <hyperlink ref="H29" r:id="rId28" xr:uid="{2C9DFA86-F15E-4300-AE60-A981B67DBC16}"/>
    <hyperlink ref="H30" r:id="rId29" xr:uid="{E8648D1B-0F90-45F1-B911-802CC74F20E3}"/>
    <hyperlink ref="H31" r:id="rId30" xr:uid="{85816E58-F548-4F29-99D5-132CDD80BAB3}"/>
    <hyperlink ref="H32" r:id="rId31" xr:uid="{F02C1531-8C36-4E97-97CE-C8BEDCDFB06A}"/>
    <hyperlink ref="H33" r:id="rId32" xr:uid="{963051DB-B60F-49F2-8E69-EAF0AB1B05F1}"/>
    <hyperlink ref="H34" r:id="rId33" xr:uid="{6DAAEFFB-4F35-47CE-B93C-E325AD91102A}"/>
    <hyperlink ref="H35" r:id="rId34" xr:uid="{13304EE3-DCBC-4DAE-BF5E-D2356C8092C4}"/>
    <hyperlink ref="H36" r:id="rId35" xr:uid="{0CEBDF63-86FF-488B-A470-22190DA23747}"/>
    <hyperlink ref="H37" r:id="rId36" xr:uid="{DCF95036-252D-48DA-8EA3-24CD64F3D4AF}"/>
    <hyperlink ref="H38" r:id="rId37" xr:uid="{EB15EE8A-3EA9-44FF-BA3A-ECD411145D1E}"/>
    <hyperlink ref="H39" r:id="rId38" xr:uid="{204A45E8-9ECD-4ACB-A4EF-6F379149FF68}"/>
    <hyperlink ref="H40" r:id="rId39" xr:uid="{B342482B-44A2-406C-BFA3-3C7CB6A95FAA}"/>
    <hyperlink ref="H41" r:id="rId40" xr:uid="{15385E4E-E3EB-46AA-B090-DF2C0FB869F1}"/>
    <hyperlink ref="H42" r:id="rId41" xr:uid="{50C510A5-F201-48BA-AADC-BEF27BF89177}"/>
    <hyperlink ref="H43" r:id="rId42" xr:uid="{AE835ADF-87EA-42E8-8240-9BB749D2CCA1}"/>
    <hyperlink ref="H44" r:id="rId43" xr:uid="{D05F09E1-4078-4FC8-976E-B9BF9310A71C}"/>
    <hyperlink ref="H45" r:id="rId44" xr:uid="{80F8B92A-56C8-4CCD-892A-E1F0711FA2E7}"/>
    <hyperlink ref="H46" r:id="rId45" xr:uid="{735088D3-2432-44E1-8A20-C93566350B9F}"/>
    <hyperlink ref="H48" r:id="rId46" xr:uid="{B8E0D2BB-0209-436C-A542-86743EFC0B67}"/>
    <hyperlink ref="H49" r:id="rId47" xr:uid="{6A5446CF-0EC6-4848-A340-A187B686F5A2}"/>
    <hyperlink ref="H50" r:id="rId48" xr:uid="{DFC4A436-6298-4BB2-A76E-F4895DBB46BD}"/>
    <hyperlink ref="H51" r:id="rId49" xr:uid="{70CFD8C7-A6E9-4033-BCCB-8666A5C9482E}"/>
    <hyperlink ref="H52" r:id="rId50" xr:uid="{1D9B9992-A6C8-438D-944B-AE7DAB101AAE}"/>
    <hyperlink ref="H53" r:id="rId51" xr:uid="{7CF5EC2D-484C-4FD6-8772-392EC9D89003}"/>
    <hyperlink ref="H54" r:id="rId52" xr:uid="{7DA6D05C-70EA-4A72-A731-2D213AF1A114}"/>
    <hyperlink ref="H55" r:id="rId53" xr:uid="{A31E562D-36D3-45AC-86A7-2E98ADA62C01}"/>
    <hyperlink ref="H56" r:id="rId54" xr:uid="{A1800642-4708-4662-A804-FD89C88397B5}"/>
    <hyperlink ref="H57" r:id="rId55" xr:uid="{161C5A58-4482-45CB-9168-555594249D44}"/>
    <hyperlink ref="H58" r:id="rId56" xr:uid="{DF6E828E-2E18-455D-98A8-D4B06FDB416A}"/>
    <hyperlink ref="H59" r:id="rId57" xr:uid="{C98B02E5-3FB2-4933-B011-571E4D3137BC}"/>
    <hyperlink ref="H60" r:id="rId58" xr:uid="{D04FF823-E4AC-428E-AD2D-9199B1B27592}"/>
    <hyperlink ref="H61" r:id="rId59" xr:uid="{351C41B4-F92D-4D63-9805-D3CAE7BEEF69}"/>
    <hyperlink ref="H62" r:id="rId60" xr:uid="{50E96035-B76A-4E6C-8648-ABD2556DCE83}"/>
    <hyperlink ref="H63" r:id="rId61" xr:uid="{B0782E6A-E3D9-4E95-AC67-FF21DA73A462}"/>
    <hyperlink ref="H64" r:id="rId62" xr:uid="{27F4C9B8-87D1-4E03-B152-4354C25A8DFF}"/>
    <hyperlink ref="H65" r:id="rId63" xr:uid="{6F733E96-D6F3-44BB-9844-219931F70A84}"/>
    <hyperlink ref="H66" r:id="rId64" xr:uid="{17F45294-A760-4168-A365-A5997753D85B}"/>
    <hyperlink ref="H67" r:id="rId65" xr:uid="{AAFE60E8-DF42-46E2-B79A-367CF61327F6}"/>
    <hyperlink ref="H68" r:id="rId66" xr:uid="{A78DBB06-B96B-4F93-97C5-6594E8220559}"/>
    <hyperlink ref="H69" r:id="rId67" xr:uid="{BA032985-3B83-4E09-ABC9-2C6728E60494}"/>
    <hyperlink ref="H70" r:id="rId68" xr:uid="{4943FAF2-3E8E-4159-B3FE-087B3CD46A71}"/>
    <hyperlink ref="H71" r:id="rId69" xr:uid="{02160DC0-21D6-4231-9AAA-98D857C7426B}"/>
    <hyperlink ref="H72" r:id="rId70" xr:uid="{6BD1DC03-A562-4CF2-B2BB-675BCAA12FF2}"/>
    <hyperlink ref="H74" r:id="rId71" xr:uid="{94043C29-269D-4B1E-B695-46FCD6D0B3B8}"/>
    <hyperlink ref="H75" r:id="rId72" xr:uid="{8CC6D5BA-0A8D-4BBA-9A71-37C58A23C7F4}"/>
    <hyperlink ref="H76" r:id="rId73" xr:uid="{13FA4D6A-6E82-4A16-80DA-566CA94961A7}"/>
    <hyperlink ref="H77" r:id="rId74" xr:uid="{37E54B1F-6D47-41B5-8430-BA912DD8CD45}"/>
    <hyperlink ref="H78" r:id="rId75" xr:uid="{DD80D7B8-DD26-4BCA-9B23-B9E689E0283D}"/>
    <hyperlink ref="H79" r:id="rId76" xr:uid="{480BD277-F8F4-41B7-8266-016CFD13CAD8}"/>
    <hyperlink ref="H80" r:id="rId77" xr:uid="{6E04DDA6-2133-497B-958D-BAAEEA90ADFF}"/>
    <hyperlink ref="H81" r:id="rId78" xr:uid="{3E2D6D93-495F-4367-A669-D203974E2758}"/>
    <hyperlink ref="H82" r:id="rId79" xr:uid="{D71170E2-0EF8-4B3C-9AF3-84DC1CC88FD9}"/>
    <hyperlink ref="H83" r:id="rId80" xr:uid="{98121F6B-FA0D-4CF8-97A1-DF883D67CC38}"/>
    <hyperlink ref="H84" r:id="rId81" xr:uid="{4E84192C-4778-4679-A349-8B09C43748AB}"/>
    <hyperlink ref="H85" r:id="rId82" xr:uid="{587C5C1D-9BEF-4AEE-9572-819026D394E8}"/>
    <hyperlink ref="H86" r:id="rId83" xr:uid="{81F3C7BC-0BB9-413C-BF52-152FB7EB2EA1}"/>
    <hyperlink ref="H87" r:id="rId84" xr:uid="{2A334D74-C7E9-4B10-9DC1-123ED7B1B619}"/>
    <hyperlink ref="H88" r:id="rId85" xr:uid="{C1127589-5B99-48D0-AB88-B40C6F909F96}"/>
    <hyperlink ref="H89" r:id="rId86" xr:uid="{A16822DF-E94E-4BFA-BFED-936CE6ADE6EE}"/>
    <hyperlink ref="H90" r:id="rId87" xr:uid="{A576C626-5D53-4ABD-884C-B0CA0AC28106}"/>
    <hyperlink ref="H91" r:id="rId88" xr:uid="{95688C44-CD31-4A92-ADC2-3C5316F96F0F}"/>
    <hyperlink ref="H92" r:id="rId89" xr:uid="{69382BF8-570E-4233-A562-04A3CF934E7B}"/>
    <hyperlink ref="H93" r:id="rId90" xr:uid="{EBD1FF9E-F29D-4703-8D91-F4BE4C05CE6A}"/>
    <hyperlink ref="H94" r:id="rId91" xr:uid="{5C09CF8A-5AC8-4405-B523-9A72C9721C31}"/>
    <hyperlink ref="H95" r:id="rId92" xr:uid="{F0E3B44A-1020-4F66-8A51-30BD4B82B49A}"/>
    <hyperlink ref="H96" r:id="rId93" xr:uid="{0B663387-C24A-4419-9311-A5B57237A63E}"/>
    <hyperlink ref="H97" r:id="rId94" xr:uid="{BFF3EB42-BDB3-43EE-9BD6-F76E5D71C554}"/>
    <hyperlink ref="H98" r:id="rId95" xr:uid="{F35434DD-23D9-456E-9B21-8F32FCC2D8A9}"/>
    <hyperlink ref="H99" r:id="rId96" xr:uid="{1D456FD8-69D5-4023-B2EC-B48CBA7D5C69}"/>
    <hyperlink ref="H100" r:id="rId97" xr:uid="{8BFF4561-6776-4E95-82EE-D5B2EF849776}"/>
    <hyperlink ref="H101" r:id="rId98" xr:uid="{11F4F91E-9991-4013-BC63-18B5B8218D9E}"/>
    <hyperlink ref="H102" r:id="rId99" xr:uid="{690C1285-FC54-4DA4-94E3-B05D99972D13}"/>
    <hyperlink ref="H103" r:id="rId100" xr:uid="{A4DA38A3-8ACC-4288-B107-9C94DFB0A026}"/>
    <hyperlink ref="H104" r:id="rId101" xr:uid="{36772786-55D6-4791-8C8A-66CB5D800C58}"/>
    <hyperlink ref="H105" r:id="rId102" xr:uid="{AC776E88-58DA-4903-AA78-361DC3CA2C7C}"/>
    <hyperlink ref="H106" r:id="rId103" xr:uid="{3BCC796A-4315-4112-923C-AB5D187EA4DD}"/>
    <hyperlink ref="H107" r:id="rId104" xr:uid="{CCFFEF9A-94B7-446E-9D10-999FA7518825}"/>
    <hyperlink ref="H108" r:id="rId105" xr:uid="{4207B680-2167-47CC-87B6-B8BE25B6628C}"/>
    <hyperlink ref="H109" r:id="rId106" xr:uid="{2563C7E9-0141-4A30-9064-F28EE40A9CDC}"/>
    <hyperlink ref="H110" r:id="rId107" xr:uid="{A3CBE8AC-3AA6-40BB-93F2-90F4B6AE4747}"/>
    <hyperlink ref="H111" r:id="rId108" xr:uid="{A3F70F13-9FDC-4968-B0DF-73D1B5F16D13}"/>
    <hyperlink ref="H112" r:id="rId109" xr:uid="{479C259C-A4EB-42B2-9BB8-8EE73361F6F9}"/>
    <hyperlink ref="H113" r:id="rId110" xr:uid="{AAF94513-00AE-43CC-991A-B682BD577F4D}"/>
    <hyperlink ref="H114" r:id="rId111" xr:uid="{FA02E316-5760-42D2-B565-77DE9C22C084}"/>
    <hyperlink ref="H115" r:id="rId112" xr:uid="{28975080-0743-40AC-98B8-BC82BBB2F23D}"/>
    <hyperlink ref="H116" r:id="rId113" xr:uid="{6B1C7208-D56F-4F6B-A7F6-3E496366169C}"/>
    <hyperlink ref="H117" r:id="rId114" xr:uid="{A16457D5-2E0D-49E3-B4C7-DE5F942C5B98}"/>
    <hyperlink ref="H118" r:id="rId115" xr:uid="{9A88EADD-799C-4AAE-8DCA-094EF9EE1A33}"/>
    <hyperlink ref="H119" r:id="rId116" xr:uid="{9341381D-7F55-41C7-896A-135950EBE312}"/>
    <hyperlink ref="H120" r:id="rId117" xr:uid="{ED2E5B44-B200-4D97-AED1-6175C5A015BC}"/>
    <hyperlink ref="H121" r:id="rId118" xr:uid="{23B2B5E5-0E00-4314-AED6-B24EA8867954}"/>
    <hyperlink ref="H122" r:id="rId119" xr:uid="{DAC25DE4-2796-4AD4-B00E-448059FA6350}"/>
    <hyperlink ref="H123" r:id="rId120" xr:uid="{C020E963-DFFC-4C98-BA69-256FC02A8AB7}"/>
    <hyperlink ref="H124" r:id="rId121" xr:uid="{170B41CA-B816-42E4-B35E-0435B4BD5D0C}"/>
    <hyperlink ref="H125" r:id="rId122" xr:uid="{FF76EF00-B8D4-4E68-86A2-73E3F9C9527C}"/>
    <hyperlink ref="H126" r:id="rId123" xr:uid="{F85494DF-3702-4514-AD1B-5EAA6804250F}"/>
    <hyperlink ref="H127" r:id="rId124" xr:uid="{3AC24C40-B60D-40F8-95B5-81F5FAE45EF3}"/>
    <hyperlink ref="H128" r:id="rId125" xr:uid="{E34FD15D-F898-41C3-A8D8-E9228B038FB9}"/>
    <hyperlink ref="H129" r:id="rId126" xr:uid="{C3D5F72D-077F-4323-B085-A3596DA9533F}"/>
    <hyperlink ref="H130" r:id="rId127" xr:uid="{BF49B648-DA80-4CA0-AF10-1D5613A96DAA}"/>
    <hyperlink ref="H131" r:id="rId128" xr:uid="{3D7CF2AB-32D9-4974-A896-042BD06D96A7}"/>
    <hyperlink ref="H132" r:id="rId129" xr:uid="{9799D516-C310-467D-AAC5-855B89B8F24B}"/>
    <hyperlink ref="H133" r:id="rId130" xr:uid="{37120028-5F6C-4414-888D-92BFF43AA364}"/>
    <hyperlink ref="H134" r:id="rId131" xr:uid="{2C44574A-F8C7-43A1-948C-8077CF30B7A5}"/>
    <hyperlink ref="H135" r:id="rId132" xr:uid="{43C0B519-7DB1-4764-935A-CC6C0534B860}"/>
    <hyperlink ref="H136" r:id="rId133" xr:uid="{0E072321-CBB0-4962-9A34-2BF96CCFE34A}"/>
    <hyperlink ref="H137" r:id="rId134" xr:uid="{02B7429F-F6B4-47F9-ADCB-EF2E7C6EF0A1}"/>
    <hyperlink ref="H138" r:id="rId135" xr:uid="{5B8CE23C-0495-4573-A381-78886E91A16E}"/>
    <hyperlink ref="H139" r:id="rId136" xr:uid="{BE8B31D8-05B5-4746-BACB-B971B747D86E}"/>
    <hyperlink ref="H140" r:id="rId137" xr:uid="{99F7327C-BA48-42F9-965A-0B2D737787D5}"/>
    <hyperlink ref="H141" r:id="rId138" xr:uid="{EA679A73-1342-4E55-91DF-589AEAFD8566}"/>
    <hyperlink ref="H142" r:id="rId139" xr:uid="{18F57531-2AD2-40C9-84F9-5338D3738D3B}"/>
    <hyperlink ref="H143" r:id="rId140" xr:uid="{80CF300E-5884-4E1F-8A3F-F05865F7F52A}"/>
    <hyperlink ref="H144" r:id="rId141" xr:uid="{2FF91E95-031A-4954-B831-187975A51484}"/>
    <hyperlink ref="H145" r:id="rId142" xr:uid="{3C05ECF3-D86B-413D-9415-D50F7AC6A707}"/>
    <hyperlink ref="H146" r:id="rId143" xr:uid="{7110E910-F907-4D0C-A06C-9453FA3E5400}"/>
    <hyperlink ref="H147" r:id="rId144" xr:uid="{46A283BE-FE3D-4023-917E-415681337633}"/>
    <hyperlink ref="H148" r:id="rId145" xr:uid="{D3A3FFFF-7EF0-47FD-8FEE-C4BE748422A4}"/>
    <hyperlink ref="H149" r:id="rId146" xr:uid="{61D5E47A-1120-49DE-BA3D-39F52CADCEEE}"/>
    <hyperlink ref="H150" r:id="rId147" xr:uid="{3999E83A-44BE-478C-AE27-B334A841936B}"/>
    <hyperlink ref="H151" r:id="rId148" xr:uid="{57B652C0-DAE5-4767-AD5C-C0158B10EEF9}"/>
    <hyperlink ref="H152" r:id="rId149" xr:uid="{F6E1AF6B-A43F-4886-826E-82367BA8755D}"/>
    <hyperlink ref="H153" r:id="rId150" xr:uid="{F4EBDBEE-C8C5-48AB-81E1-FF30E54640E1}"/>
    <hyperlink ref="H154" r:id="rId151" xr:uid="{73785D59-405A-43EF-AD52-8DB1FA71C1C7}"/>
    <hyperlink ref="H155" r:id="rId152" xr:uid="{2515E716-9FC6-4F55-BD9F-F972BE131887}"/>
    <hyperlink ref="H156" r:id="rId153" xr:uid="{BAAE0C4A-363C-4AB3-AAAD-1470D88517C8}"/>
    <hyperlink ref="H157" r:id="rId154" xr:uid="{E990A2DB-7D3D-49A3-A714-CFAE96227C64}"/>
    <hyperlink ref="H158" r:id="rId155" xr:uid="{F7A20608-1429-497A-B11C-C533AF3B785E}"/>
    <hyperlink ref="H159" r:id="rId156" xr:uid="{C3A7B648-0182-4A25-88FB-858BA2B9B6D0}"/>
    <hyperlink ref="H160" r:id="rId157" xr:uid="{D0BEB1B1-AC5A-47E5-9210-3A5AECECD65C}"/>
    <hyperlink ref="H161" r:id="rId158" xr:uid="{D5668731-EC92-4C43-9B27-09302CEFCC9F}"/>
    <hyperlink ref="H162" r:id="rId159" xr:uid="{58D84D0E-28AB-4BE0-9662-349B8F4236C6}"/>
    <hyperlink ref="H163" r:id="rId160" xr:uid="{575C0E57-3CA9-4614-8101-2C1F03954424}"/>
    <hyperlink ref="H164" r:id="rId161" xr:uid="{205CA25A-D726-4B88-B436-214CFFCF6AA3}"/>
    <hyperlink ref="H165" r:id="rId162" xr:uid="{65850AF0-500E-4F85-8AF4-232A00019DAD}"/>
    <hyperlink ref="H166" r:id="rId163" xr:uid="{A35C0697-01DC-4AB3-8507-B878EE84FE7E}"/>
    <hyperlink ref="H167" r:id="rId164" xr:uid="{07EB71A0-91BD-46A5-90FE-D12CAD1AD3A6}"/>
    <hyperlink ref="H168" r:id="rId165" xr:uid="{B1C4ABD2-5436-4523-990C-1C2BE8031302}"/>
    <hyperlink ref="H169" r:id="rId166" xr:uid="{55419423-A038-4C63-ADE7-54EE2D353F9B}"/>
    <hyperlink ref="H170" r:id="rId167" xr:uid="{BD5C76E2-7195-4082-814F-8A1E5B1D33C3}"/>
    <hyperlink ref="H171" r:id="rId168" xr:uid="{600E06EF-8AAC-4619-9C40-81CDC097333B}"/>
    <hyperlink ref="H172" r:id="rId169" xr:uid="{58778DFE-94B7-4E6E-BE64-CCA232A423F7}"/>
    <hyperlink ref="H173" r:id="rId170" xr:uid="{C1343D1C-AC68-4938-B397-6368CF0251DB}"/>
    <hyperlink ref="H174" r:id="rId171" xr:uid="{AEA6982B-7B05-4592-B4FC-EB9621D0CA3D}"/>
    <hyperlink ref="H175" r:id="rId172" xr:uid="{8A23768F-9852-4A15-A2F5-E4F6C3204DCB}"/>
    <hyperlink ref="H176" r:id="rId173" xr:uid="{1436504E-4F67-47C2-B7CE-9B63A1A66B43}"/>
    <hyperlink ref="H177" r:id="rId174" xr:uid="{844CF367-DC36-45A8-BC38-E327E9D93D2A}"/>
    <hyperlink ref="H178" r:id="rId175" xr:uid="{B4C08527-C38F-4A8E-8125-65E9A3358F44}"/>
    <hyperlink ref="H179" r:id="rId176" xr:uid="{66B0D878-0034-4191-BD2D-41D36FE066E8}"/>
    <hyperlink ref="H180" r:id="rId177" xr:uid="{0168A26F-6D22-4B88-937B-443197127F29}"/>
    <hyperlink ref="H181" r:id="rId178" xr:uid="{F7209BB3-8D96-4036-A600-B14B4AE803A5}"/>
    <hyperlink ref="H182" r:id="rId179" xr:uid="{5B77B8F0-4CEA-40A7-AE1C-B8F43F7961ED}"/>
    <hyperlink ref="H183" r:id="rId180" xr:uid="{65745DA6-5C5F-4401-8595-004BDA5B1A45}"/>
    <hyperlink ref="H184" r:id="rId181" xr:uid="{2340E37B-240C-47B6-93FE-30A38B94CCE8}"/>
    <hyperlink ref="H185" r:id="rId182" xr:uid="{6306DEA2-F2C5-4961-93FF-4B204CCA3BFD}"/>
    <hyperlink ref="H186" r:id="rId183" xr:uid="{3596F6B9-C6DD-4B5C-A706-C4E3272B670D}"/>
    <hyperlink ref="H187" r:id="rId184" xr:uid="{16A390E1-77F4-463C-ABFD-403D475B05FA}"/>
    <hyperlink ref="H188" r:id="rId185" xr:uid="{2E457434-ABBD-416E-B5C7-BFB684026220}"/>
    <hyperlink ref="H189" r:id="rId186" xr:uid="{847E853E-68DA-47A4-944E-83C17A6D11B9}"/>
    <hyperlink ref="H190" r:id="rId187" xr:uid="{27636AE1-079B-49D5-A4EE-46F670C8A475}"/>
    <hyperlink ref="H191" r:id="rId188" xr:uid="{A72D1A4D-8469-4F4E-A154-A320F39B8282}"/>
    <hyperlink ref="H192" r:id="rId189" xr:uid="{6BC9D92F-6BE0-4D91-9D39-D985B2E41ED9}"/>
    <hyperlink ref="H193" r:id="rId190" xr:uid="{ACE26042-E417-4B7E-8805-6C3090F03B01}"/>
    <hyperlink ref="H194" r:id="rId191" xr:uid="{75CEFE4C-5A31-40EE-A4E5-D9F0E46A0554}"/>
    <hyperlink ref="H195" r:id="rId192" xr:uid="{70491F60-0604-472D-88BF-F22054739038}"/>
    <hyperlink ref="H196" r:id="rId193" xr:uid="{1D105862-764D-4423-9941-7CD4718E5B73}"/>
    <hyperlink ref="H197" r:id="rId194" xr:uid="{D89D031D-EF2D-4FB5-88A2-D9F8528A62A7}"/>
    <hyperlink ref="H198" r:id="rId195" xr:uid="{CC78F0A2-65DB-4C28-B0AE-D426D4D69222}"/>
    <hyperlink ref="H199" r:id="rId196" xr:uid="{6EAB8AAE-91BF-471E-81CC-C88D4F57AF8A}"/>
    <hyperlink ref="H200" r:id="rId197" xr:uid="{540FFE82-1C56-464D-B10F-F82A75313074}"/>
    <hyperlink ref="H201" r:id="rId198" xr:uid="{133CC95A-1176-456E-8169-502990305120}"/>
    <hyperlink ref="H202" r:id="rId199" xr:uid="{AFCFA2E1-FF61-460A-BFF2-ACF9F2127ADD}"/>
    <hyperlink ref="H203" r:id="rId200" xr:uid="{2BB499C2-E44B-40BA-9F53-DDD9B7681987}"/>
    <hyperlink ref="H204" r:id="rId201" xr:uid="{BB740F54-39A9-498C-BC0A-09E2846DC745}"/>
    <hyperlink ref="H205" r:id="rId202" xr:uid="{0FBB7AAF-263D-46C8-ADC6-F5F03E8E1187}"/>
    <hyperlink ref="H206" r:id="rId203" xr:uid="{F2046436-9E69-4E79-9218-7C3263455C20}"/>
    <hyperlink ref="H207" r:id="rId204" xr:uid="{3D69F5E9-FBD3-4814-B519-87B92E7221CF}"/>
    <hyperlink ref="H208" r:id="rId205" xr:uid="{9BD15460-8BC7-4154-80F2-048329096FD1}"/>
    <hyperlink ref="H209" r:id="rId206" xr:uid="{3BDDEC01-B900-4BC2-9E14-4D61C984BC49}"/>
    <hyperlink ref="H210" r:id="rId207" xr:uid="{A0AF628D-BBF1-4F97-A32C-205357D31A5C}"/>
    <hyperlink ref="H211" r:id="rId208" xr:uid="{D8E99A72-D5BA-4D1B-8780-E699CA0EA63B}"/>
    <hyperlink ref="H212" r:id="rId209" xr:uid="{5C77816C-1681-4AFD-8EB2-003ECD04B65F}"/>
    <hyperlink ref="H213" r:id="rId210" xr:uid="{3ED7EA02-D43A-4222-AF49-FE25AEFCAC9D}"/>
    <hyperlink ref="H214" r:id="rId211" xr:uid="{1FF1BA75-CF68-4744-A358-3F0F1DD6DD13}"/>
    <hyperlink ref="H215" r:id="rId212" xr:uid="{0A585593-DCBE-49E2-A16D-B90DBE04D95A}"/>
    <hyperlink ref="H216" r:id="rId213" xr:uid="{FA846F87-8F30-47BD-9A6B-39820BA3DDBD}"/>
    <hyperlink ref="H217" r:id="rId214" xr:uid="{5034DAED-A60D-468B-A57B-7EF7A1C47D91}"/>
    <hyperlink ref="H218" r:id="rId215" xr:uid="{2CBDE10B-66AA-4D23-BEAD-FF2DF9375ABA}"/>
    <hyperlink ref="H219" r:id="rId216" xr:uid="{F4306AFE-BD75-4DB4-AC88-E67BE69EC5ED}"/>
    <hyperlink ref="H220" r:id="rId217" xr:uid="{D7DF48C2-EEA6-4963-AECD-1E3978D6D767}"/>
    <hyperlink ref="H221" r:id="rId218" xr:uid="{1098B86A-42FD-412B-883D-829AF52B32BC}"/>
    <hyperlink ref="H222" r:id="rId219" xr:uid="{1E657A5D-BA93-4F36-9CE4-CDA5BB132232}"/>
    <hyperlink ref="H223" r:id="rId220" xr:uid="{707B1F09-CC93-4B9E-9EDA-F0FEF9285644}"/>
    <hyperlink ref="H224" r:id="rId221" xr:uid="{725E4B52-CA9A-4FD8-971C-75BB9A11F019}"/>
    <hyperlink ref="H225" r:id="rId222" xr:uid="{82048EA7-A30D-44BA-9F14-D1BE68194F33}"/>
    <hyperlink ref="H226" r:id="rId223" xr:uid="{1A2069D4-2857-4CEE-85B6-329B3FE3C5E0}"/>
    <hyperlink ref="H227" r:id="rId224" xr:uid="{A39294C3-BAD3-4BEC-BCD7-1E22EF2D19FD}"/>
    <hyperlink ref="H228" r:id="rId225" xr:uid="{6653D053-146E-4004-8C26-B48521A62FB1}"/>
    <hyperlink ref="H229" r:id="rId226" xr:uid="{B2E3DD81-9AF0-4342-9CCB-8D74755DFDFF}"/>
    <hyperlink ref="H230" r:id="rId227" xr:uid="{0CC22E76-EB13-4753-8C82-F103B7B7F693}"/>
    <hyperlink ref="H231" r:id="rId228" xr:uid="{328A7A97-6165-48B0-AA13-5461E972B217}"/>
    <hyperlink ref="H232" r:id="rId229" xr:uid="{603B4239-9CC2-44EC-AD28-8F6E7680DD99}"/>
    <hyperlink ref="H233" r:id="rId230" xr:uid="{8E423A34-5F3E-499E-9881-0161C6649685}"/>
    <hyperlink ref="H234" r:id="rId231" xr:uid="{BD7C7F3A-AEE1-4080-A20D-4AE6C90C9E57}"/>
    <hyperlink ref="H235" r:id="rId232" xr:uid="{9D7C0CFE-A5E0-41BE-A963-1A372D8D1848}"/>
    <hyperlink ref="H236" r:id="rId233" xr:uid="{5E24280B-098C-483A-BA24-DCDB55A86729}"/>
    <hyperlink ref="H237" r:id="rId234" xr:uid="{D179BA61-5C11-47EB-9601-A49D77FCBF57}"/>
    <hyperlink ref="H238" r:id="rId235" xr:uid="{8160B47A-DE22-4421-B541-161344F5AA8E}"/>
    <hyperlink ref="H239" r:id="rId236" xr:uid="{61C6C140-3AB8-4306-9CF1-70DB1E7BFFA4}"/>
    <hyperlink ref="H240" r:id="rId237" xr:uid="{68077FB8-63CD-4229-98A1-2E5824F506A3}"/>
    <hyperlink ref="H241" r:id="rId238" xr:uid="{633F5383-184F-4242-BD6C-C42F5B490112}"/>
    <hyperlink ref="H242" r:id="rId239" xr:uid="{5AFEF92F-25E4-4356-81EA-078DA5A681FD}"/>
    <hyperlink ref="H243" r:id="rId240" xr:uid="{C3CA4349-4958-469B-BED6-6AB067DE17B6}"/>
    <hyperlink ref="H244" r:id="rId241" xr:uid="{AAB574E2-D1B5-40C3-B533-AD33C08CEF11}"/>
    <hyperlink ref="H245" r:id="rId242" xr:uid="{7E9B670A-91B1-462A-8C0F-5EEA8BB02069}"/>
    <hyperlink ref="H246" r:id="rId243" xr:uid="{68714F9C-C335-4B40-86B0-C32AC03883CD}"/>
    <hyperlink ref="H247" r:id="rId244" xr:uid="{39FE76D5-BBB6-4B16-B14B-5BEB3EEF16E6}"/>
    <hyperlink ref="H248" r:id="rId245" xr:uid="{1061BC77-0E7D-4BB7-86CA-48E468FC79CC}"/>
    <hyperlink ref="H249" r:id="rId246" xr:uid="{A1FE51C5-8A52-4BF2-9721-6AF48724A2D4}"/>
    <hyperlink ref="H250" r:id="rId247" xr:uid="{54417C90-741A-4149-B1DF-B6E3017D1B83}"/>
    <hyperlink ref="H251" r:id="rId248" xr:uid="{EDD73559-DA05-4734-A63C-62F8601A0885}"/>
    <hyperlink ref="H252" r:id="rId249" xr:uid="{1CF3A3CB-67D2-47BB-A7D3-93E06C5481CD}"/>
    <hyperlink ref="H253" r:id="rId250" xr:uid="{8ABDBA0A-8A85-49D1-BF76-A4D510771335}"/>
    <hyperlink ref="H254" r:id="rId251" xr:uid="{3C229EF3-F73F-4E03-9369-86F776775EFD}"/>
    <hyperlink ref="H255" r:id="rId252" xr:uid="{374C81E0-FF05-41B7-A2A7-5EADC665984B}"/>
    <hyperlink ref="H256" r:id="rId253" xr:uid="{383E8FF9-F325-4A4A-84CF-0837BF516316}"/>
    <hyperlink ref="H257" r:id="rId254" xr:uid="{60833480-2508-4466-85CE-FBA130259748}"/>
    <hyperlink ref="H258" r:id="rId255" xr:uid="{C560E06C-3137-4A92-8032-553697B0B6A6}"/>
    <hyperlink ref="H259" r:id="rId256" xr:uid="{7E527EB4-57E6-4B8F-8054-F76F4D25E716}"/>
    <hyperlink ref="H260" r:id="rId257" xr:uid="{4F0C8D07-EB72-4561-ACCE-872BF9E45343}"/>
    <hyperlink ref="H261" r:id="rId258" xr:uid="{A83960E5-0262-496A-B7FC-6DE8B930C751}"/>
    <hyperlink ref="H262" r:id="rId259" xr:uid="{FFCE1AC6-EEE8-47A4-AA2B-9D536105ABEC}"/>
    <hyperlink ref="H263" r:id="rId260" xr:uid="{F359CE81-DAE2-4CDA-9450-07AB0F42474D}"/>
    <hyperlink ref="H264" r:id="rId261" xr:uid="{617221FD-EE7E-418C-A33C-78B4007DEB14}"/>
    <hyperlink ref="H265" r:id="rId262" xr:uid="{BBA70CF7-FD7C-4F1E-A3ED-17FFF0666137}"/>
    <hyperlink ref="H266" r:id="rId263" xr:uid="{77185E25-0883-415B-BACF-4FB6D2D7780F}"/>
    <hyperlink ref="H267" r:id="rId264" xr:uid="{BED50CBF-C6EC-4192-91F7-0E7638BAD3AF}"/>
    <hyperlink ref="H268" r:id="rId265" xr:uid="{4E026529-7B46-4952-9800-26419263E021}"/>
    <hyperlink ref="H269" r:id="rId266" xr:uid="{54F230FC-B314-4488-B441-61FE7FD1F17C}"/>
    <hyperlink ref="H270" r:id="rId267" xr:uid="{CEE2A998-46B0-414E-8752-EE6365C9361F}"/>
    <hyperlink ref="H271" r:id="rId268" xr:uid="{29B8B8AD-1C0A-4274-AABA-0256C5C40C02}"/>
    <hyperlink ref="H272" r:id="rId269" xr:uid="{8C35BF54-91D0-4932-9E0A-C9976CEE5DE2}"/>
    <hyperlink ref="H273" r:id="rId270" xr:uid="{C8411AB6-C614-4C3B-B301-AB766425ED63}"/>
    <hyperlink ref="H274" r:id="rId271" xr:uid="{97EBFE81-E0D7-4E9D-BF3E-6F6979CE461B}"/>
    <hyperlink ref="H275" r:id="rId272" xr:uid="{8B7173EB-7BDF-4272-8EF1-5D1CDD09D0D5}"/>
    <hyperlink ref="H276" r:id="rId273" xr:uid="{6C2EA522-1D63-42C0-8A66-F479BE6B0CCB}"/>
    <hyperlink ref="H277" r:id="rId274" xr:uid="{51F4CE53-7B29-42D1-8AF6-2E668E366817}"/>
    <hyperlink ref="H278" r:id="rId275" xr:uid="{F5980828-A2D9-4814-B57A-D88D5275129A}"/>
    <hyperlink ref="H279" r:id="rId276" xr:uid="{1FA43373-EB25-4293-97D8-F63B26474066}"/>
    <hyperlink ref="H280" r:id="rId277" xr:uid="{480CB673-76E4-4045-AD26-A85242932C53}"/>
    <hyperlink ref="H281" r:id="rId278" xr:uid="{D60D813B-79BC-4FDB-90D2-1FECEF6452B4}"/>
    <hyperlink ref="H282" r:id="rId279" xr:uid="{30D8D04B-8300-4CF7-A71B-F2DBC89B2165}"/>
    <hyperlink ref="H283" r:id="rId280" xr:uid="{5F37143D-2796-45B1-B1A4-8F893AA321A1}"/>
    <hyperlink ref="H284" r:id="rId281" xr:uid="{B695551F-21FB-4505-A952-BEF53247381F}"/>
    <hyperlink ref="H285" r:id="rId282" xr:uid="{06AA898F-64D9-45E1-A981-DF547E50F060}"/>
    <hyperlink ref="H286" r:id="rId283" xr:uid="{FB0BBC66-EAE6-4486-B8D5-14561ECBC707}"/>
    <hyperlink ref="H287" r:id="rId284" xr:uid="{1A94342E-1DE7-4831-A059-54BC01ADFE1B}"/>
    <hyperlink ref="H288" r:id="rId285" xr:uid="{48CFC8E7-7300-4707-984E-6E523D323F3B}"/>
    <hyperlink ref="H289" r:id="rId286" xr:uid="{FAA816B2-BE94-469C-9998-D9A2E068235E}"/>
    <hyperlink ref="H290" r:id="rId287" xr:uid="{3FF635F1-8CE8-431C-87B1-C35343E19FA1}"/>
    <hyperlink ref="H291" r:id="rId288" xr:uid="{7BB13248-1C95-4083-9C8F-B5BEF9D9153F}"/>
    <hyperlink ref="H292" r:id="rId289" xr:uid="{4DAF9916-03E7-45C6-BDE6-2E96E4AA8E46}"/>
    <hyperlink ref="H293" r:id="rId290" xr:uid="{BA54D130-F0DC-4BED-9AB7-7F712A30EA7A}"/>
    <hyperlink ref="H294" r:id="rId291" xr:uid="{563A1CD2-12B2-4CAD-BEFA-FF025FC17C7B}"/>
    <hyperlink ref="H295" r:id="rId292" xr:uid="{16C4B39E-7AB5-408F-8B5F-50C3E3033D55}"/>
    <hyperlink ref="H296" r:id="rId293" xr:uid="{0DCDBE93-CC2C-4D7B-B02D-A25C3244817F}"/>
    <hyperlink ref="H297" r:id="rId294" xr:uid="{4236CF24-9076-4D76-9CFB-91B48A6FCE80}"/>
    <hyperlink ref="H298" r:id="rId295" xr:uid="{418FEF02-94AA-4E11-B68B-FAAB5034EEEC}"/>
    <hyperlink ref="H299" r:id="rId296" xr:uid="{5A418EC5-6B2A-4828-8989-187000529194}"/>
    <hyperlink ref="H300" r:id="rId297" xr:uid="{E4AB2C61-491B-4D1C-88F3-90222D7A7E4A}"/>
    <hyperlink ref="H301" r:id="rId298" xr:uid="{430D2888-457E-49D3-8E65-62F4FCC7A05D}"/>
    <hyperlink ref="H302" r:id="rId299" xr:uid="{52267DF2-A585-43EA-9852-D150818B3556}"/>
    <hyperlink ref="H303" r:id="rId300" xr:uid="{E5631B5E-2C39-48FE-9EC6-DF959EC99FDF}"/>
    <hyperlink ref="H304" r:id="rId301" xr:uid="{7F21B008-544B-4CA9-979A-D48377FD85C6}"/>
    <hyperlink ref="H305" r:id="rId302" xr:uid="{1E96F9F1-FF33-4840-B2D3-2BDEA2D41AB9}"/>
    <hyperlink ref="H306" r:id="rId303" xr:uid="{2159398F-92B8-492D-B5EF-2A4BA2CE085A}"/>
    <hyperlink ref="H307" r:id="rId304" xr:uid="{5F5304CA-7DF4-427F-BC63-43DA8093D02D}"/>
    <hyperlink ref="H308" r:id="rId305" xr:uid="{C1A7B872-1A17-480F-8C26-7173481BDCF5}"/>
    <hyperlink ref="H309" r:id="rId306" xr:uid="{A68297FA-6C1B-41B8-9F7C-98FEE4AF0E14}"/>
    <hyperlink ref="H310" r:id="rId307" xr:uid="{F6889D32-EE9E-4B40-BA80-1C4DFD4D7E08}"/>
    <hyperlink ref="H311" r:id="rId308" xr:uid="{B8DEEA47-A935-47E1-B392-ED828EE4E2BC}"/>
    <hyperlink ref="H312" r:id="rId309" xr:uid="{1E7328F8-BD08-4D27-8557-AF65DC723C61}"/>
    <hyperlink ref="H313" r:id="rId310" xr:uid="{CF4B9D58-006A-4CF3-8FAD-C79D8C485F46}"/>
    <hyperlink ref="H314" r:id="rId311" xr:uid="{FC9B491E-7142-45D8-91AB-3BB67D458DB9}"/>
    <hyperlink ref="H315" r:id="rId312" xr:uid="{B2EFDC23-C4B8-406A-93F4-29C2ECAAE2D3}"/>
    <hyperlink ref="H316" r:id="rId313" xr:uid="{E0F5C383-AB27-492C-A2DB-6904D8E0FD92}"/>
    <hyperlink ref="H317" r:id="rId314" xr:uid="{A931DF76-8352-4F20-A98B-9A0620211A41}"/>
    <hyperlink ref="H318" r:id="rId315" xr:uid="{98D528AF-0454-4672-8C8C-F76DE22A75A7}"/>
    <hyperlink ref="H320" r:id="rId316" xr:uid="{6315D2FD-227A-4DCE-9333-69466E481E7A}"/>
    <hyperlink ref="H321" r:id="rId317" xr:uid="{67297A94-E3AE-4386-8A6F-BE9CD0D214C6}"/>
    <hyperlink ref="H322" r:id="rId318" xr:uid="{ECD1046F-B64C-4A68-88AD-B25CFBA56038}"/>
    <hyperlink ref="H323" r:id="rId319" xr:uid="{ECE75580-2522-4BC1-B9BB-1961A9BD9495}"/>
    <hyperlink ref="H324" r:id="rId320" xr:uid="{6DF3C24D-F7B6-4B60-8356-3165412BA01F}"/>
    <hyperlink ref="H325" r:id="rId321" xr:uid="{812AF008-9BB8-4FC5-A0BF-C75CA8F255A0}"/>
    <hyperlink ref="H326" r:id="rId322" xr:uid="{267CC0CA-16C6-4C5C-AD08-00A7C0F95ADF}"/>
    <hyperlink ref="H327" r:id="rId323" xr:uid="{30086801-9BAA-4484-BB55-3E9F0BCC3F70}"/>
    <hyperlink ref="H328" r:id="rId324" xr:uid="{A2AE14CC-443B-4F69-957E-91F9CEA6AE91}"/>
    <hyperlink ref="H329" r:id="rId325" xr:uid="{248F3676-E75C-4998-8923-E13A3A1F08F3}"/>
    <hyperlink ref="H330" r:id="rId326" xr:uid="{B9765E0D-9727-49CD-987D-78CF06B113CE}"/>
    <hyperlink ref="H331" r:id="rId327" xr:uid="{AF2F164B-23FF-4B4C-AF0A-ED2D4BFE7A77}"/>
    <hyperlink ref="H332" r:id="rId328" xr:uid="{39E653FC-A84A-4181-8D52-D12543D59FB5}"/>
    <hyperlink ref="H333" r:id="rId329" xr:uid="{7F0073D5-138C-439C-B612-77282E1F3ADD}"/>
    <hyperlink ref="H334" r:id="rId330" xr:uid="{F1769772-CBE3-4F21-AFA3-56266C472231}"/>
    <hyperlink ref="H335" r:id="rId331" xr:uid="{8BA2CDD2-B73B-40D9-889E-7F4992983096}"/>
    <hyperlink ref="H336" r:id="rId332" xr:uid="{9DB67702-0F6D-4DA5-9E0A-42ABFF87EF32}"/>
    <hyperlink ref="H337" r:id="rId333" xr:uid="{F756435A-F9FD-4D89-B2C7-91DEA50CB4AE}"/>
    <hyperlink ref="H338" r:id="rId334" xr:uid="{825A3983-6037-4D12-B436-2E289C71D0DA}"/>
    <hyperlink ref="H339" r:id="rId335" xr:uid="{21858BDB-06C2-4CB6-B22F-9FA1B043F56D}"/>
    <hyperlink ref="H340" r:id="rId336" xr:uid="{EAB588D8-47B6-4AB3-851C-6716571F8562}"/>
    <hyperlink ref="H341" r:id="rId337" xr:uid="{5B6737CD-26BB-4CF0-A600-99FDC2999A56}"/>
    <hyperlink ref="H342" r:id="rId338" xr:uid="{076074FB-D5D0-40A0-B5B5-127D9AE769ED}"/>
    <hyperlink ref="H343" r:id="rId339" xr:uid="{75CC80BA-78D3-419C-8509-F0A417ED2575}"/>
    <hyperlink ref="H344" r:id="rId340" xr:uid="{548A683E-AD19-4688-A665-6082C7DC9010}"/>
    <hyperlink ref="H345" r:id="rId341" xr:uid="{5066B286-8190-4749-AD13-53BD1F8C3271}"/>
    <hyperlink ref="H346" r:id="rId342" xr:uid="{D8F05EE2-7EFA-4A89-B208-DB7D66E9B29C}"/>
    <hyperlink ref="H347" r:id="rId343" xr:uid="{2766C284-3E54-4601-A222-6F3A6D0A7D29}"/>
    <hyperlink ref="H348" r:id="rId344" xr:uid="{DC499FA9-EE51-4DFE-9D87-F5AE6477C5DA}"/>
    <hyperlink ref="H349" r:id="rId345" xr:uid="{E26D565B-6876-452E-B583-18D55E1470AD}"/>
    <hyperlink ref="H350" r:id="rId346" xr:uid="{9BBA6091-8232-4495-BFED-6129452CCFD6}"/>
    <hyperlink ref="H351" r:id="rId347" xr:uid="{ABFC9C8D-8FFC-45AF-B4DA-CB3A0A9B9F2F}"/>
    <hyperlink ref="H352" r:id="rId348" xr:uid="{6D855111-3564-49B8-BA1D-40AF74E09018}"/>
    <hyperlink ref="H353" r:id="rId349" xr:uid="{FCC814BF-4426-4D64-909B-6929A8872B90}"/>
    <hyperlink ref="H354" r:id="rId350" xr:uid="{0B3B33E8-470B-4A1F-949F-4F4671463135}"/>
    <hyperlink ref="H355" r:id="rId351" xr:uid="{491E00FD-CFAD-437C-8CCF-2AD36167B4A7}"/>
    <hyperlink ref="H356" r:id="rId352" xr:uid="{F355D265-198E-461F-92A2-9130C45A3AC8}"/>
    <hyperlink ref="H357" r:id="rId353" xr:uid="{D20BFC1C-4098-422A-8779-820D7302C197}"/>
    <hyperlink ref="H358" r:id="rId354" xr:uid="{90747BEA-37E7-4A0C-AEC7-99E4461EFC1D}"/>
    <hyperlink ref="H359" r:id="rId355" xr:uid="{0557BEAB-5F27-459A-BAA8-62EEA71921E4}"/>
    <hyperlink ref="H360" r:id="rId356" xr:uid="{FACBE136-2832-46B8-8767-DDBDA4B260DE}"/>
    <hyperlink ref="H361" r:id="rId357" xr:uid="{3A188D83-2C6F-4B1B-99DC-CE68A3883184}"/>
    <hyperlink ref="H362" r:id="rId358" xr:uid="{313B2319-7A77-4647-90C6-BB1F3520E2ED}"/>
    <hyperlink ref="H363" r:id="rId359" xr:uid="{1FE8691C-F4BC-436B-99FF-CB16E149BAB8}"/>
    <hyperlink ref="H364" r:id="rId360" xr:uid="{CBCF7F83-5CB9-4421-8136-176022268EBD}"/>
    <hyperlink ref="H365" r:id="rId361" xr:uid="{18EABD8C-30F4-4C27-A00B-E76359DE0A3E}"/>
    <hyperlink ref="H366" r:id="rId362" xr:uid="{9BAA1922-B06A-49EF-824C-85CDB26C70B4}"/>
    <hyperlink ref="H367" r:id="rId363" xr:uid="{4F3F6265-34CA-4FC0-A90E-275E495930B5}"/>
    <hyperlink ref="H368" r:id="rId364" xr:uid="{6BFE20F5-080E-45FD-8E5E-E6B4F19FEAE2}"/>
    <hyperlink ref="H369" r:id="rId365" xr:uid="{21E2707A-BA7F-4B4D-8048-F14A08C1B2E3}"/>
    <hyperlink ref="H370" r:id="rId366" xr:uid="{4CFDCF58-1E83-41DF-A38E-C9CB49856BE8}"/>
    <hyperlink ref="H371" r:id="rId367" xr:uid="{6595830D-75CA-4F02-8E0B-D7E3C5C5EDCB}"/>
    <hyperlink ref="H372" r:id="rId368" xr:uid="{10EDEEA7-13BB-4FCC-83A3-A07BD9B53993}"/>
    <hyperlink ref="H373" r:id="rId369" xr:uid="{176BE408-3CB9-483F-8CEF-BD4DE236BA0D}"/>
    <hyperlink ref="H374" r:id="rId370" xr:uid="{914A2DA1-7EBD-4E51-84BC-C30FD251075D}"/>
    <hyperlink ref="H375" r:id="rId371" xr:uid="{64D4F083-775E-4390-BDD7-5DB85DFD8DC2}"/>
    <hyperlink ref="H376" r:id="rId372" xr:uid="{38047634-34BC-4916-BCCD-D70D3CFA6AA7}"/>
    <hyperlink ref="H377" r:id="rId373" xr:uid="{0FDE55FA-AF6F-4063-BFD2-975AA62DFAA5}"/>
    <hyperlink ref="H378" r:id="rId374" xr:uid="{649AFA6B-61B0-45EF-B69C-BBFA3773689A}"/>
    <hyperlink ref="H379" r:id="rId375" xr:uid="{50BB545E-A313-4BEB-A0A8-6A922D7675DC}"/>
    <hyperlink ref="H380" r:id="rId376" xr:uid="{1FA6135A-15DE-4CAC-A2E5-EE600DF34B77}"/>
    <hyperlink ref="H381" r:id="rId377" xr:uid="{D30E8A24-FC8D-4B1A-B1AF-AE6C6946336E}"/>
    <hyperlink ref="H382" r:id="rId378" xr:uid="{89C3C668-2682-4DA5-B103-6FC773F3826E}"/>
    <hyperlink ref="H383" r:id="rId379" xr:uid="{E97A7332-FBF6-4B7A-AA1D-9BEBAF9E18BC}"/>
    <hyperlink ref="H384" r:id="rId380" xr:uid="{D340C09D-2468-4938-A96C-3A90E156939E}"/>
    <hyperlink ref="H385" r:id="rId381" xr:uid="{CA8CA39A-BA69-4C5F-B81D-5B40A74E5DCE}"/>
    <hyperlink ref="H386" r:id="rId382" xr:uid="{71C2A099-1618-4FF4-B2EC-82BAD4907543}"/>
    <hyperlink ref="H387" r:id="rId383" xr:uid="{B7089716-0BA1-410E-AB59-D91DC15D42E2}"/>
    <hyperlink ref="H388" r:id="rId384" xr:uid="{C07D6092-36F6-402A-83F2-4401AE333F0B}"/>
    <hyperlink ref="H389" r:id="rId385" xr:uid="{0F5A5072-7ED5-4DA9-BFBD-4257F4526F99}"/>
    <hyperlink ref="H390" r:id="rId386" xr:uid="{FF5D97F4-18A0-400B-94E2-557E094B3977}"/>
    <hyperlink ref="H391" r:id="rId387" xr:uid="{E06793AD-DC3B-454C-98DD-C738DB4E1D04}"/>
    <hyperlink ref="H392" r:id="rId388" xr:uid="{36E2D518-5915-4D31-BE4E-F6CC9A03C1A7}"/>
    <hyperlink ref="H393" r:id="rId389" xr:uid="{EF8F26FF-FD75-4845-A6C4-5592B34E5A55}"/>
    <hyperlink ref="H394" r:id="rId390" xr:uid="{8F57615E-979B-4ED0-82E9-D202F7CF10E3}"/>
    <hyperlink ref="H395" r:id="rId391" xr:uid="{BFAEDF52-9077-4A84-AC67-73856CD9B5F1}"/>
    <hyperlink ref="H396" r:id="rId392" xr:uid="{3B4BE926-DE5A-4F1C-813A-CA1979B6D9EB}"/>
    <hyperlink ref="H397" r:id="rId393" xr:uid="{187A3641-0060-42D1-ADC4-E1B512DD0B07}"/>
    <hyperlink ref="H398" r:id="rId394" xr:uid="{83F34D5F-15A8-4BE4-90D5-E088C7F468CF}"/>
    <hyperlink ref="H399" r:id="rId395" xr:uid="{DBF959A4-86B8-40B7-AA44-7BB71E517417}"/>
    <hyperlink ref="H400" r:id="rId396" xr:uid="{3E8A6ABC-BACE-48D7-8430-AE33AF6AE9B6}"/>
    <hyperlink ref="H401" r:id="rId397" xr:uid="{682726BC-7EE0-427C-B530-0B5FC352C4BC}"/>
    <hyperlink ref="H402" r:id="rId398" xr:uid="{6652654F-5FF0-4FD9-AEB9-41959C5DBFB5}"/>
    <hyperlink ref="H403" r:id="rId399" xr:uid="{B954278F-6DE2-4CF2-BEE2-AABC4B7BD853}"/>
    <hyperlink ref="H404" r:id="rId400" xr:uid="{4A065922-8642-4ED7-9598-E38615E49CF3}"/>
    <hyperlink ref="H405" r:id="rId401" xr:uid="{DF3FF220-ED7F-4BC6-ABF2-CCE3040830EE}"/>
    <hyperlink ref="H407" r:id="rId402" xr:uid="{048BE406-FFCB-437C-A785-E1B48B860EB2}"/>
    <hyperlink ref="H408" r:id="rId403" xr:uid="{8479DB06-F702-4F23-80A7-B6C37B7EED50}"/>
    <hyperlink ref="H409" r:id="rId404" xr:uid="{38B3A801-8DDA-4FB9-8F60-FC79EA47393B}"/>
    <hyperlink ref="H410" r:id="rId405" xr:uid="{6DCB82C5-E95D-434C-952F-A567534F1DCB}"/>
    <hyperlink ref="H411" r:id="rId406" xr:uid="{D469CC0B-6CFE-4245-AD18-586474E05B7B}"/>
    <hyperlink ref="H412" r:id="rId407" xr:uid="{23A87F33-37A4-4515-B120-B9FC37A78CD5}"/>
    <hyperlink ref="H413" r:id="rId408" xr:uid="{0EA9A295-5223-4C5C-BC8E-B0F3FE98B7A4}"/>
    <hyperlink ref="H414" r:id="rId409" xr:uid="{A0590CD2-E3C4-47BE-8434-EC42D20CE722}"/>
    <hyperlink ref="H415" r:id="rId410" xr:uid="{A46F004A-391E-4A4B-B26C-1884CD681233}"/>
    <hyperlink ref="H416" r:id="rId411" xr:uid="{91923894-9D47-4F89-9448-44289BEE35D3}"/>
    <hyperlink ref="H417" r:id="rId412" xr:uid="{670C441B-E1A5-40ED-9107-63514549E5BB}"/>
    <hyperlink ref="H418" r:id="rId413" xr:uid="{2745F208-051D-4F16-A6AC-16A763B7919D}"/>
    <hyperlink ref="H419" r:id="rId414" xr:uid="{358A4EDB-8A8B-4BB4-B6B4-3C34CE5C267D}"/>
    <hyperlink ref="H420" r:id="rId415" xr:uid="{1F11655B-448D-4DAC-AF3F-D9F2613338A0}"/>
    <hyperlink ref="H421" r:id="rId416" xr:uid="{A21FB00A-9753-4171-9FDD-4A582119FAB4}"/>
    <hyperlink ref="H422" r:id="rId417" xr:uid="{0435E892-51D9-4AD3-9F71-4E799D50349A}"/>
    <hyperlink ref="H423" r:id="rId418" xr:uid="{403B94BA-6A92-4D75-9A03-491ABA3862A1}"/>
    <hyperlink ref="H424" r:id="rId419" xr:uid="{93459F96-052F-460C-8120-C936ABEAF0FC}"/>
    <hyperlink ref="H425" r:id="rId420" xr:uid="{954E91DF-0D4C-4CC3-BA75-ACD5490B156F}"/>
    <hyperlink ref="H426" r:id="rId421" xr:uid="{4687D393-0E9F-43C1-A778-EAF99C45AF95}"/>
    <hyperlink ref="H427" r:id="rId422" xr:uid="{E017987B-97B9-4DCC-8B3D-D3B6C7F8428D}"/>
    <hyperlink ref="H428" r:id="rId423" xr:uid="{CE4F7AB8-4450-4E91-A95E-5A246EF7FF52}"/>
    <hyperlink ref="H429" r:id="rId424" xr:uid="{237123D1-09B0-4C20-A897-09C3E5BE8AE4}"/>
    <hyperlink ref="H430" r:id="rId425" xr:uid="{CBBEA236-2240-42F6-B650-D3E9A055A410}"/>
    <hyperlink ref="H431" r:id="rId426" xr:uid="{2445A457-BCCD-43A1-A49C-44B2729E31B8}"/>
    <hyperlink ref="H432" r:id="rId427" xr:uid="{94624065-D1C7-41B2-85A2-E97CD513FD71}"/>
    <hyperlink ref="H433" r:id="rId428" xr:uid="{35E180A5-3E6F-470C-8F04-07E0E7578F03}"/>
    <hyperlink ref="H435" r:id="rId429" xr:uid="{F490C49E-81D8-4B6F-BDAF-4D15F9D82163}"/>
    <hyperlink ref="H436" r:id="rId430" xr:uid="{13FD5175-CAAD-40D9-B7D9-F5A1D5C0A026}"/>
    <hyperlink ref="H437" r:id="rId431" xr:uid="{C81C0997-3CD6-4B3F-BEE3-C060CA321080}"/>
    <hyperlink ref="H438" r:id="rId432" xr:uid="{1DAC8E5F-CF0C-4265-9FF6-503E8D118A4E}"/>
    <hyperlink ref="H439" r:id="rId433" xr:uid="{5658E661-DC9C-43D2-B2B8-A3A95ACBC70F}"/>
    <hyperlink ref="H440" r:id="rId434" xr:uid="{BEBD8165-A2AF-4D22-9547-4A82C90EE766}"/>
    <hyperlink ref="H441" r:id="rId435" xr:uid="{43B4DD9B-697F-4C2E-A2BE-73B4BD077FF4}"/>
    <hyperlink ref="H442" r:id="rId436" xr:uid="{8CF19109-761B-4D5C-8B26-1032EB36B580}"/>
    <hyperlink ref="H443" r:id="rId437" xr:uid="{8F038DD7-1B3E-4EC9-80A2-7A8D2A39AA1F}"/>
    <hyperlink ref="H444" r:id="rId438" xr:uid="{D0DF0F1C-C372-4679-9EF2-7E7D5478F1BD}"/>
    <hyperlink ref="H445" r:id="rId439" xr:uid="{2D5E8DD6-08CF-4BF7-B8AA-60F7FB185100}"/>
    <hyperlink ref="H446" r:id="rId440" xr:uid="{1490D28A-58A1-4ED0-9179-AF7410615A45}"/>
    <hyperlink ref="H447" r:id="rId441" xr:uid="{4F9C0751-09D0-48FF-B940-C565406C2E24}"/>
    <hyperlink ref="H448" r:id="rId442" xr:uid="{DF61CF80-C0C0-4F55-BC10-EB2DD0699FAC}"/>
    <hyperlink ref="H449" r:id="rId443" xr:uid="{49E147BF-B2E3-422A-9069-B5665A2AD213}"/>
    <hyperlink ref="H450" r:id="rId444" xr:uid="{3526CD1D-02E7-4561-81E1-EE86DB567B4F}"/>
    <hyperlink ref="H451" r:id="rId445" xr:uid="{B54D0F20-81A5-4FA4-AA63-BFDB8B1A5866}"/>
    <hyperlink ref="H452" r:id="rId446" xr:uid="{50C9F3C8-DE4B-4D2E-915E-21EB809F7F3B}"/>
    <hyperlink ref="H453" r:id="rId447" xr:uid="{49D4D0FF-F3CA-4268-92D9-856D0BEB47AD}"/>
    <hyperlink ref="H454" r:id="rId448" xr:uid="{1C12225C-F996-40C5-98BD-7472EA33E9A4}"/>
    <hyperlink ref="H455" r:id="rId449" xr:uid="{A38AF3BB-E2CA-4C1C-8147-886B87F84FC8}"/>
    <hyperlink ref="H456" r:id="rId450" xr:uid="{DE52135E-ECF8-45FC-907B-479B071E0230}"/>
    <hyperlink ref="H457" r:id="rId451" xr:uid="{902D9334-631C-4B94-82C2-FEFA0B0AE5C6}"/>
    <hyperlink ref="H458" r:id="rId452" xr:uid="{B2A6C405-1CED-4AF2-AD6A-1CA52802BD62}"/>
    <hyperlink ref="H459" r:id="rId453" xr:uid="{CC94381C-44FD-47E4-906A-0072DB90A170}"/>
    <hyperlink ref="H460" r:id="rId454" xr:uid="{49FF9104-61AC-4F50-A124-D99501AD51AA}"/>
    <hyperlink ref="H461" r:id="rId455" xr:uid="{8A395035-A5CB-46C3-B820-F57D87B2DED8}"/>
    <hyperlink ref="H462" r:id="rId456" xr:uid="{1A5C6294-8F7B-4DFA-B3F1-303DC6E3808B}"/>
    <hyperlink ref="H463" r:id="rId457" xr:uid="{FAD86B16-C16F-482B-B0AC-D4B3EE58E99C}"/>
    <hyperlink ref="H464" r:id="rId458" xr:uid="{5E4BA895-57C5-4803-90E1-3B972AFD15CE}"/>
    <hyperlink ref="H465" r:id="rId459" xr:uid="{45B0B79C-B8F7-40A8-9F1F-128BFBBBF880}"/>
    <hyperlink ref="H466" r:id="rId460" xr:uid="{FFEB47B4-EA9B-4313-9ACF-D82B871C5679}"/>
    <hyperlink ref="H467" r:id="rId461" xr:uid="{4D8124C0-FD39-41C2-8D2E-76F1E9464265}"/>
    <hyperlink ref="H468" r:id="rId462" xr:uid="{FCD2D672-935E-414A-80D0-BFC3D4BB3C6A}"/>
    <hyperlink ref="H469" r:id="rId463" xr:uid="{4A312B2E-C377-4247-A771-8CF0D3A0DFC9}"/>
    <hyperlink ref="H470" r:id="rId464" xr:uid="{41D90299-8142-4767-B77F-6630FA7C5D48}"/>
    <hyperlink ref="H471" r:id="rId465" xr:uid="{C45F4147-BCBF-4139-80CC-B5BDAFC0C5BE}"/>
    <hyperlink ref="H472" r:id="rId466" xr:uid="{9377B258-33CE-4264-A540-11DF0E420CC1}"/>
    <hyperlink ref="H473" r:id="rId467" xr:uid="{20025ABF-0990-4BD2-B295-7BF3FF16A2DD}"/>
    <hyperlink ref="H476" r:id="rId468" xr:uid="{AB60410D-27DD-4732-8DF8-D9438EEB4CF0}"/>
    <hyperlink ref="H477" r:id="rId469" xr:uid="{41CDF4AF-FB50-4DD8-BEEE-EE8F079CA0D1}"/>
    <hyperlink ref="H478" r:id="rId470" xr:uid="{8D7CA057-3F77-441F-9D64-18E6CF888997}"/>
    <hyperlink ref="H479" r:id="rId471" xr:uid="{A1AA3042-1DD5-4C46-B78F-EE31E8410F20}"/>
    <hyperlink ref="H480" r:id="rId472" xr:uid="{3821DFE7-B5D6-4B6A-A637-507A110ECD3F}"/>
    <hyperlink ref="H481" r:id="rId473" xr:uid="{22F74A74-E217-4B1E-8045-01BD026E33F9}"/>
    <hyperlink ref="H482" r:id="rId474" xr:uid="{0F548486-04AF-4EE2-9E52-51313C4AA5D7}"/>
    <hyperlink ref="H483" r:id="rId475" xr:uid="{856D532E-724F-4B57-9224-CD486B2FDBEF}"/>
    <hyperlink ref="H484" r:id="rId476" xr:uid="{9B38071E-8E49-4AA8-B94D-34EB4219286C}"/>
    <hyperlink ref="H485" r:id="rId477" xr:uid="{3633303E-053A-42FC-824E-812ADB859406}"/>
    <hyperlink ref="H486" r:id="rId478" xr:uid="{4E2BBD6A-6897-455F-9EB8-12F11127D584}"/>
    <hyperlink ref="H487" r:id="rId479" xr:uid="{59E6EEF1-7AEC-41B5-A3F4-2414CB43C32A}"/>
    <hyperlink ref="H488" r:id="rId480" xr:uid="{8D9966B6-379C-4B87-BBF7-65A0A6CDA61E}"/>
    <hyperlink ref="H489" r:id="rId481" xr:uid="{2EA565AC-EAAB-4888-9453-83404C75AA5B}"/>
    <hyperlink ref="H490" r:id="rId482" xr:uid="{AAABD19F-F5BD-4CEE-B560-B086F29D308C}"/>
    <hyperlink ref="H491" r:id="rId483" xr:uid="{AA6AE0D4-FC10-4AB0-B148-17E5CD368EDA}"/>
    <hyperlink ref="H492" r:id="rId484" xr:uid="{1DB27A4D-9F0E-4B81-82C1-CAC72C0FBA1B}"/>
    <hyperlink ref="H493" r:id="rId485" xr:uid="{3853ACFE-6C79-4CB9-A4E6-C310F63BF051}"/>
    <hyperlink ref="H494" r:id="rId486" xr:uid="{8F076BF8-C255-42AF-A545-37F0874A4A00}"/>
    <hyperlink ref="H495" r:id="rId487" xr:uid="{9AE4E7C5-7C03-4390-AE6D-5677438EE6EC}"/>
    <hyperlink ref="H496" r:id="rId488" xr:uid="{68DC2704-164D-4613-8A25-E5006F5E30EE}"/>
    <hyperlink ref="H497" r:id="rId489" xr:uid="{8F1CA876-DAD8-47FD-A593-488E7B243B14}"/>
    <hyperlink ref="H498" r:id="rId490" xr:uid="{85493872-3C9D-406B-AE6F-64ECF5265709}"/>
    <hyperlink ref="H499" r:id="rId491" xr:uid="{87E6E3E3-0E45-4F79-82D4-A1DD0097E99B}"/>
    <hyperlink ref="H500" r:id="rId492" xr:uid="{E8385A77-7774-46D8-BA46-166BDA8A04C0}"/>
    <hyperlink ref="H501" r:id="rId493" xr:uid="{A8EDB25D-8346-46B2-B85D-20B3BBB7205E}"/>
    <hyperlink ref="H502" r:id="rId494" xr:uid="{F8977785-F7CE-4E1D-B023-635FBADF217A}"/>
    <hyperlink ref="H503" r:id="rId495" xr:uid="{CDE58F3E-97A0-43E6-9A94-C1A8E740F83A}"/>
    <hyperlink ref="H504" r:id="rId496" xr:uid="{41AB3977-5E96-42F8-A5A1-969639A7D2D5}"/>
    <hyperlink ref="H505" r:id="rId497" xr:uid="{79DEF21C-5D94-4688-B239-249B73ED2619}"/>
    <hyperlink ref="H507" r:id="rId498" xr:uid="{5A3EBE0F-9604-4E82-9F6E-BEB0B87C6918}"/>
    <hyperlink ref="H508" r:id="rId499" xr:uid="{8CA42EA2-0153-4C0A-B35C-4B774BE090A9}"/>
    <hyperlink ref="H509" r:id="rId500" xr:uid="{EC412151-031F-4546-A81E-5DABCB9B02BF}"/>
    <hyperlink ref="H510" r:id="rId501" xr:uid="{4DFFE0CD-8009-498D-BA28-76ECA84839AA}"/>
    <hyperlink ref="H511" r:id="rId502" xr:uid="{B2A2BC42-F98C-4657-9C6A-4FC040CDEBC5}"/>
    <hyperlink ref="H512" r:id="rId503" xr:uid="{30F44856-B80A-4CFD-9E40-C8E9D5F35D57}"/>
    <hyperlink ref="H513" r:id="rId504" xr:uid="{9326EDAF-1C1F-411B-B2B0-6C99AC19A6AF}"/>
    <hyperlink ref="H514" r:id="rId505" xr:uid="{FD160948-4ACF-4E1D-AB57-4992E0D10D64}"/>
    <hyperlink ref="H515" r:id="rId506" xr:uid="{936011B8-BB50-4F39-958A-05C06F91FC34}"/>
    <hyperlink ref="H516" r:id="rId507" xr:uid="{208BE010-B44D-4E40-8287-3CCED0672E9D}"/>
    <hyperlink ref="H517" r:id="rId508" xr:uid="{613A5094-2869-4592-9625-96677EF60EAC}"/>
    <hyperlink ref="H518" r:id="rId509" xr:uid="{1D7D7E78-3276-4562-8859-8E286A91C708}"/>
    <hyperlink ref="H520" r:id="rId510" xr:uid="{1701B084-76AB-434C-9560-229F5135EA84}"/>
    <hyperlink ref="H521" r:id="rId511" xr:uid="{A5A2A475-EEDD-41AC-902E-4A318E489909}"/>
    <hyperlink ref="H522" r:id="rId512" xr:uid="{01B5A8C8-8199-4F16-9B10-016C4C63DB70}"/>
    <hyperlink ref="H523" r:id="rId513" xr:uid="{B1D1A493-115D-4497-91B6-D8C58548947E}"/>
    <hyperlink ref="H524" r:id="rId514" xr:uid="{74CB0AC2-3843-4AA7-A9B0-EA3E9D457CBF}"/>
    <hyperlink ref="H525" r:id="rId515" xr:uid="{BB07FF78-EE6C-485A-A7AF-AFBFF8B00227}"/>
    <hyperlink ref="H526" r:id="rId516" xr:uid="{A46580F3-0ECD-499E-BC57-5A3B50B5DAFE}"/>
    <hyperlink ref="H527" r:id="rId517" xr:uid="{9352A579-A875-4F67-8931-26586C7FD886}"/>
    <hyperlink ref="H528" r:id="rId518" xr:uid="{340E9490-2ECD-483A-AF0C-4A8A5D318A7D}"/>
    <hyperlink ref="H529" r:id="rId519" xr:uid="{85B9F8F7-BD2A-4DB1-8352-D3E7400A9CCC}"/>
    <hyperlink ref="H530" r:id="rId520" xr:uid="{F8247F28-57C6-4F9A-BE23-168DE84ABB47}"/>
    <hyperlink ref="H531" r:id="rId521" xr:uid="{5F5A05EB-B91E-47A3-A98E-6E1C99B34902}"/>
    <hyperlink ref="H532" r:id="rId522" xr:uid="{D7E03F1D-F6E2-4670-8DF4-B4BACA369D0B}"/>
    <hyperlink ref="H533" r:id="rId523" xr:uid="{339BBE83-2539-488C-A3E2-449B72BD1495}"/>
    <hyperlink ref="H534" r:id="rId524" xr:uid="{8216682A-A621-407E-BD62-715EBB27F79E}"/>
    <hyperlink ref="H536" r:id="rId525" xr:uid="{A3AA10B9-8CB7-4F92-91F6-0CE82C883F7E}"/>
    <hyperlink ref="H537" r:id="rId526" xr:uid="{F7BC55C5-B57B-41E3-A30A-0994ECC9BD68}"/>
    <hyperlink ref="H538" r:id="rId527" xr:uid="{E3DEA40C-6A17-4AE6-87CE-281DFA8D1FF1}"/>
    <hyperlink ref="H539" r:id="rId528" xr:uid="{4109B862-B6C2-4FA7-9559-F6E0C62DD3E0}"/>
    <hyperlink ref="H540" r:id="rId529" xr:uid="{7FBD3338-77BD-4223-AA33-EBADB09617ED}"/>
    <hyperlink ref="H541" r:id="rId530" xr:uid="{1411FD53-D486-401E-94C5-296532F15CFE}"/>
    <hyperlink ref="H542" r:id="rId531" xr:uid="{B8816008-AE62-47AC-BCDD-8C88CE29597B}"/>
    <hyperlink ref="H543" r:id="rId532" xr:uid="{61EABC2F-9699-449C-9878-F47C6B06E7AD}"/>
    <hyperlink ref="H544" r:id="rId533" xr:uid="{9E2FB488-B2AB-4EEA-8734-8F0B5F29369C}"/>
    <hyperlink ref="H545" r:id="rId534" xr:uid="{47FD339E-9755-41C6-A9F5-F5F9DEEDDEC3}"/>
    <hyperlink ref="H546" r:id="rId535" xr:uid="{099CDA27-5F32-4142-9C7D-2FA3AC8C71D5}"/>
    <hyperlink ref="H547" r:id="rId536" xr:uid="{07FFFF60-C7B1-4BED-8977-1935ECD5550E}"/>
    <hyperlink ref="H548" r:id="rId537" xr:uid="{C5560528-D75D-4F1A-A736-B9C963D35686}"/>
    <hyperlink ref="H549" r:id="rId538" xr:uid="{99D84E44-9279-4F87-8B69-DFD535BC9FD6}"/>
    <hyperlink ref="H550" r:id="rId539" xr:uid="{D89962A9-938A-44C5-82CF-6A5133E450A9}"/>
    <hyperlink ref="H551" r:id="rId540" xr:uid="{70178FAE-95DB-4DC2-B7B5-0094EB332182}"/>
    <hyperlink ref="H552" r:id="rId541" xr:uid="{88A2350E-2E40-4E1A-9603-080C52E07C8D}"/>
    <hyperlink ref="H553" r:id="rId542" xr:uid="{626C0FEA-0F19-471E-A6B6-971D0DC5D630}"/>
    <hyperlink ref="H554" r:id="rId543" xr:uid="{C5B9E24B-5D49-4FA5-8BFB-CD0409F995D7}"/>
    <hyperlink ref="H555" r:id="rId544" xr:uid="{236A2FA2-27BB-451E-9138-0FFDF7FCEA9A}"/>
    <hyperlink ref="H556" r:id="rId545" xr:uid="{100C2122-02E7-4B47-B7A3-E5EE61D00F63}"/>
    <hyperlink ref="H557" r:id="rId546" xr:uid="{51A092D3-116C-4E09-80D4-462DC5B3A03F}"/>
    <hyperlink ref="H558" r:id="rId547" xr:uid="{7A3FC821-E387-4323-9575-211B0E94CFE9}"/>
    <hyperlink ref="H559" r:id="rId548" xr:uid="{A7FA3DF2-9BF3-4DEE-B10C-96FBC5F70793}"/>
    <hyperlink ref="H560" r:id="rId549" xr:uid="{1217E0F1-09F1-4B46-AD3B-3E198E27C71D}"/>
    <hyperlink ref="H561" r:id="rId550" xr:uid="{55E3B2BF-9451-411C-A490-436A3EB8F731}"/>
    <hyperlink ref="H562" r:id="rId551" xr:uid="{1DD42E1A-3176-4CE3-9015-C56EE30B8DAC}"/>
    <hyperlink ref="H563" r:id="rId552" xr:uid="{8A27939B-CBD6-4DD0-98A0-7CF2BA033F5D}"/>
    <hyperlink ref="H564" r:id="rId553" xr:uid="{812ACBA2-8AD5-4CFB-8951-8BD7151EEDFA}"/>
    <hyperlink ref="H565" r:id="rId554" xr:uid="{73DA3E96-F37E-48E2-B85C-CA4AA7FA392A}"/>
    <hyperlink ref="H566" r:id="rId555" xr:uid="{52CE6F5F-388D-44B8-ADBE-3DBEF3EECAAF}"/>
    <hyperlink ref="H567" r:id="rId556" xr:uid="{EEE040D5-81DF-441B-B99E-5C497BAB1802}"/>
    <hyperlink ref="H568" r:id="rId557" xr:uid="{95F44438-6720-4AD8-A994-549E47C7486B}"/>
    <hyperlink ref="H569" r:id="rId558" xr:uid="{C53EB2F1-1DFF-407B-AFF9-131C5CDD229F}"/>
    <hyperlink ref="H570" r:id="rId559" xr:uid="{5903C4BF-28A0-4FF6-9292-ADAB78FC0468}"/>
    <hyperlink ref="H571" r:id="rId560" xr:uid="{794FBAB2-686F-4428-85C9-894310E9FBE6}"/>
    <hyperlink ref="H572" r:id="rId561" xr:uid="{DD952FD9-FCAD-451D-83E1-3011908F6BA1}"/>
    <hyperlink ref="H573" r:id="rId562" xr:uid="{A70B4490-7823-435F-A99C-4DF94BA11BFA}"/>
    <hyperlink ref="H574" r:id="rId563" xr:uid="{64862FF7-56E2-4D82-A506-0DECC3D2117D}"/>
    <hyperlink ref="H575" r:id="rId564" xr:uid="{7CC3F36B-4505-4183-96DB-EE97078CCB4A}"/>
    <hyperlink ref="H576" r:id="rId565" xr:uid="{1DBDB26A-DF90-47F1-AD41-EF3F0464CD53}"/>
    <hyperlink ref="H577" r:id="rId566" xr:uid="{5816722D-2E53-40C8-8FE8-64E068638370}"/>
    <hyperlink ref="H578" r:id="rId567" xr:uid="{44D187DF-BFAB-4E06-8FBD-CBDD20CCAD2A}"/>
    <hyperlink ref="H579" r:id="rId568" xr:uid="{A6A4905E-CC57-42FB-B59C-6A8D48213612}"/>
    <hyperlink ref="H580" r:id="rId569" xr:uid="{056EEC63-3F0B-43F1-8FA7-A852A3E05A2C}"/>
    <hyperlink ref="H581" r:id="rId570" xr:uid="{C692F318-E917-405A-A868-03B4E3BC4F20}"/>
    <hyperlink ref="H582" r:id="rId571" xr:uid="{27F5777A-D8D3-4360-80CB-8E71EF1B19F7}"/>
    <hyperlink ref="H583" r:id="rId572" xr:uid="{967876DD-C181-4C2D-BB07-E286FFB66B7B}"/>
    <hyperlink ref="H584" r:id="rId573" xr:uid="{0AD47CEC-5F1F-47AE-B695-67AA9B1D36A2}"/>
    <hyperlink ref="H585" r:id="rId574" xr:uid="{913427FE-ED29-432E-98EB-0366879C77E3}"/>
    <hyperlink ref="H586" r:id="rId575" xr:uid="{2CD9BCF9-1278-479E-8052-EF27DB167A79}"/>
    <hyperlink ref="H587" r:id="rId576" xr:uid="{310412AE-02B1-46C9-861A-A5BCC34A26D9}"/>
    <hyperlink ref="H588" r:id="rId577" xr:uid="{9B2ECDC4-AD03-400B-B679-9C633CFF4DA2}"/>
  </hyperlinks>
  <pageMargins left="0.7" right="0.7" top="0.75" bottom="0.75" header="0.3" footer="0.3"/>
  <tableParts count="1">
    <tablePart r:id="rId578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5216B-3668-478B-8B25-7BB1E509F6E6}">
  <sheetPr>
    <tabColor rgb="FF1F4E79"/>
  </sheetPr>
  <dimension ref="A1:M217"/>
  <sheetViews>
    <sheetView showGridLines="0" topLeftCell="A27" workbookViewId="0">
      <selection activeCell="C83" sqref="C83"/>
    </sheetView>
  </sheetViews>
  <sheetFormatPr baseColWidth="10" defaultRowHeight="14.4"/>
  <cols>
    <col min="1" max="1" width="27.77734375" style="27" customWidth="1"/>
    <col min="2" max="2" width="14.77734375" style="27" customWidth="1"/>
    <col min="3" max="3" width="13" style="27" customWidth="1"/>
    <col min="4" max="13" width="17" style="27" customWidth="1"/>
    <col min="14" max="16384" width="11.5546875" style="27"/>
  </cols>
  <sheetData>
    <row r="1" spans="1:13" ht="34.049999999999997" customHeight="1">
      <c r="A1" s="72" t="s">
        <v>6035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</row>
    <row r="2" spans="1:13" ht="19.95" customHeight="1">
      <c r="A2" s="73" t="s">
        <v>6036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</row>
    <row r="4" spans="1:13" ht="18" customHeight="1">
      <c r="A4" s="67" t="s">
        <v>6037</v>
      </c>
      <c r="B4" s="67"/>
      <c r="C4" s="67"/>
      <c r="D4" s="67" t="s">
        <v>6038</v>
      </c>
      <c r="E4" s="67"/>
      <c r="F4" s="67"/>
      <c r="G4" s="67" t="s">
        <v>6039</v>
      </c>
      <c r="H4" s="67"/>
      <c r="I4" s="67"/>
      <c r="J4" s="67" t="s">
        <v>6040</v>
      </c>
      <c r="K4" s="67"/>
      <c r="L4" s="67"/>
    </row>
    <row r="5" spans="1:13" ht="34.049999999999997" customHeight="1">
      <c r="A5" s="68">
        <f>COUNTA(PublicacionesUnicas[Título])</f>
        <v>589</v>
      </c>
      <c r="B5" s="68"/>
      <c r="C5" s="68"/>
      <c r="D5" s="68">
        <f>COUNTIF(PublicacionesUnicas[Año],2025)</f>
        <v>317</v>
      </c>
      <c r="E5" s="69"/>
      <c r="F5" s="69"/>
      <c r="G5" s="68">
        <f>COUNTIF(PublicacionesUnicas[Año],2024)</f>
        <v>271</v>
      </c>
      <c r="H5" s="69"/>
      <c r="I5" s="69"/>
      <c r="J5" s="68" cm="1">
        <f t="array" ref="J5">SUMPRODUCT((PublicacionesUnicas[Revista]&lt;&gt;"")/COUNTIF(PublicacionesUnicas[Revista],PublicacionesUnicas[Revista]&amp;""))</f>
        <v>367.99999999999983</v>
      </c>
      <c r="K5" s="69"/>
      <c r="L5" s="69"/>
    </row>
    <row r="7" spans="1:13" ht="18" customHeight="1">
      <c r="A7" s="67" t="s">
        <v>6041</v>
      </c>
      <c r="B7" s="67"/>
      <c r="C7" s="67"/>
      <c r="D7" s="67" t="s">
        <v>6042</v>
      </c>
      <c r="E7" s="67"/>
      <c r="F7" s="67"/>
      <c r="G7" s="67" t="s">
        <v>6043</v>
      </c>
      <c r="H7" s="67"/>
      <c r="I7" s="67"/>
      <c r="J7" s="67" t="s">
        <v>6044</v>
      </c>
      <c r="K7" s="67"/>
      <c r="L7" s="67"/>
    </row>
    <row r="8" spans="1:13" ht="34.049999999999997" customHeight="1">
      <c r="A8" s="70">
        <f>AVERAGE(PublicacionesUnicas[% part. UFT])</f>
        <v>0.386861570329256</v>
      </c>
      <c r="B8" s="69"/>
      <c r="C8" s="69"/>
      <c r="D8" s="71">
        <f>AVERAGE(PublicacionesUnicas[N° autores (total)])</f>
        <v>6.8095238095238093</v>
      </c>
      <c r="E8" s="69"/>
      <c r="F8" s="69"/>
      <c r="G8" s="71">
        <f>AVERAGE(PublicacionesUnicas[N° autores UFT])</f>
        <v>1.4601018675721562</v>
      </c>
      <c r="H8" s="69"/>
      <c r="I8" s="69"/>
      <c r="J8" s="68">
        <v>397</v>
      </c>
      <c r="K8" s="69"/>
      <c r="L8" s="69"/>
    </row>
    <row r="11" spans="1:13" ht="24" customHeight="1">
      <c r="A11" s="63" t="s">
        <v>6045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</row>
    <row r="12" spans="1:13">
      <c r="A12" s="28" t="s">
        <v>5874</v>
      </c>
      <c r="B12" s="28" t="s">
        <v>6046</v>
      </c>
      <c r="C12" s="28" t="s">
        <v>6047</v>
      </c>
    </row>
    <row r="13" spans="1:13">
      <c r="A13" s="36" t="s">
        <v>6072</v>
      </c>
      <c r="B13" s="30">
        <f>COUNTIF(PublicacionesUnicas[Año],2024)</f>
        <v>271</v>
      </c>
      <c r="C13" s="29">
        <f>B13/$B$15</f>
        <v>0.46088435374149661</v>
      </c>
    </row>
    <row r="14" spans="1:13">
      <c r="A14" s="36" t="s">
        <v>6073</v>
      </c>
      <c r="B14" s="30">
        <f>COUNTIF(PublicacionesUnicas[Año],2025)</f>
        <v>317</v>
      </c>
      <c r="C14" s="29">
        <f>B14/$B$15</f>
        <v>0.53911564625850339</v>
      </c>
    </row>
    <row r="15" spans="1:13">
      <c r="A15" s="34" t="s">
        <v>5878</v>
      </c>
      <c r="B15" s="31">
        <f>SUM(B13:B14)</f>
        <v>588</v>
      </c>
      <c r="C15" s="32">
        <f>B15/$B$15</f>
        <v>1</v>
      </c>
    </row>
    <row r="16" spans="1:13">
      <c r="A16" s="33"/>
    </row>
    <row r="17" spans="1:13">
      <c r="A17" s="33"/>
    </row>
    <row r="18" spans="1:13">
      <c r="A18" s="33"/>
    </row>
    <row r="19" spans="1:13">
      <c r="A19" s="33"/>
    </row>
    <row r="20" spans="1:13">
      <c r="A20" s="33"/>
    </row>
    <row r="21" spans="1:13">
      <c r="A21" s="33"/>
    </row>
    <row r="22" spans="1:13">
      <c r="A22" s="33"/>
    </row>
    <row r="23" spans="1:13">
      <c r="A23" s="33"/>
    </row>
    <row r="24" spans="1:13">
      <c r="A24" s="33"/>
    </row>
    <row r="25" spans="1:13">
      <c r="A25" s="33"/>
    </row>
    <row r="26" spans="1:13">
      <c r="A26" s="33"/>
    </row>
    <row r="27" spans="1:13">
      <c r="A27" s="33"/>
    </row>
    <row r="28" spans="1:13" ht="24" customHeight="1">
      <c r="A28" s="62" t="s">
        <v>6048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</row>
    <row r="29" spans="1:13">
      <c r="A29" s="35" t="s">
        <v>6049</v>
      </c>
      <c r="B29" s="28" t="s">
        <v>6046</v>
      </c>
      <c r="C29" s="28" t="s">
        <v>6047</v>
      </c>
    </row>
    <row r="30" spans="1:13">
      <c r="A30" s="33" t="s">
        <v>33</v>
      </c>
      <c r="B30" s="30">
        <f>COUNTIF(PublicacionesUnicas[Tipo],A30)</f>
        <v>412</v>
      </c>
      <c r="C30" s="29">
        <f>B30/$B$40</f>
        <v>0.70068027210884354</v>
      </c>
    </row>
    <row r="31" spans="1:13">
      <c r="A31" s="33" t="s">
        <v>49</v>
      </c>
      <c r="B31" s="30">
        <f>COUNTIF(PublicacionesUnicas[Tipo],A31)</f>
        <v>103</v>
      </c>
      <c r="C31" s="29">
        <f t="shared" ref="C31:C39" si="0">B31/$B$40</f>
        <v>0.17517006802721088</v>
      </c>
    </row>
    <row r="32" spans="1:13">
      <c r="A32" s="33" t="s">
        <v>644</v>
      </c>
      <c r="B32" s="30">
        <f>COUNTIF(PublicacionesUnicas[Tipo],A32)</f>
        <v>21</v>
      </c>
      <c r="C32" s="29">
        <f t="shared" si="0"/>
        <v>3.5714285714285712E-2</v>
      </c>
    </row>
    <row r="33" spans="1:13">
      <c r="A33" s="33" t="s">
        <v>2112</v>
      </c>
      <c r="B33" s="30">
        <f>COUNTIF(PublicacionesUnicas[Tipo],A33)</f>
        <v>14</v>
      </c>
      <c r="C33" s="29">
        <f t="shared" si="0"/>
        <v>2.3809523809523808E-2</v>
      </c>
    </row>
    <row r="34" spans="1:13">
      <c r="A34" s="33" t="s">
        <v>2904</v>
      </c>
      <c r="B34" s="30">
        <f>COUNTIF(PublicacionesUnicas[Tipo],A34)</f>
        <v>6</v>
      </c>
      <c r="C34" s="29">
        <f t="shared" si="0"/>
        <v>1.020408163265306E-2</v>
      </c>
    </row>
    <row r="35" spans="1:13">
      <c r="A35" s="33" t="s">
        <v>3676</v>
      </c>
      <c r="B35" s="30">
        <f>COUNTIF(PublicacionesUnicas[Tipo],A35)</f>
        <v>7</v>
      </c>
      <c r="C35" s="29">
        <f t="shared" si="0"/>
        <v>1.1904761904761904E-2</v>
      </c>
    </row>
    <row r="36" spans="1:13">
      <c r="A36" s="33" t="s">
        <v>1125</v>
      </c>
      <c r="B36" s="30">
        <f>COUNTIF(PublicacionesUnicas[Tipo],A36)</f>
        <v>17</v>
      </c>
      <c r="C36" s="29">
        <f t="shared" si="0"/>
        <v>2.8911564625850341E-2</v>
      </c>
    </row>
    <row r="37" spans="1:13">
      <c r="A37" s="33" t="s">
        <v>208</v>
      </c>
      <c r="B37" s="30">
        <f>COUNTIF(PublicacionesUnicas[Tipo],A37)</f>
        <v>3</v>
      </c>
      <c r="C37" s="29">
        <f t="shared" si="0"/>
        <v>5.1020408163265302E-3</v>
      </c>
    </row>
    <row r="38" spans="1:13">
      <c r="A38" s="33" t="s">
        <v>3843</v>
      </c>
      <c r="B38" s="30">
        <f>COUNTIF(PublicacionesUnicas[Tipo],A38)</f>
        <v>4</v>
      </c>
      <c r="C38" s="29">
        <f t="shared" si="0"/>
        <v>6.8027210884353739E-3</v>
      </c>
    </row>
    <row r="39" spans="1:13">
      <c r="A39" s="33" t="s">
        <v>3257</v>
      </c>
      <c r="B39" s="30">
        <f>COUNTIF(PublicacionesUnicas[Tipo],A39)</f>
        <v>1</v>
      </c>
      <c r="C39" s="29">
        <f t="shared" si="0"/>
        <v>1.7006802721088435E-3</v>
      </c>
    </row>
    <row r="40" spans="1:13">
      <c r="A40" s="34" t="s">
        <v>5878</v>
      </c>
      <c r="B40" s="31">
        <f>SUM(B30:B39)</f>
        <v>588</v>
      </c>
      <c r="C40" s="32">
        <f>B40/$B$40</f>
        <v>1</v>
      </c>
    </row>
    <row r="41" spans="1:13">
      <c r="A41" s="33"/>
    </row>
    <row r="42" spans="1:13">
      <c r="A42" s="33"/>
    </row>
    <row r="43" spans="1:13">
      <c r="A43" s="33"/>
    </row>
    <row r="44" spans="1:13">
      <c r="A44" s="33"/>
    </row>
    <row r="45" spans="1:13">
      <c r="A45" s="33"/>
    </row>
    <row r="46" spans="1:13">
      <c r="A46" s="33"/>
    </row>
    <row r="47" spans="1:13">
      <c r="A47" s="33"/>
    </row>
    <row r="48" spans="1:13" ht="24" customHeight="1">
      <c r="A48" s="62" t="s">
        <v>6050</v>
      </c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</row>
    <row r="49" spans="1:2">
      <c r="A49" s="35" t="s">
        <v>5882</v>
      </c>
      <c r="B49" s="28" t="s">
        <v>6046</v>
      </c>
    </row>
    <row r="50" spans="1:2">
      <c r="A50" s="33" t="s">
        <v>2392</v>
      </c>
      <c r="B50" s="30">
        <f>COUNTIF(PublicacionesUnicas[Revista],A50)</f>
        <v>35</v>
      </c>
    </row>
    <row r="51" spans="1:2">
      <c r="A51" s="33" t="s">
        <v>1470</v>
      </c>
      <c r="B51" s="30">
        <f>COUNTIF(PublicacionesUnicas[Revista],A51)</f>
        <v>10</v>
      </c>
    </row>
    <row r="52" spans="1:2">
      <c r="A52" s="33" t="s">
        <v>2912</v>
      </c>
      <c r="B52" s="30">
        <f>COUNTIF(PublicacionesUnicas[Revista],A52)</f>
        <v>10</v>
      </c>
    </row>
    <row r="53" spans="1:2">
      <c r="A53" s="33" t="s">
        <v>357</v>
      </c>
      <c r="B53" s="30">
        <f>COUNTIF(PublicacionesUnicas[Revista],A53)</f>
        <v>10</v>
      </c>
    </row>
    <row r="54" spans="1:2">
      <c r="A54" s="33" t="s">
        <v>889</v>
      </c>
      <c r="B54" s="30">
        <f>COUNTIF(PublicacionesUnicas[Revista],A54)</f>
        <v>9</v>
      </c>
    </row>
    <row r="55" spans="1:2">
      <c r="A55" s="33" t="s">
        <v>3046</v>
      </c>
      <c r="B55" s="30">
        <f>COUNTIF(PublicacionesUnicas[Revista],A55)</f>
        <v>8</v>
      </c>
    </row>
    <row r="56" spans="1:2">
      <c r="A56" s="33" t="s">
        <v>73</v>
      </c>
      <c r="B56" s="30">
        <f>COUNTIF(PublicacionesUnicas[Revista],A56)</f>
        <v>7</v>
      </c>
    </row>
    <row r="57" spans="1:2">
      <c r="A57" s="33" t="s">
        <v>651</v>
      </c>
      <c r="B57" s="30">
        <f>COUNTIF(PublicacionesUnicas[Revista],A57)</f>
        <v>7</v>
      </c>
    </row>
    <row r="58" spans="1:2">
      <c r="A58" s="33" t="s">
        <v>4161</v>
      </c>
      <c r="B58" s="30">
        <f>COUNTIF(PublicacionesUnicas[Revista],A58)</f>
        <v>6</v>
      </c>
    </row>
    <row r="59" spans="1:2">
      <c r="A59" s="33" t="s">
        <v>1676</v>
      </c>
      <c r="B59" s="30">
        <f>COUNTIF(PublicacionesUnicas[Revista],A59)</f>
        <v>5</v>
      </c>
    </row>
    <row r="60" spans="1:2">
      <c r="A60" s="33" t="s">
        <v>231</v>
      </c>
      <c r="B60" s="30">
        <f>COUNTIF(PublicacionesUnicas[Revista],A60)</f>
        <v>5</v>
      </c>
    </row>
    <row r="61" spans="1:2">
      <c r="A61" s="33" t="s">
        <v>1293</v>
      </c>
      <c r="B61" s="30">
        <f>COUNTIF(PublicacionesUnicas[Revista],A61)</f>
        <v>5</v>
      </c>
    </row>
    <row r="62" spans="1:2">
      <c r="A62" s="33" t="s">
        <v>3096</v>
      </c>
      <c r="B62" s="30">
        <f>COUNTIF(PublicacionesUnicas[Revista],A62)</f>
        <v>5</v>
      </c>
    </row>
    <row r="63" spans="1:2">
      <c r="A63" s="33" t="s">
        <v>2518</v>
      </c>
      <c r="B63" s="30">
        <f>COUNTIF(PublicacionesUnicas[Revista],A63)</f>
        <v>4</v>
      </c>
    </row>
    <row r="64" spans="1:2">
      <c r="A64" s="33" t="s">
        <v>203</v>
      </c>
      <c r="B64" s="30">
        <f>COUNTIF(PublicacionesUnicas[Revista],A64)</f>
        <v>4</v>
      </c>
    </row>
    <row r="65" spans="1:13">
      <c r="A65" s="33"/>
    </row>
    <row r="66" spans="1:13">
      <c r="A66" s="33"/>
    </row>
    <row r="67" spans="1:13">
      <c r="A67" s="33"/>
    </row>
    <row r="68" spans="1:13">
      <c r="A68" s="33"/>
    </row>
    <row r="69" spans="1:13">
      <c r="A69" s="33"/>
    </row>
    <row r="70" spans="1:13">
      <c r="A70" s="33"/>
    </row>
    <row r="71" spans="1:13">
      <c r="A71" s="33"/>
    </row>
    <row r="72" spans="1:13" ht="24" customHeight="1">
      <c r="A72" s="62" t="s">
        <v>6051</v>
      </c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</row>
    <row r="73" spans="1:13">
      <c r="A73" s="35" t="s">
        <v>6052</v>
      </c>
      <c r="B73" s="28" t="s">
        <v>6046</v>
      </c>
      <c r="C73" s="39" t="s">
        <v>6099</v>
      </c>
    </row>
    <row r="74" spans="1:13">
      <c r="A74" s="33" t="s">
        <v>276</v>
      </c>
      <c r="B74" s="30">
        <f>COUNTIF(PublicacionesUnicas[Autores UFT (autoría / coautoría)],"*"&amp;A74&amp;"*")</f>
        <v>32</v>
      </c>
      <c r="C74" s="38" t="s">
        <v>6098</v>
      </c>
    </row>
    <row r="75" spans="1:13">
      <c r="A75" s="33" t="s">
        <v>128</v>
      </c>
      <c r="B75" s="30">
        <f>COUNTIF(PublicacionesUnicas[Autores UFT (autoría / coautoría)],"*"&amp;A75&amp;"*")</f>
        <v>22</v>
      </c>
      <c r="C75" s="38" t="s">
        <v>6098</v>
      </c>
    </row>
    <row r="76" spans="1:13">
      <c r="A76" s="33" t="s">
        <v>1344</v>
      </c>
      <c r="B76" s="30">
        <f>COUNTIF(PublicacionesUnicas[Autores UFT (autoría / coautoría)],"*"&amp;A76&amp;"*")</f>
        <v>21</v>
      </c>
      <c r="C76" s="38" t="s">
        <v>6098</v>
      </c>
    </row>
    <row r="77" spans="1:13">
      <c r="A77" s="33" t="s">
        <v>22</v>
      </c>
      <c r="B77" s="30">
        <f>COUNTIF(PublicacionesUnicas[Autores UFT (autoría / coautoría)],"*"&amp;A77&amp;"*")</f>
        <v>21</v>
      </c>
      <c r="C77" s="38" t="s">
        <v>6098</v>
      </c>
    </row>
    <row r="78" spans="1:13">
      <c r="A78" s="33" t="s">
        <v>1916</v>
      </c>
      <c r="B78" s="30">
        <f>COUNTIF(PublicacionesUnicas[Autores UFT (autoría / coautoría)],"*"&amp;A78&amp;"*")</f>
        <v>19</v>
      </c>
      <c r="C78" s="38" t="s">
        <v>6098</v>
      </c>
    </row>
    <row r="79" spans="1:13">
      <c r="A79" s="33" t="s">
        <v>113</v>
      </c>
      <c r="B79" s="30">
        <f>COUNTIF(PublicacionesUnicas[Autores UFT (autoría / coautoría)],"*"&amp;A79&amp;"*")</f>
        <v>17</v>
      </c>
      <c r="C79" s="38" t="s">
        <v>6098</v>
      </c>
    </row>
    <row r="80" spans="1:13">
      <c r="A80" s="33" t="s">
        <v>635</v>
      </c>
      <c r="B80" s="30">
        <f>COUNTIF(PublicacionesUnicas[Autores UFT (autoría / coautoría)],"*"&amp;A80&amp;"*")</f>
        <v>15</v>
      </c>
      <c r="C80" s="38" t="s">
        <v>6098</v>
      </c>
    </row>
    <row r="81" spans="1:13">
      <c r="A81" s="33" t="s">
        <v>164</v>
      </c>
      <c r="B81" s="30">
        <f>COUNTIF(PublicacionesUnicas[Autores UFT (autoría / coautoría)],"*"&amp;A81&amp;"*")</f>
        <v>13</v>
      </c>
      <c r="C81" s="38" t="s">
        <v>6098</v>
      </c>
    </row>
    <row r="82" spans="1:13">
      <c r="A82" s="33" t="s">
        <v>3141</v>
      </c>
      <c r="B82" s="30">
        <f>COUNTIF(PublicacionesUnicas[Autores UFT (autoría / coautoría)],"*"&amp;A82&amp;"*")</f>
        <v>13</v>
      </c>
      <c r="C82" s="38" t="s">
        <v>6098</v>
      </c>
    </row>
    <row r="83" spans="1:13">
      <c r="A83" s="33" t="s">
        <v>265</v>
      </c>
      <c r="B83" s="30">
        <f>COUNTIF(PublicacionesUnicas[Autores UFT (autoría / coautoría)],"*"&amp;A83&amp;"*")</f>
        <v>12</v>
      </c>
      <c r="C83" s="38" t="s">
        <v>6098</v>
      </c>
    </row>
    <row r="84" spans="1:13">
      <c r="A84" s="33" t="s">
        <v>39</v>
      </c>
      <c r="B84" s="30">
        <f>COUNTIF(PublicacionesUnicas[Autores UFT (autoría / coautoría)],"*"&amp;A84&amp;"*")</f>
        <v>12</v>
      </c>
      <c r="C84" s="38" t="s">
        <v>6098</v>
      </c>
    </row>
    <row r="85" spans="1:13">
      <c r="A85" s="33" t="s">
        <v>1282</v>
      </c>
      <c r="B85" s="30">
        <f>COUNTIF(PublicacionesUnicas[Autores UFT (autoría / coautoría)],"*"&amp;A85&amp;"*")</f>
        <v>11</v>
      </c>
      <c r="C85" s="38" t="s">
        <v>6098</v>
      </c>
    </row>
    <row r="86" spans="1:13">
      <c r="A86" s="33" t="s">
        <v>433</v>
      </c>
      <c r="B86" s="30">
        <f>COUNTIF(PublicacionesUnicas[Autores UFT (autoría / coautoría)],"*"&amp;A86&amp;"*")</f>
        <v>11</v>
      </c>
      <c r="C86" s="38" t="s">
        <v>6098</v>
      </c>
    </row>
    <row r="87" spans="1:13">
      <c r="A87" s="33" t="s">
        <v>1619</v>
      </c>
      <c r="B87" s="30">
        <f>COUNTIF(PublicacionesUnicas[Autores UFT (autoría / coautoría)],"*"&amp;A87&amp;"*")</f>
        <v>9</v>
      </c>
      <c r="C87" s="38" t="s">
        <v>6098</v>
      </c>
    </row>
    <row r="88" spans="1:13">
      <c r="A88" s="33" t="s">
        <v>1024</v>
      </c>
      <c r="B88" s="30">
        <f>COUNTIF(PublicacionesUnicas[Autores UFT (autoría / coautoría)],"*"&amp;A88&amp;"*")</f>
        <v>9</v>
      </c>
      <c r="C88" s="38" t="s">
        <v>6098</v>
      </c>
    </row>
    <row r="89" spans="1:13">
      <c r="A89" s="33"/>
    </row>
    <row r="90" spans="1:13">
      <c r="A90" s="33"/>
    </row>
    <row r="91" spans="1:13">
      <c r="A91" s="33"/>
    </row>
    <row r="92" spans="1:13">
      <c r="A92" s="33"/>
    </row>
    <row r="93" spans="1:13">
      <c r="A93" s="33"/>
    </row>
    <row r="94" spans="1:13">
      <c r="A94" s="33"/>
    </row>
    <row r="95" spans="1:13">
      <c r="A95" s="33"/>
    </row>
    <row r="96" spans="1:13" ht="24" customHeight="1">
      <c r="A96" s="62" t="s">
        <v>6053</v>
      </c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</row>
    <row r="97" spans="1:3">
      <c r="A97" s="35" t="s">
        <v>5883</v>
      </c>
      <c r="B97" s="28" t="s">
        <v>6046</v>
      </c>
      <c r="C97" s="28" t="s">
        <v>6047</v>
      </c>
    </row>
    <row r="98" spans="1:3">
      <c r="A98" s="33" t="s">
        <v>6054</v>
      </c>
      <c r="B98" s="30">
        <f>COUNTIF(PublicacionesUnicas[N° autores UFT],1)</f>
        <v>451</v>
      </c>
      <c r="C98" s="29">
        <f>B98/SUM($B$98:$B$103)</f>
        <v>0.76831345826235098</v>
      </c>
    </row>
    <row r="99" spans="1:3">
      <c r="A99" s="33" t="s">
        <v>6055</v>
      </c>
      <c r="B99" s="30">
        <f>COUNTIF(PublicacionesUnicas[N° autores UFT],2)</f>
        <v>68</v>
      </c>
      <c r="C99" s="29">
        <f t="shared" ref="C99:C103" si="1">B99/SUM($B$98:$B$103)</f>
        <v>0.11584327086882454</v>
      </c>
    </row>
    <row r="100" spans="1:3">
      <c r="A100" s="33" t="s">
        <v>6056</v>
      </c>
      <c r="B100" s="30">
        <f>COUNTIF(PublicacionesUnicas[N° autores UFT],3)</f>
        <v>31</v>
      </c>
      <c r="C100" s="29">
        <f t="shared" si="1"/>
        <v>5.2810902896081771E-2</v>
      </c>
    </row>
    <row r="101" spans="1:3">
      <c r="A101" s="33" t="s">
        <v>6057</v>
      </c>
      <c r="B101" s="30">
        <f>COUNTIF(PublicacionesUnicas[N° autores UFT],4)</f>
        <v>21</v>
      </c>
      <c r="C101" s="29">
        <f t="shared" si="1"/>
        <v>3.5775127768313458E-2</v>
      </c>
    </row>
    <row r="102" spans="1:3">
      <c r="A102" s="33" t="s">
        <v>6058</v>
      </c>
      <c r="B102" s="30">
        <f>COUNTIF(PublicacionesUnicas[N° autores UFT],5)</f>
        <v>4</v>
      </c>
      <c r="C102" s="29">
        <f t="shared" si="1"/>
        <v>6.8143100511073255E-3</v>
      </c>
    </row>
    <row r="103" spans="1:3">
      <c r="A103" s="33" t="s">
        <v>6059</v>
      </c>
      <c r="B103" s="30">
        <f>COUNTIF(PublicacionesUnicas[N° autores UFT],"&gt;=6")</f>
        <v>12</v>
      </c>
      <c r="C103" s="29">
        <f t="shared" si="1"/>
        <v>2.0442930153321975E-2</v>
      </c>
    </row>
    <row r="104" spans="1:3">
      <c r="A104" s="33"/>
    </row>
    <row r="105" spans="1:3">
      <c r="A105" s="33"/>
    </row>
    <row r="106" spans="1:3">
      <c r="A106" s="33"/>
    </row>
    <row r="107" spans="1:3">
      <c r="A107" s="33"/>
    </row>
    <row r="108" spans="1:3">
      <c r="A108" s="33"/>
    </row>
    <row r="109" spans="1:3">
      <c r="A109" s="33"/>
    </row>
    <row r="110" spans="1:3">
      <c r="A110" s="33"/>
    </row>
    <row r="111" spans="1:3">
      <c r="A111" s="33"/>
    </row>
    <row r="112" spans="1:3">
      <c r="A112" s="33"/>
    </row>
    <row r="113" spans="1:13">
      <c r="A113" s="33"/>
    </row>
    <row r="114" spans="1:13" ht="24" customHeight="1">
      <c r="A114" s="62" t="s">
        <v>6060</v>
      </c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</row>
    <row r="115" spans="1:13">
      <c r="A115" s="35" t="s">
        <v>6061</v>
      </c>
      <c r="B115" s="28" t="s">
        <v>6046</v>
      </c>
      <c r="C115" s="28" t="s">
        <v>6047</v>
      </c>
    </row>
    <row r="116" spans="1:13">
      <c r="A116" s="33" t="s">
        <v>6062</v>
      </c>
      <c r="B116" s="30">
        <f>COUNTIF(PublicacionesUnicas[% part. UFT],1)</f>
        <v>93</v>
      </c>
      <c r="C116" s="29">
        <f>B116/SUM($B$116:$B$120)</f>
        <v>0.15870307167235495</v>
      </c>
    </row>
    <row r="117" spans="1:13">
      <c r="A117" s="33" t="s">
        <v>6063</v>
      </c>
      <c r="B117" s="30">
        <f>COUNTIFS(PublicacionesUnicas[% part. UFT],"&gt;="&amp;0.5,PublicacionesUnicas[% part. UFT],"&lt;"&amp;1)</f>
        <v>100</v>
      </c>
      <c r="C117" s="29">
        <f t="shared" ref="C117:C120" si="2">B117/SUM($B$116:$B$120)</f>
        <v>0.17064846416382254</v>
      </c>
    </row>
    <row r="118" spans="1:13">
      <c r="A118" s="33" t="s">
        <v>6064</v>
      </c>
      <c r="B118" s="30">
        <f>COUNTIFS(PublicacionesUnicas[% part. UFT],"&gt;="&amp;0.25,PublicacionesUnicas[% part. UFT],"&lt;"&amp;0.5)</f>
        <v>144</v>
      </c>
      <c r="C118" s="29">
        <f t="shared" si="2"/>
        <v>0.24573378839590443</v>
      </c>
    </row>
    <row r="119" spans="1:13">
      <c r="A119" s="33" t="s">
        <v>6065</v>
      </c>
      <c r="B119" s="30">
        <f>COUNTIFS(PublicacionesUnicas[% part. UFT],"&gt;="&amp;0.1,PublicacionesUnicas[% part. UFT],"&lt;"&amp;0.25)</f>
        <v>169</v>
      </c>
      <c r="C119" s="29">
        <f t="shared" si="2"/>
        <v>0.28839590443686008</v>
      </c>
    </row>
    <row r="120" spans="1:13">
      <c r="A120" s="33" t="s">
        <v>6066</v>
      </c>
      <c r="B120" s="30">
        <f>COUNTIFS(PublicacionesUnicas[% part. UFT],"&gt;"&amp;0,PublicacionesUnicas[% part. UFT],"&lt;"&amp;0.1)</f>
        <v>80</v>
      </c>
      <c r="C120" s="29">
        <f t="shared" si="2"/>
        <v>0.13651877133105803</v>
      </c>
    </row>
    <row r="132" spans="1:13" ht="22.05" customHeight="1">
      <c r="A132" s="66" t="s">
        <v>6067</v>
      </c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</row>
    <row r="133" spans="1:13">
      <c r="A133" s="64" t="s">
        <v>6068</v>
      </c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</row>
    <row r="134" spans="1:13">
      <c r="A134" s="64" t="s">
        <v>6069</v>
      </c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</row>
    <row r="135" spans="1:13">
      <c r="A135" s="64" t="s">
        <v>6070</v>
      </c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</row>
    <row r="136" spans="1:13">
      <c r="A136" s="64" t="s">
        <v>6071</v>
      </c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</row>
    <row r="138" spans="1:13" ht="25.95" customHeight="1">
      <c r="A138" s="65" t="s">
        <v>6074</v>
      </c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</row>
    <row r="140" spans="1:13" ht="24" customHeight="1">
      <c r="A140" s="63" t="s">
        <v>6075</v>
      </c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</row>
    <row r="141" spans="1:13">
      <c r="A141" s="28" t="s">
        <v>6049</v>
      </c>
      <c r="B141" s="37" t="s">
        <v>6072</v>
      </c>
      <c r="C141" s="37" t="s">
        <v>6073</v>
      </c>
    </row>
    <row r="142" spans="1:13">
      <c r="A142" s="33" t="s">
        <v>33</v>
      </c>
      <c r="B142" s="30">
        <f>COUNTIFS(PublicacionesUnicas[Tipo],$A142,PublicacionesUnicas[Año],B$141)</f>
        <v>197</v>
      </c>
      <c r="C142" s="30">
        <f>COUNTIFS(PublicacionesUnicas[Tipo],$A142,PublicacionesUnicas[Año],C$141)</f>
        <v>215</v>
      </c>
    </row>
    <row r="143" spans="1:13">
      <c r="A143" s="33" t="s">
        <v>49</v>
      </c>
      <c r="B143" s="30">
        <f>COUNTIFS(PublicacionesUnicas[Tipo],$A143,PublicacionesUnicas[Año],B$141)</f>
        <v>39</v>
      </c>
      <c r="C143" s="30">
        <f>COUNTIFS(PublicacionesUnicas[Tipo],$A143,PublicacionesUnicas[Año],C$141)</f>
        <v>64</v>
      </c>
    </row>
    <row r="144" spans="1:13">
      <c r="A144" s="33" t="s">
        <v>644</v>
      </c>
      <c r="B144" s="30">
        <f>COUNTIFS(PublicacionesUnicas[Tipo],$A144,PublicacionesUnicas[Año],B$141)</f>
        <v>9</v>
      </c>
      <c r="C144" s="30">
        <f>COUNTIFS(PublicacionesUnicas[Tipo],$A144,PublicacionesUnicas[Año],C$141)</f>
        <v>12</v>
      </c>
    </row>
    <row r="145" spans="1:13">
      <c r="A145" s="33" t="s">
        <v>1125</v>
      </c>
      <c r="B145" s="30">
        <f>COUNTIFS(PublicacionesUnicas[Tipo],$A145,PublicacionesUnicas[Año],B$141)</f>
        <v>14</v>
      </c>
      <c r="C145" s="30">
        <f>COUNTIFS(PublicacionesUnicas[Tipo],$A145,PublicacionesUnicas[Año],C$141)</f>
        <v>3</v>
      </c>
    </row>
    <row r="146" spans="1:13">
      <c r="A146" s="33" t="s">
        <v>2112</v>
      </c>
      <c r="B146" s="30">
        <f>COUNTIFS(PublicacionesUnicas[Tipo],$A146,PublicacionesUnicas[Año],B$141)</f>
        <v>4</v>
      </c>
      <c r="C146" s="30">
        <f>COUNTIFS(PublicacionesUnicas[Tipo],$A146,PublicacionesUnicas[Año],C$141)</f>
        <v>10</v>
      </c>
    </row>
    <row r="147" spans="1:13">
      <c r="A147" s="33" t="s">
        <v>3676</v>
      </c>
      <c r="B147" s="30">
        <f>COUNTIFS(PublicacionesUnicas[Tipo],$A147,PublicacionesUnicas[Año],B$141)</f>
        <v>1</v>
      </c>
      <c r="C147" s="30">
        <f>COUNTIFS(PublicacionesUnicas[Tipo],$A147,PublicacionesUnicas[Año],C$141)</f>
        <v>6</v>
      </c>
    </row>
    <row r="148" spans="1:13">
      <c r="A148" s="33"/>
    </row>
    <row r="149" spans="1:13">
      <c r="A149" s="33"/>
    </row>
    <row r="150" spans="1:13">
      <c r="A150" s="33"/>
    </row>
    <row r="151" spans="1:13">
      <c r="A151" s="33"/>
    </row>
    <row r="152" spans="1:13">
      <c r="A152" s="33"/>
    </row>
    <row r="153" spans="1:13">
      <c r="A153" s="33"/>
    </row>
    <row r="154" spans="1:13">
      <c r="A154" s="33"/>
    </row>
    <row r="155" spans="1:13">
      <c r="A155" s="33"/>
    </row>
    <row r="156" spans="1:13">
      <c r="A156" s="33"/>
    </row>
    <row r="157" spans="1:13">
      <c r="A157" s="33"/>
    </row>
    <row r="158" spans="1:13">
      <c r="A158" s="33"/>
    </row>
    <row r="159" spans="1:13">
      <c r="A159" s="33"/>
    </row>
    <row r="160" spans="1:13" ht="24" customHeight="1">
      <c r="A160" s="62" t="s">
        <v>6076</v>
      </c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</row>
    <row r="161" spans="1:3">
      <c r="A161" s="35" t="s">
        <v>6077</v>
      </c>
      <c r="B161" s="28" t="s">
        <v>6046</v>
      </c>
      <c r="C161" s="28" t="s">
        <v>6047</v>
      </c>
    </row>
    <row r="162" spans="1:3">
      <c r="A162" s="33" t="s">
        <v>6078</v>
      </c>
      <c r="B162" s="30">
        <f>COUNTIF(PublicacionesUnicas[N° autores (total)],1)</f>
        <v>49</v>
      </c>
      <c r="C162" s="29">
        <f>B162/SUM($B$162:$B$167)</f>
        <v>8.3333333333333329E-2</v>
      </c>
    </row>
    <row r="163" spans="1:3">
      <c r="A163" s="33" t="s">
        <v>6079</v>
      </c>
      <c r="B163" s="30">
        <f>COUNTIFS(PublicacionesUnicas[N° autores (total)],"&gt;="&amp;2,PublicacionesUnicas[N° autores (total)],"&lt;="&amp;3)</f>
        <v>162</v>
      </c>
      <c r="C163" s="29">
        <f t="shared" ref="C163:C167" si="3">B163/SUM($B$162:$B$167)</f>
        <v>0.27551020408163263</v>
      </c>
    </row>
    <row r="164" spans="1:3">
      <c r="A164" s="33" t="s">
        <v>6080</v>
      </c>
      <c r="B164" s="30">
        <f>COUNTIFS(PublicacionesUnicas[N° autores (total)],"&gt;="&amp;4,PublicacionesUnicas[N° autores (total)],"&lt;="&amp;6)</f>
        <v>180</v>
      </c>
      <c r="C164" s="29">
        <f t="shared" si="3"/>
        <v>0.30612244897959184</v>
      </c>
    </row>
    <row r="165" spans="1:3">
      <c r="A165" s="33" t="s">
        <v>6081</v>
      </c>
      <c r="B165" s="30">
        <f>COUNTIFS(PublicacionesUnicas[N° autores (total)],"&gt;="&amp;7,PublicacionesUnicas[N° autores (total)],"&lt;="&amp;10)</f>
        <v>105</v>
      </c>
      <c r="C165" s="29">
        <f t="shared" si="3"/>
        <v>0.17857142857142858</v>
      </c>
    </row>
    <row r="166" spans="1:3">
      <c r="A166" s="33" t="s">
        <v>6082</v>
      </c>
      <c r="B166" s="30">
        <f>COUNTIFS(PublicacionesUnicas[N° autores (total)],"&gt;="&amp;11,PublicacionesUnicas[N° autores (total)],"&lt;="&amp;20)</f>
        <v>74</v>
      </c>
      <c r="C166" s="29">
        <f t="shared" si="3"/>
        <v>0.12585034013605442</v>
      </c>
    </row>
    <row r="167" spans="1:3">
      <c r="A167" s="33" t="s">
        <v>6083</v>
      </c>
      <c r="B167" s="30">
        <f>COUNTIF(PublicacionesUnicas[N° autores (total)],"&gt;"&amp;20)</f>
        <v>18</v>
      </c>
      <c r="C167" s="29">
        <f t="shared" si="3"/>
        <v>3.0612244897959183E-2</v>
      </c>
    </row>
    <row r="168" spans="1:3">
      <c r="A168" s="33"/>
    </row>
    <row r="169" spans="1:3">
      <c r="A169" s="33"/>
    </row>
    <row r="170" spans="1:3">
      <c r="A170" s="33"/>
    </row>
    <row r="171" spans="1:3">
      <c r="A171" s="33"/>
    </row>
    <row r="172" spans="1:3">
      <c r="A172" s="33"/>
    </row>
    <row r="173" spans="1:3">
      <c r="A173" s="33"/>
    </row>
    <row r="174" spans="1:3">
      <c r="A174" s="33"/>
    </row>
    <row r="175" spans="1:3">
      <c r="A175" s="33"/>
    </row>
    <row r="176" spans="1:3">
      <c r="A176" s="33"/>
    </row>
    <row r="177" spans="1:13">
      <c r="A177" s="33"/>
    </row>
    <row r="178" spans="1:13" ht="24" customHeight="1">
      <c r="A178" s="62" t="s">
        <v>6084</v>
      </c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</row>
    <row r="179" spans="1:13">
      <c r="A179" s="35" t="s">
        <v>6049</v>
      </c>
      <c r="B179" s="28" t="s">
        <v>6085</v>
      </c>
    </row>
    <row r="180" spans="1:13">
      <c r="A180" s="33" t="s">
        <v>33</v>
      </c>
      <c r="B180" s="29">
        <f>AVERAGEIF(PublicacionesUnicas[Tipo],A180,PublicacionesUnicas[% part. UFT])</f>
        <v>0.38610970392001459</v>
      </c>
    </row>
    <row r="181" spans="1:13">
      <c r="A181" s="33" t="s">
        <v>49</v>
      </c>
      <c r="B181" s="29">
        <f>AVERAGEIF(PublicacionesUnicas[Tipo],A181,PublicacionesUnicas[% part. UFT])</f>
        <v>0.32647644175933432</v>
      </c>
    </row>
    <row r="182" spans="1:13">
      <c r="A182" s="33" t="s">
        <v>644</v>
      </c>
      <c r="B182" s="29">
        <f>AVERAGEIF(PublicacionesUnicas[Tipo],A182,PublicacionesUnicas[% part. UFT])</f>
        <v>0.5955404383975812</v>
      </c>
    </row>
    <row r="183" spans="1:13">
      <c r="A183" s="33" t="s">
        <v>1125</v>
      </c>
      <c r="B183" s="29">
        <f>AVERAGEIF(PublicacionesUnicas[Tipo],A183,PublicacionesUnicas[% part. UFT])</f>
        <v>0.47408963585434166</v>
      </c>
    </row>
    <row r="184" spans="1:13">
      <c r="A184" s="33" t="s">
        <v>2112</v>
      </c>
      <c r="B184" s="29">
        <f>AVERAGEIF(PublicacionesUnicas[Tipo],A184,PublicacionesUnicas[% part. UFT])</f>
        <v>0.39234693877551025</v>
      </c>
    </row>
    <row r="185" spans="1:13">
      <c r="A185" s="33" t="s">
        <v>3676</v>
      </c>
      <c r="B185" s="29">
        <f>AVERAGEIF(PublicacionesUnicas[Tipo],A185,PublicacionesUnicas[% part. UFT])</f>
        <v>0.51262083780880774</v>
      </c>
    </row>
    <row r="186" spans="1:13">
      <c r="A186" s="33"/>
    </row>
    <row r="187" spans="1:13">
      <c r="A187" s="33"/>
    </row>
    <row r="188" spans="1:13">
      <c r="A188" s="33"/>
    </row>
    <row r="189" spans="1:13">
      <c r="A189" s="33"/>
    </row>
    <row r="190" spans="1:13">
      <c r="A190" s="33"/>
    </row>
    <row r="191" spans="1:13">
      <c r="A191" s="33"/>
    </row>
    <row r="192" spans="1:13">
      <c r="A192" s="33"/>
    </row>
    <row r="193" spans="1:13">
      <c r="A193" s="33"/>
    </row>
    <row r="194" spans="1:13">
      <c r="A194" s="33"/>
    </row>
    <row r="195" spans="1:13">
      <c r="A195" s="33"/>
    </row>
    <row r="196" spans="1:13" ht="24" customHeight="1">
      <c r="A196" s="62" t="s">
        <v>6086</v>
      </c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</row>
    <row r="197" spans="1:13">
      <c r="A197" s="35" t="s">
        <v>6087</v>
      </c>
      <c r="B197" s="28" t="s">
        <v>6088</v>
      </c>
    </row>
    <row r="198" spans="1:13">
      <c r="A198" s="33" t="s">
        <v>6089</v>
      </c>
      <c r="B198" s="29">
        <f>COUNTIF(PublicacionesUnicas[DOI],"?*")/$A$5</f>
        <v>1</v>
      </c>
    </row>
    <row r="199" spans="1:13">
      <c r="A199" s="33" t="s">
        <v>6090</v>
      </c>
      <c r="B199" s="29">
        <f>COUNTIF(PublicacionesUnicas[% part. UFT],1)/$A$5</f>
        <v>0.15789473684210525</v>
      </c>
    </row>
    <row r="200" spans="1:13">
      <c r="A200" s="33" t="s">
        <v>6091</v>
      </c>
      <c r="B200" s="29">
        <f>COUNTIFS(PublicacionesUnicas[% part. UFT],"&gt;"&amp;0,PublicacionesUnicas[% part. UFT],"&lt;"&amp;1)/$A$5</f>
        <v>0.83701188455008491</v>
      </c>
    </row>
    <row r="201" spans="1:13">
      <c r="A201" s="33" t="s">
        <v>6092</v>
      </c>
      <c r="B201" s="29">
        <f>COUNTIF(PublicacionesUnicas[N° autores (total)],"&gt;"&amp;10)/$A$5</f>
        <v>0.15619694397283532</v>
      </c>
    </row>
    <row r="202" spans="1:13">
      <c r="A202" s="33" t="s">
        <v>6093</v>
      </c>
      <c r="B202" s="29">
        <f>SUM($B$50:$B$54)/$A$5</f>
        <v>0.12563667232597622</v>
      </c>
    </row>
    <row r="203" spans="1:13">
      <c r="A203" s="33" t="s">
        <v>6094</v>
      </c>
      <c r="B203" s="29">
        <f>SUM($B$50:$B$59)/$A$5</f>
        <v>0.18166383701188454</v>
      </c>
    </row>
    <row r="204" spans="1:13">
      <c r="A204" s="33"/>
    </row>
    <row r="205" spans="1:13">
      <c r="A205" s="33"/>
    </row>
    <row r="206" spans="1:13">
      <c r="A206" s="33"/>
    </row>
    <row r="207" spans="1:13">
      <c r="A207" s="33"/>
    </row>
    <row r="208" spans="1:13">
      <c r="A208" s="33"/>
    </row>
    <row r="209" spans="1:13">
      <c r="A209" s="33"/>
    </row>
    <row r="210" spans="1:13">
      <c r="A210" s="33"/>
    </row>
    <row r="211" spans="1:13">
      <c r="A211" s="33"/>
    </row>
    <row r="212" spans="1:13">
      <c r="A212" s="33"/>
    </row>
    <row r="213" spans="1:13">
      <c r="A213" s="33"/>
    </row>
    <row r="214" spans="1:13" ht="24" customHeight="1">
      <c r="A214" s="62" t="s">
        <v>6095</v>
      </c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</row>
    <row r="215" spans="1:13">
      <c r="A215" s="35" t="s">
        <v>6096</v>
      </c>
      <c r="B215" s="28" t="s">
        <v>6046</v>
      </c>
    </row>
    <row r="216" spans="1:13">
      <c r="A216" s="33" t="s">
        <v>6090</v>
      </c>
      <c r="B216" s="30">
        <f>COUNTIF(PublicacionesUnicas[% part. UFT],1)</f>
        <v>93</v>
      </c>
    </row>
    <row r="217" spans="1:13">
      <c r="A217" s="33" t="s">
        <v>6097</v>
      </c>
      <c r="B217" s="30">
        <f>COUNTIFS(PublicacionesUnicas[% part. UFT],"&gt;"&amp;0,PublicacionesUnicas[% part. UFT],"&lt;"&amp;1)</f>
        <v>493</v>
      </c>
    </row>
  </sheetData>
  <mergeCells count="35">
    <mergeCell ref="A178:M178"/>
    <mergeCell ref="A196:M196"/>
    <mergeCell ref="A214:M214"/>
    <mergeCell ref="A134:M134"/>
    <mergeCell ref="A135:M135"/>
    <mergeCell ref="A136:M136"/>
    <mergeCell ref="A138:M138"/>
    <mergeCell ref="A140:M140"/>
    <mergeCell ref="A160:M160"/>
    <mergeCell ref="A48:M48"/>
    <mergeCell ref="A72:M72"/>
    <mergeCell ref="A96:M96"/>
    <mergeCell ref="A114:M114"/>
    <mergeCell ref="A132:M132"/>
    <mergeCell ref="A133:M133"/>
    <mergeCell ref="A8:C8"/>
    <mergeCell ref="D8:F8"/>
    <mergeCell ref="G8:I8"/>
    <mergeCell ref="J8:L8"/>
    <mergeCell ref="A11:M11"/>
    <mergeCell ref="A28:M28"/>
    <mergeCell ref="A5:C5"/>
    <mergeCell ref="D5:F5"/>
    <mergeCell ref="G5:I5"/>
    <mergeCell ref="J5:L5"/>
    <mergeCell ref="A7:C7"/>
    <mergeCell ref="D7:F7"/>
    <mergeCell ref="G7:I7"/>
    <mergeCell ref="J7:L7"/>
    <mergeCell ref="A1:M1"/>
    <mergeCell ref="A2:M2"/>
    <mergeCell ref="A4:C4"/>
    <mergeCell ref="D4:F4"/>
    <mergeCell ref="G4:I4"/>
    <mergeCell ref="J4:L4"/>
  </mergeCells>
  <hyperlinks>
    <hyperlink ref="C74" r:id="rId1" tooltip="Buscar Orellana-Donoso M. en Scopus (afiliación: verificar UFT / Chile)" xr:uid="{EDBA27B6-E76B-4BBA-9BA3-F54FD7512F76}"/>
    <hyperlink ref="C75" r:id="rId2" tooltip="Buscar Yanine F.F. en Scopus (afiliación: verificar UFT / Chile)" xr:uid="{A5DA791C-F532-495C-9D2D-D3D9E16EAEEB}"/>
    <hyperlink ref="C76" r:id="rId3" tooltip="Buscar Ferre A. en Scopus (afiliación: verificar UFT / Chile)" xr:uid="{C3467787-E159-480A-8D67-6414C86FB1EA}"/>
    <hyperlink ref="C77" r:id="rId4" tooltip="Buscar Mujika I. en Scopus (afiliación: verificar UFT / Chile)" xr:uid="{68C476AC-5A96-4326-A8B0-6A8B3204D87A}"/>
    <hyperlink ref="C78" r:id="rId5" tooltip="Buscar Giglio A. en Scopus (afiliación: verificar UFT / Chile)" xr:uid="{896CA615-9EDE-4A25-AB63-2986E4CCEB40}"/>
    <hyperlink ref="C79" r:id="rId6" tooltip="Buscar Strauss F.J. en Scopus (afiliación: verificar UFT / Chile)" xr:uid="{391245CE-5131-4FD3-A7C3-63DFF94765A2}"/>
    <hyperlink ref="C80" r:id="rId7" tooltip="Buscar Díaz F. en Scopus (afiliación: verificar UFT / Chile)" xr:uid="{B7DB5A0D-EAD4-40C1-997D-15FEE6764131}"/>
    <hyperlink ref="C81" r:id="rId8" tooltip="Buscar Henríquez-Olguín C. en Scopus (afiliación: verificar UFT / Chile)" xr:uid="{7214FD91-BB61-4554-AD01-EF798E9A5828}"/>
    <hyperlink ref="C82" r:id="rId9" tooltip="Buscar López-Arana S. en Scopus (afiliación: verificar UFT / Chile)" xr:uid="{0A1D238F-D9D1-4D5B-A6D3-A3B49ACB4DF3}"/>
    <hyperlink ref="C83" r:id="rId10" tooltip="Buscar Mariotti-Celis M.S. en Scopus (afiliación: verificar UFT / Chile)" xr:uid="{F258D5E9-04C2-48D0-B4F0-C191BB41701F}"/>
    <hyperlink ref="C84" r:id="rId11" tooltip="Buscar Fernández-Verdejo R. en Scopus (afiliación: verificar UFT / Chile)" xr:uid="{FB82F916-940C-438F-ABEA-3A5DFCDB8B94}"/>
    <hyperlink ref="C85" r:id="rId12" tooltip="Buscar Cancino-López J. en Scopus (afiliación: verificar UFT / Chile)" xr:uid="{068CEB65-DA94-4013-A850-15ADA881AA5C}"/>
    <hyperlink ref="C86" r:id="rId13" tooltip="Buscar Dreyse J. en Scopus (afiliación: verificar UFT / Chile)" xr:uid="{0301932E-7475-48F6-89FF-3356EDF20D9D}"/>
    <hyperlink ref="C87" r:id="rId14" tooltip="Buscar Hidalgo M. en Scopus (afiliación: verificar UFT / Chile)" xr:uid="{E77E31EF-793A-444E-99E2-DAAF72E63DC3}"/>
    <hyperlink ref="C88" r:id="rId15" tooltip="Buscar Bustos-Arriagada E. en Scopus (afiliación: verificar UFT / Chile)" xr:uid="{74183845-0864-4B52-821C-08914DB5F2A8}"/>
  </hyperlinks>
  <pageMargins left="0.7" right="0.7" top="0.75" bottom="0.75" header="0.3" footer="0.3"/>
  <drawing r:id="rId1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0C76D-D7B0-40E8-9CE4-EB598A61CAAB}">
  <sheetPr>
    <tabColor rgb="FF1F4E79"/>
  </sheetPr>
  <dimension ref="A1:M217"/>
  <sheetViews>
    <sheetView showGridLines="0" tabSelected="1" topLeftCell="A3" workbookViewId="0">
      <selection activeCell="A27" sqref="A1:XFD1048576"/>
    </sheetView>
  </sheetViews>
  <sheetFormatPr baseColWidth="10" defaultRowHeight="14.4"/>
  <cols>
    <col min="1" max="1" width="27.77734375" customWidth="1"/>
    <col min="2" max="2" width="14.77734375" customWidth="1"/>
    <col min="3" max="3" width="13" customWidth="1"/>
    <col min="4" max="13" width="17" customWidth="1"/>
  </cols>
  <sheetData>
    <row r="1" spans="1:13" ht="34.049999999999997" customHeight="1">
      <c r="A1" s="72" t="s">
        <v>6035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</row>
    <row r="2" spans="1:13" ht="19.95" customHeight="1">
      <c r="A2" s="73" t="s">
        <v>6036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</row>
    <row r="4" spans="1:13" ht="18" customHeight="1">
      <c r="A4" s="67" t="s">
        <v>6037</v>
      </c>
      <c r="B4" s="67"/>
      <c r="C4" s="67"/>
      <c r="D4" s="67" t="s">
        <v>6038</v>
      </c>
      <c r="E4" s="67"/>
      <c r="F4" s="67"/>
      <c r="G4" s="67" t="s">
        <v>6039</v>
      </c>
      <c r="H4" s="67"/>
      <c r="I4" s="67"/>
      <c r="J4" s="67" t="s">
        <v>6040</v>
      </c>
      <c r="K4" s="67"/>
      <c r="L4" s="67"/>
    </row>
    <row r="5" spans="1:13" ht="34.049999999999997" customHeight="1">
      <c r="A5" s="68">
        <f>COUNTA(PublicacionesUnicas[Título])</f>
        <v>589</v>
      </c>
      <c r="B5" s="68"/>
      <c r="C5" s="68"/>
      <c r="D5" s="68">
        <f>COUNTIF(PublicacionesUnicas[Año],2025)</f>
        <v>317</v>
      </c>
      <c r="E5" s="69"/>
      <c r="F5" s="69"/>
      <c r="G5" s="68">
        <f>COUNTIF(PublicacionesUnicas[Año],2024)</f>
        <v>271</v>
      </c>
      <c r="H5" s="69"/>
      <c r="I5" s="69"/>
      <c r="J5" s="68" cm="1">
        <f t="array" ref="J5">SUMPRODUCT((PublicacionesUnicas[Revista]&lt;&gt;"")/COUNTIF(PublicacionesUnicas[Revista],PublicacionesUnicas[Revista]&amp;""))</f>
        <v>367.99999999999983</v>
      </c>
      <c r="K5" s="69"/>
      <c r="L5" s="69"/>
    </row>
    <row r="7" spans="1:13" ht="18" customHeight="1">
      <c r="A7" s="67" t="s">
        <v>6041</v>
      </c>
      <c r="B7" s="67"/>
      <c r="C7" s="67"/>
      <c r="D7" s="67" t="s">
        <v>6042</v>
      </c>
      <c r="E7" s="67"/>
      <c r="F7" s="67"/>
      <c r="G7" s="67" t="s">
        <v>6043</v>
      </c>
      <c r="H7" s="67"/>
      <c r="I7" s="67"/>
      <c r="J7" s="67" t="s">
        <v>6044</v>
      </c>
      <c r="K7" s="67"/>
      <c r="L7" s="67"/>
    </row>
    <row r="8" spans="1:13" ht="34.049999999999997" customHeight="1">
      <c r="A8" s="70">
        <f>AVERAGE(PublicacionesUnicas[% part. UFT])</f>
        <v>0.386861570329256</v>
      </c>
      <c r="B8" s="69"/>
      <c r="C8" s="69"/>
      <c r="D8" s="71">
        <f>AVERAGE(PublicacionesUnicas[N° autores (total)])</f>
        <v>6.8095238095238093</v>
      </c>
      <c r="E8" s="69"/>
      <c r="F8" s="69"/>
      <c r="G8" s="71">
        <f>AVERAGE(PublicacionesUnicas[N° autores UFT])</f>
        <v>1.4601018675721562</v>
      </c>
      <c r="H8" s="69"/>
      <c r="I8" s="69"/>
      <c r="J8" s="68">
        <v>397</v>
      </c>
      <c r="K8" s="69"/>
      <c r="L8" s="69"/>
    </row>
    <row r="11" spans="1:13" ht="24" customHeight="1">
      <c r="A11" s="63" t="s">
        <v>6045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</row>
    <row r="12" spans="1:13">
      <c r="A12" s="28" t="s">
        <v>5874</v>
      </c>
      <c r="B12" s="28" t="s">
        <v>6046</v>
      </c>
      <c r="C12" s="28" t="s">
        <v>6047</v>
      </c>
    </row>
    <row r="13" spans="1:13">
      <c r="A13" s="36" t="s">
        <v>6072</v>
      </c>
      <c r="B13" s="30">
        <f>COUNTIF(PublicacionesUnicas[Año],2024)</f>
        <v>271</v>
      </c>
      <c r="C13" s="29">
        <f>B13/$B$15</f>
        <v>0.46088435374149661</v>
      </c>
    </row>
    <row r="14" spans="1:13">
      <c r="A14" s="36" t="s">
        <v>6073</v>
      </c>
      <c r="B14" s="30">
        <f>COUNTIF(PublicacionesUnicas[Año],2025)</f>
        <v>317</v>
      </c>
      <c r="C14" s="29">
        <f>B14/$B$15</f>
        <v>0.53911564625850339</v>
      </c>
    </row>
    <row r="15" spans="1:13">
      <c r="A15" s="34" t="s">
        <v>5878</v>
      </c>
      <c r="B15" s="31">
        <f>SUM(B13:B14)</f>
        <v>588</v>
      </c>
      <c r="C15" s="32">
        <f>B15/$B$15</f>
        <v>1</v>
      </c>
    </row>
    <row r="16" spans="1:13">
      <c r="A16" s="33"/>
    </row>
    <row r="17" spans="1:13">
      <c r="A17" s="33"/>
    </row>
    <row r="18" spans="1:13">
      <c r="A18" s="33"/>
    </row>
    <row r="19" spans="1:13">
      <c r="A19" s="33"/>
    </row>
    <row r="20" spans="1:13">
      <c r="A20" s="33"/>
    </row>
    <row r="21" spans="1:13">
      <c r="A21" s="33"/>
    </row>
    <row r="22" spans="1:13">
      <c r="A22" s="33"/>
    </row>
    <row r="23" spans="1:13">
      <c r="A23" s="33"/>
    </row>
    <row r="24" spans="1:13">
      <c r="A24" s="33"/>
    </row>
    <row r="25" spans="1:13">
      <c r="A25" s="33"/>
    </row>
    <row r="26" spans="1:13">
      <c r="A26" s="33"/>
    </row>
    <row r="27" spans="1:13">
      <c r="A27" s="33"/>
    </row>
    <row r="28" spans="1:13" ht="24" customHeight="1">
      <c r="A28" s="62" t="s">
        <v>6048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</row>
    <row r="29" spans="1:13">
      <c r="A29" s="35" t="s">
        <v>6049</v>
      </c>
      <c r="B29" s="28" t="s">
        <v>6046</v>
      </c>
      <c r="C29" s="28" t="s">
        <v>6047</v>
      </c>
    </row>
    <row r="30" spans="1:13">
      <c r="A30" s="33" t="s">
        <v>33</v>
      </c>
      <c r="B30" s="30">
        <f>COUNTIF(PublicacionesUnicas[Tipo],A30)</f>
        <v>412</v>
      </c>
      <c r="C30" s="29">
        <f>B30/$B$40</f>
        <v>0.70068027210884354</v>
      </c>
    </row>
    <row r="31" spans="1:13">
      <c r="A31" s="33" t="s">
        <v>49</v>
      </c>
      <c r="B31" s="30">
        <f>COUNTIF(PublicacionesUnicas[Tipo],A31)</f>
        <v>103</v>
      </c>
      <c r="C31" s="29">
        <f t="shared" ref="C31:C39" si="0">B31/$B$40</f>
        <v>0.17517006802721088</v>
      </c>
    </row>
    <row r="32" spans="1:13">
      <c r="A32" s="33" t="s">
        <v>644</v>
      </c>
      <c r="B32" s="30">
        <f>COUNTIF(PublicacionesUnicas[Tipo],A32)</f>
        <v>21</v>
      </c>
      <c r="C32" s="29">
        <f t="shared" si="0"/>
        <v>3.5714285714285712E-2</v>
      </c>
    </row>
    <row r="33" spans="1:13">
      <c r="A33" s="33" t="s">
        <v>2112</v>
      </c>
      <c r="B33" s="30">
        <f>COUNTIF(PublicacionesUnicas[Tipo],A33)</f>
        <v>14</v>
      </c>
      <c r="C33" s="29">
        <f t="shared" si="0"/>
        <v>2.3809523809523808E-2</v>
      </c>
    </row>
    <row r="34" spans="1:13">
      <c r="A34" s="33" t="s">
        <v>2904</v>
      </c>
      <c r="B34" s="30">
        <f>COUNTIF(PublicacionesUnicas[Tipo],A34)</f>
        <v>6</v>
      </c>
      <c r="C34" s="29">
        <f t="shared" si="0"/>
        <v>1.020408163265306E-2</v>
      </c>
    </row>
    <row r="35" spans="1:13">
      <c r="A35" s="33" t="s">
        <v>3676</v>
      </c>
      <c r="B35" s="30">
        <f>COUNTIF(PublicacionesUnicas[Tipo],A35)</f>
        <v>7</v>
      </c>
      <c r="C35" s="29">
        <f t="shared" si="0"/>
        <v>1.1904761904761904E-2</v>
      </c>
    </row>
    <row r="36" spans="1:13">
      <c r="A36" s="33" t="s">
        <v>1125</v>
      </c>
      <c r="B36" s="30">
        <f>COUNTIF(PublicacionesUnicas[Tipo],A36)</f>
        <v>17</v>
      </c>
      <c r="C36" s="29">
        <f t="shared" si="0"/>
        <v>2.8911564625850341E-2</v>
      </c>
    </row>
    <row r="37" spans="1:13">
      <c r="A37" s="33" t="s">
        <v>208</v>
      </c>
      <c r="B37" s="30">
        <f>COUNTIF(PublicacionesUnicas[Tipo],A37)</f>
        <v>3</v>
      </c>
      <c r="C37" s="29">
        <f t="shared" si="0"/>
        <v>5.1020408163265302E-3</v>
      </c>
    </row>
    <row r="38" spans="1:13">
      <c r="A38" s="33" t="s">
        <v>3843</v>
      </c>
      <c r="B38" s="30">
        <f>COUNTIF(PublicacionesUnicas[Tipo],A38)</f>
        <v>4</v>
      </c>
      <c r="C38" s="29">
        <f t="shared" si="0"/>
        <v>6.8027210884353739E-3</v>
      </c>
    </row>
    <row r="39" spans="1:13">
      <c r="A39" s="33" t="s">
        <v>3257</v>
      </c>
      <c r="B39" s="30">
        <f>COUNTIF(PublicacionesUnicas[Tipo],A39)</f>
        <v>1</v>
      </c>
      <c r="C39" s="29">
        <f t="shared" si="0"/>
        <v>1.7006802721088435E-3</v>
      </c>
    </row>
    <row r="40" spans="1:13">
      <c r="A40" s="34" t="s">
        <v>5878</v>
      </c>
      <c r="B40" s="31">
        <f>SUM(B30:B39)</f>
        <v>588</v>
      </c>
      <c r="C40" s="32">
        <f>B40/$B$40</f>
        <v>1</v>
      </c>
    </row>
    <row r="41" spans="1:13">
      <c r="A41" s="33"/>
    </row>
    <row r="42" spans="1:13">
      <c r="A42" s="33"/>
    </row>
    <row r="43" spans="1:13">
      <c r="A43" s="33"/>
    </row>
    <row r="44" spans="1:13">
      <c r="A44" s="33"/>
    </row>
    <row r="45" spans="1:13">
      <c r="A45" s="33"/>
    </row>
    <row r="46" spans="1:13">
      <c r="A46" s="33"/>
    </row>
    <row r="47" spans="1:13">
      <c r="A47" s="33"/>
    </row>
    <row r="48" spans="1:13" ht="24" customHeight="1">
      <c r="A48" s="62" t="s">
        <v>6050</v>
      </c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</row>
    <row r="49" spans="1:2">
      <c r="A49" s="35" t="s">
        <v>5882</v>
      </c>
      <c r="B49" s="28" t="s">
        <v>6046</v>
      </c>
    </row>
    <row r="50" spans="1:2">
      <c r="A50" s="33" t="s">
        <v>2392</v>
      </c>
      <c r="B50" s="30">
        <f>COUNTIF(PublicacionesUnicas[Revista],A50)</f>
        <v>35</v>
      </c>
    </row>
    <row r="51" spans="1:2">
      <c r="A51" s="33" t="s">
        <v>1470</v>
      </c>
      <c r="B51" s="30">
        <f>COUNTIF(PublicacionesUnicas[Revista],A51)</f>
        <v>10</v>
      </c>
    </row>
    <row r="52" spans="1:2">
      <c r="A52" s="33" t="s">
        <v>2912</v>
      </c>
      <c r="B52" s="30">
        <f>COUNTIF(PublicacionesUnicas[Revista],A52)</f>
        <v>10</v>
      </c>
    </row>
    <row r="53" spans="1:2">
      <c r="A53" s="33" t="s">
        <v>357</v>
      </c>
      <c r="B53" s="30">
        <f>COUNTIF(PublicacionesUnicas[Revista],A53)</f>
        <v>10</v>
      </c>
    </row>
    <row r="54" spans="1:2">
      <c r="A54" s="33" t="s">
        <v>889</v>
      </c>
      <c r="B54" s="30">
        <f>COUNTIF(PublicacionesUnicas[Revista],A54)</f>
        <v>9</v>
      </c>
    </row>
    <row r="55" spans="1:2">
      <c r="A55" s="33" t="s">
        <v>3046</v>
      </c>
      <c r="B55" s="30">
        <f>COUNTIF(PublicacionesUnicas[Revista],A55)</f>
        <v>8</v>
      </c>
    </row>
    <row r="56" spans="1:2">
      <c r="A56" s="33" t="s">
        <v>73</v>
      </c>
      <c r="B56" s="30">
        <f>COUNTIF(PublicacionesUnicas[Revista],A56)</f>
        <v>7</v>
      </c>
    </row>
    <row r="57" spans="1:2">
      <c r="A57" s="33" t="s">
        <v>651</v>
      </c>
      <c r="B57" s="30">
        <f>COUNTIF(PublicacionesUnicas[Revista],A57)</f>
        <v>7</v>
      </c>
    </row>
    <row r="58" spans="1:2">
      <c r="A58" s="33" t="s">
        <v>4161</v>
      </c>
      <c r="B58" s="30">
        <f>COUNTIF(PublicacionesUnicas[Revista],A58)</f>
        <v>6</v>
      </c>
    </row>
    <row r="59" spans="1:2">
      <c r="A59" s="33" t="s">
        <v>1676</v>
      </c>
      <c r="B59" s="30">
        <f>COUNTIF(PublicacionesUnicas[Revista],A59)</f>
        <v>5</v>
      </c>
    </row>
    <row r="60" spans="1:2">
      <c r="A60" s="33" t="s">
        <v>231</v>
      </c>
      <c r="B60" s="30">
        <f>COUNTIF(PublicacionesUnicas[Revista],A60)</f>
        <v>5</v>
      </c>
    </row>
    <row r="61" spans="1:2">
      <c r="A61" s="33" t="s">
        <v>1293</v>
      </c>
      <c r="B61" s="30">
        <f>COUNTIF(PublicacionesUnicas[Revista],A61)</f>
        <v>5</v>
      </c>
    </row>
    <row r="62" spans="1:2">
      <c r="A62" s="33" t="s">
        <v>3096</v>
      </c>
      <c r="B62" s="30">
        <f>COUNTIF(PublicacionesUnicas[Revista],A62)</f>
        <v>5</v>
      </c>
    </row>
    <row r="63" spans="1:2">
      <c r="A63" s="33" t="s">
        <v>2518</v>
      </c>
      <c r="B63" s="30">
        <f>COUNTIF(PublicacionesUnicas[Revista],A63)</f>
        <v>4</v>
      </c>
    </row>
    <row r="64" spans="1:2">
      <c r="A64" s="33" t="s">
        <v>203</v>
      </c>
      <c r="B64" s="30">
        <f>COUNTIF(PublicacionesUnicas[Revista],A64)</f>
        <v>4</v>
      </c>
    </row>
    <row r="65" spans="1:13">
      <c r="A65" s="33"/>
    </row>
    <row r="66" spans="1:13">
      <c r="A66" s="33"/>
    </row>
    <row r="67" spans="1:13">
      <c r="A67" s="33"/>
    </row>
    <row r="68" spans="1:13">
      <c r="A68" s="33"/>
    </row>
    <row r="69" spans="1:13">
      <c r="A69" s="33"/>
    </row>
    <row r="70" spans="1:13">
      <c r="A70" s="33"/>
    </row>
    <row r="71" spans="1:13">
      <c r="A71" s="33"/>
    </row>
    <row r="72" spans="1:13" ht="24" customHeight="1">
      <c r="A72" s="62" t="s">
        <v>6051</v>
      </c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</row>
    <row r="73" spans="1:13">
      <c r="A73" s="35" t="s">
        <v>6052</v>
      </c>
      <c r="B73" s="28" t="s">
        <v>6046</v>
      </c>
      <c r="C73" s="39" t="s">
        <v>6099</v>
      </c>
    </row>
    <row r="74" spans="1:13">
      <c r="A74" s="33" t="s">
        <v>276</v>
      </c>
      <c r="B74" s="30">
        <f>COUNTIF(PublicacionesUnicas[Autores UFT (autoría / coautoría)],"*"&amp;A74&amp;"*")</f>
        <v>32</v>
      </c>
      <c r="C74" s="38" t="s">
        <v>6098</v>
      </c>
    </row>
    <row r="75" spans="1:13">
      <c r="A75" s="33" t="s">
        <v>128</v>
      </c>
      <c r="B75" s="30">
        <f>COUNTIF(PublicacionesUnicas[Autores UFT (autoría / coautoría)],"*"&amp;A75&amp;"*")</f>
        <v>22</v>
      </c>
      <c r="C75" s="38" t="s">
        <v>6098</v>
      </c>
    </row>
    <row r="76" spans="1:13">
      <c r="A76" s="33" t="s">
        <v>1344</v>
      </c>
      <c r="B76" s="30">
        <f>COUNTIF(PublicacionesUnicas[Autores UFT (autoría / coautoría)],"*"&amp;A76&amp;"*")</f>
        <v>21</v>
      </c>
      <c r="C76" s="38" t="s">
        <v>6098</v>
      </c>
    </row>
    <row r="77" spans="1:13">
      <c r="A77" s="33" t="s">
        <v>22</v>
      </c>
      <c r="B77" s="30">
        <f>COUNTIF(PublicacionesUnicas[Autores UFT (autoría / coautoría)],"*"&amp;A77&amp;"*")</f>
        <v>21</v>
      </c>
      <c r="C77" s="38" t="s">
        <v>6098</v>
      </c>
    </row>
    <row r="78" spans="1:13">
      <c r="A78" s="33" t="s">
        <v>1916</v>
      </c>
      <c r="B78" s="30">
        <f>COUNTIF(PublicacionesUnicas[Autores UFT (autoría / coautoría)],"*"&amp;A78&amp;"*")</f>
        <v>19</v>
      </c>
      <c r="C78" s="38" t="s">
        <v>6098</v>
      </c>
    </row>
    <row r="79" spans="1:13">
      <c r="A79" s="33" t="s">
        <v>113</v>
      </c>
      <c r="B79" s="30">
        <f>COUNTIF(PublicacionesUnicas[Autores UFT (autoría / coautoría)],"*"&amp;A79&amp;"*")</f>
        <v>17</v>
      </c>
      <c r="C79" s="38" t="s">
        <v>6098</v>
      </c>
    </row>
    <row r="80" spans="1:13">
      <c r="A80" s="33" t="s">
        <v>635</v>
      </c>
      <c r="B80" s="30">
        <f>COUNTIF(PublicacionesUnicas[Autores UFT (autoría / coautoría)],"*"&amp;A80&amp;"*")</f>
        <v>15</v>
      </c>
      <c r="C80" s="38" t="s">
        <v>6098</v>
      </c>
    </row>
    <row r="81" spans="1:13">
      <c r="A81" s="33" t="s">
        <v>164</v>
      </c>
      <c r="B81" s="30">
        <f>COUNTIF(PublicacionesUnicas[Autores UFT (autoría / coautoría)],"*"&amp;A81&amp;"*")</f>
        <v>13</v>
      </c>
      <c r="C81" s="38" t="s">
        <v>6098</v>
      </c>
    </row>
    <row r="82" spans="1:13">
      <c r="A82" s="33" t="s">
        <v>3141</v>
      </c>
      <c r="B82" s="30">
        <f>COUNTIF(PublicacionesUnicas[Autores UFT (autoría / coautoría)],"*"&amp;A82&amp;"*")</f>
        <v>13</v>
      </c>
      <c r="C82" s="38" t="s">
        <v>6098</v>
      </c>
    </row>
    <row r="83" spans="1:13">
      <c r="A83" s="33" t="s">
        <v>265</v>
      </c>
      <c r="B83" s="30">
        <f>COUNTIF(PublicacionesUnicas[Autores UFT (autoría / coautoría)],"*"&amp;A83&amp;"*")</f>
        <v>12</v>
      </c>
      <c r="C83" s="38" t="s">
        <v>6098</v>
      </c>
    </row>
    <row r="84" spans="1:13">
      <c r="A84" s="33" t="s">
        <v>39</v>
      </c>
      <c r="B84" s="30">
        <f>COUNTIF(PublicacionesUnicas[Autores UFT (autoría / coautoría)],"*"&amp;A84&amp;"*")</f>
        <v>12</v>
      </c>
      <c r="C84" s="38" t="s">
        <v>6098</v>
      </c>
    </row>
    <row r="85" spans="1:13">
      <c r="A85" s="33" t="s">
        <v>1282</v>
      </c>
      <c r="B85" s="30">
        <f>COUNTIF(PublicacionesUnicas[Autores UFT (autoría / coautoría)],"*"&amp;A85&amp;"*")</f>
        <v>11</v>
      </c>
      <c r="C85" s="38" t="s">
        <v>6098</v>
      </c>
    </row>
    <row r="86" spans="1:13">
      <c r="A86" s="33" t="s">
        <v>433</v>
      </c>
      <c r="B86" s="30">
        <f>COUNTIF(PublicacionesUnicas[Autores UFT (autoría / coautoría)],"*"&amp;A86&amp;"*")</f>
        <v>11</v>
      </c>
      <c r="C86" s="38" t="s">
        <v>6098</v>
      </c>
    </row>
    <row r="87" spans="1:13">
      <c r="A87" s="33" t="s">
        <v>1619</v>
      </c>
      <c r="B87" s="30">
        <f>COUNTIF(PublicacionesUnicas[Autores UFT (autoría / coautoría)],"*"&amp;A87&amp;"*")</f>
        <v>9</v>
      </c>
      <c r="C87" s="38" t="s">
        <v>6098</v>
      </c>
    </row>
    <row r="88" spans="1:13">
      <c r="A88" s="33" t="s">
        <v>1024</v>
      </c>
      <c r="B88" s="30">
        <f>COUNTIF(PublicacionesUnicas[Autores UFT (autoría / coautoría)],"*"&amp;A88&amp;"*")</f>
        <v>9</v>
      </c>
      <c r="C88" s="38" t="s">
        <v>6098</v>
      </c>
    </row>
    <row r="89" spans="1:13">
      <c r="A89" s="33"/>
    </row>
    <row r="90" spans="1:13">
      <c r="A90" s="33"/>
    </row>
    <row r="91" spans="1:13">
      <c r="A91" s="33"/>
    </row>
    <row r="92" spans="1:13">
      <c r="A92" s="33"/>
    </row>
    <row r="93" spans="1:13">
      <c r="A93" s="33"/>
    </row>
    <row r="94" spans="1:13">
      <c r="A94" s="33"/>
    </row>
    <row r="95" spans="1:13">
      <c r="A95" s="33"/>
    </row>
    <row r="96" spans="1:13" ht="24" customHeight="1">
      <c r="A96" s="62" t="s">
        <v>6053</v>
      </c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</row>
    <row r="97" spans="1:3">
      <c r="A97" s="35" t="s">
        <v>5883</v>
      </c>
      <c r="B97" s="28" t="s">
        <v>6046</v>
      </c>
      <c r="C97" s="28" t="s">
        <v>6047</v>
      </c>
    </row>
    <row r="98" spans="1:3">
      <c r="A98" s="33" t="s">
        <v>6054</v>
      </c>
      <c r="B98" s="30">
        <f>COUNTIF(PublicacionesUnicas[N° autores UFT],1)</f>
        <v>451</v>
      </c>
      <c r="C98" s="29">
        <f>B98/SUM($B$98:$B$103)</f>
        <v>0.76831345826235098</v>
      </c>
    </row>
    <row r="99" spans="1:3">
      <c r="A99" s="33" t="s">
        <v>6055</v>
      </c>
      <c r="B99" s="30">
        <f>COUNTIF(PublicacionesUnicas[N° autores UFT],2)</f>
        <v>68</v>
      </c>
      <c r="C99" s="29">
        <f t="shared" ref="C99:C103" si="1">B99/SUM($B$98:$B$103)</f>
        <v>0.11584327086882454</v>
      </c>
    </row>
    <row r="100" spans="1:3">
      <c r="A100" s="33" t="s">
        <v>6056</v>
      </c>
      <c r="B100" s="30">
        <f>COUNTIF(PublicacionesUnicas[N° autores UFT],3)</f>
        <v>31</v>
      </c>
      <c r="C100" s="29">
        <f t="shared" si="1"/>
        <v>5.2810902896081771E-2</v>
      </c>
    </row>
    <row r="101" spans="1:3">
      <c r="A101" s="33" t="s">
        <v>6057</v>
      </c>
      <c r="B101" s="30">
        <f>COUNTIF(PublicacionesUnicas[N° autores UFT],4)</f>
        <v>21</v>
      </c>
      <c r="C101" s="29">
        <f t="shared" si="1"/>
        <v>3.5775127768313458E-2</v>
      </c>
    </row>
    <row r="102" spans="1:3">
      <c r="A102" s="33" t="s">
        <v>6058</v>
      </c>
      <c r="B102" s="30">
        <f>COUNTIF(PublicacionesUnicas[N° autores UFT],5)</f>
        <v>4</v>
      </c>
      <c r="C102" s="29">
        <f t="shared" si="1"/>
        <v>6.8143100511073255E-3</v>
      </c>
    </row>
    <row r="103" spans="1:3">
      <c r="A103" s="33" t="s">
        <v>6059</v>
      </c>
      <c r="B103" s="30">
        <f>COUNTIF(PublicacionesUnicas[N° autores UFT],"&gt;=6")</f>
        <v>12</v>
      </c>
      <c r="C103" s="29">
        <f t="shared" si="1"/>
        <v>2.0442930153321975E-2</v>
      </c>
    </row>
    <row r="104" spans="1:3">
      <c r="A104" s="33"/>
    </row>
    <row r="105" spans="1:3">
      <c r="A105" s="33"/>
    </row>
    <row r="106" spans="1:3">
      <c r="A106" s="33"/>
    </row>
    <row r="107" spans="1:3">
      <c r="A107" s="33"/>
    </row>
    <row r="108" spans="1:3">
      <c r="A108" s="33"/>
    </row>
    <row r="109" spans="1:3">
      <c r="A109" s="33"/>
    </row>
    <row r="110" spans="1:3">
      <c r="A110" s="33"/>
    </row>
    <row r="111" spans="1:3">
      <c r="A111" s="33"/>
    </row>
    <row r="112" spans="1:3">
      <c r="A112" s="33"/>
    </row>
    <row r="113" spans="1:13">
      <c r="A113" s="33"/>
    </row>
    <row r="114" spans="1:13" ht="24" customHeight="1">
      <c r="A114" s="62" t="s">
        <v>6060</v>
      </c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</row>
    <row r="115" spans="1:13">
      <c r="A115" s="35" t="s">
        <v>6061</v>
      </c>
      <c r="B115" s="28" t="s">
        <v>6046</v>
      </c>
      <c r="C115" s="28" t="s">
        <v>6047</v>
      </c>
    </row>
    <row r="116" spans="1:13">
      <c r="A116" s="33" t="s">
        <v>6062</v>
      </c>
      <c r="B116" s="30">
        <f>COUNTIF(PublicacionesUnicas[% part. UFT],1)</f>
        <v>93</v>
      </c>
      <c r="C116" s="29">
        <f>B116/SUM($B$116:$B$120)</f>
        <v>0.15870307167235495</v>
      </c>
    </row>
    <row r="117" spans="1:13">
      <c r="A117" s="33" t="s">
        <v>6063</v>
      </c>
      <c r="B117" s="30">
        <f>COUNTIFS(PublicacionesUnicas[% part. UFT],"&gt;="&amp;0.5,PublicacionesUnicas[% part. UFT],"&lt;"&amp;1)</f>
        <v>100</v>
      </c>
      <c r="C117" s="29">
        <f t="shared" ref="C117:C120" si="2">B117/SUM($B$116:$B$120)</f>
        <v>0.17064846416382254</v>
      </c>
    </row>
    <row r="118" spans="1:13">
      <c r="A118" s="33" t="s">
        <v>6064</v>
      </c>
      <c r="B118" s="30">
        <f>COUNTIFS(PublicacionesUnicas[% part. UFT],"&gt;="&amp;0.25,PublicacionesUnicas[% part. UFT],"&lt;"&amp;0.5)</f>
        <v>144</v>
      </c>
      <c r="C118" s="29">
        <f t="shared" si="2"/>
        <v>0.24573378839590443</v>
      </c>
    </row>
    <row r="119" spans="1:13">
      <c r="A119" s="33" t="s">
        <v>6065</v>
      </c>
      <c r="B119" s="30">
        <f>COUNTIFS(PublicacionesUnicas[% part. UFT],"&gt;="&amp;0.1,PublicacionesUnicas[% part. UFT],"&lt;"&amp;0.25)</f>
        <v>169</v>
      </c>
      <c r="C119" s="29">
        <f t="shared" si="2"/>
        <v>0.28839590443686008</v>
      </c>
    </row>
    <row r="120" spans="1:13">
      <c r="A120" s="33" t="s">
        <v>6066</v>
      </c>
      <c r="B120" s="30">
        <f>COUNTIFS(PublicacionesUnicas[% part. UFT],"&gt;"&amp;0,PublicacionesUnicas[% part. UFT],"&lt;"&amp;0.1)</f>
        <v>80</v>
      </c>
      <c r="C120" s="29">
        <f t="shared" si="2"/>
        <v>0.13651877133105803</v>
      </c>
    </row>
    <row r="132" spans="1:13" ht="22.05" customHeight="1">
      <c r="A132" s="66" t="s">
        <v>6067</v>
      </c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</row>
    <row r="133" spans="1:13">
      <c r="A133" s="64" t="s">
        <v>6068</v>
      </c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</row>
    <row r="134" spans="1:13">
      <c r="A134" s="64" t="s">
        <v>6069</v>
      </c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</row>
    <row r="135" spans="1:13">
      <c r="A135" s="64" t="s">
        <v>6070</v>
      </c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</row>
    <row r="136" spans="1:13">
      <c r="A136" s="64" t="s">
        <v>6071</v>
      </c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</row>
    <row r="138" spans="1:13" ht="25.95" customHeight="1">
      <c r="A138" s="65" t="s">
        <v>6074</v>
      </c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</row>
    <row r="140" spans="1:13" ht="24" customHeight="1">
      <c r="A140" s="63" t="s">
        <v>6075</v>
      </c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</row>
    <row r="141" spans="1:13">
      <c r="A141" s="28" t="s">
        <v>6049</v>
      </c>
      <c r="B141" s="37" t="s">
        <v>6072</v>
      </c>
      <c r="C141" s="37" t="s">
        <v>6073</v>
      </c>
    </row>
    <row r="142" spans="1:13">
      <c r="A142" s="33" t="s">
        <v>33</v>
      </c>
      <c r="B142" s="30">
        <f>COUNTIFS(PublicacionesUnicas[Tipo],$A142,PublicacionesUnicas[Año],B$141)</f>
        <v>197</v>
      </c>
      <c r="C142" s="30">
        <f>COUNTIFS(PublicacionesUnicas[Tipo],$A142,PublicacionesUnicas[Año],C$141)</f>
        <v>215</v>
      </c>
    </row>
    <row r="143" spans="1:13">
      <c r="A143" s="33" t="s">
        <v>49</v>
      </c>
      <c r="B143" s="30">
        <f>COUNTIFS(PublicacionesUnicas[Tipo],$A143,PublicacionesUnicas[Año],B$141)</f>
        <v>39</v>
      </c>
      <c r="C143" s="30">
        <f>COUNTIFS(PublicacionesUnicas[Tipo],$A143,PublicacionesUnicas[Año],C$141)</f>
        <v>64</v>
      </c>
    </row>
    <row r="144" spans="1:13">
      <c r="A144" s="33" t="s">
        <v>644</v>
      </c>
      <c r="B144" s="30">
        <f>COUNTIFS(PublicacionesUnicas[Tipo],$A144,PublicacionesUnicas[Año],B$141)</f>
        <v>9</v>
      </c>
      <c r="C144" s="30">
        <f>COUNTIFS(PublicacionesUnicas[Tipo],$A144,PublicacionesUnicas[Año],C$141)</f>
        <v>12</v>
      </c>
    </row>
    <row r="145" spans="1:13">
      <c r="A145" s="33" t="s">
        <v>1125</v>
      </c>
      <c r="B145" s="30">
        <f>COUNTIFS(PublicacionesUnicas[Tipo],$A145,PublicacionesUnicas[Año],B$141)</f>
        <v>14</v>
      </c>
      <c r="C145" s="30">
        <f>COUNTIFS(PublicacionesUnicas[Tipo],$A145,PublicacionesUnicas[Año],C$141)</f>
        <v>3</v>
      </c>
    </row>
    <row r="146" spans="1:13">
      <c r="A146" s="33" t="s">
        <v>2112</v>
      </c>
      <c r="B146" s="30">
        <f>COUNTIFS(PublicacionesUnicas[Tipo],$A146,PublicacionesUnicas[Año],B$141)</f>
        <v>4</v>
      </c>
      <c r="C146" s="30">
        <f>COUNTIFS(PublicacionesUnicas[Tipo],$A146,PublicacionesUnicas[Año],C$141)</f>
        <v>10</v>
      </c>
    </row>
    <row r="147" spans="1:13">
      <c r="A147" s="33" t="s">
        <v>3676</v>
      </c>
      <c r="B147" s="30">
        <f>COUNTIFS(PublicacionesUnicas[Tipo],$A147,PublicacionesUnicas[Año],B$141)</f>
        <v>1</v>
      </c>
      <c r="C147" s="30">
        <f>COUNTIFS(PublicacionesUnicas[Tipo],$A147,PublicacionesUnicas[Año],C$141)</f>
        <v>6</v>
      </c>
    </row>
    <row r="148" spans="1:13">
      <c r="A148" s="33"/>
    </row>
    <row r="149" spans="1:13">
      <c r="A149" s="33"/>
    </row>
    <row r="150" spans="1:13">
      <c r="A150" s="33"/>
    </row>
    <row r="151" spans="1:13">
      <c r="A151" s="33"/>
    </row>
    <row r="152" spans="1:13">
      <c r="A152" s="33"/>
    </row>
    <row r="153" spans="1:13">
      <c r="A153" s="33"/>
    </row>
    <row r="154" spans="1:13">
      <c r="A154" s="33"/>
    </row>
    <row r="155" spans="1:13">
      <c r="A155" s="33"/>
    </row>
    <row r="156" spans="1:13">
      <c r="A156" s="33"/>
    </row>
    <row r="157" spans="1:13">
      <c r="A157" s="33"/>
    </row>
    <row r="158" spans="1:13">
      <c r="A158" s="33"/>
    </row>
    <row r="159" spans="1:13">
      <c r="A159" s="33"/>
    </row>
    <row r="160" spans="1:13" ht="24" customHeight="1">
      <c r="A160" s="62" t="s">
        <v>6076</v>
      </c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</row>
    <row r="161" spans="1:3">
      <c r="A161" s="35" t="s">
        <v>6077</v>
      </c>
      <c r="B161" s="28" t="s">
        <v>6046</v>
      </c>
      <c r="C161" s="28" t="s">
        <v>6047</v>
      </c>
    </row>
    <row r="162" spans="1:3">
      <c r="A162" s="33" t="s">
        <v>6078</v>
      </c>
      <c r="B162" s="30">
        <f>COUNTIF(PublicacionesUnicas[N° autores (total)],1)</f>
        <v>49</v>
      </c>
      <c r="C162" s="29">
        <f>B162/SUM($B$162:$B$167)</f>
        <v>8.3333333333333329E-2</v>
      </c>
    </row>
    <row r="163" spans="1:3">
      <c r="A163" s="33" t="s">
        <v>6079</v>
      </c>
      <c r="B163" s="30">
        <f>COUNTIFS(PublicacionesUnicas[N° autores (total)],"&gt;="&amp;2,PublicacionesUnicas[N° autores (total)],"&lt;="&amp;3)</f>
        <v>162</v>
      </c>
      <c r="C163" s="29">
        <f t="shared" ref="C163:C167" si="3">B163/SUM($B$162:$B$167)</f>
        <v>0.27551020408163263</v>
      </c>
    </row>
    <row r="164" spans="1:3">
      <c r="A164" s="33" t="s">
        <v>6080</v>
      </c>
      <c r="B164" s="30">
        <f>COUNTIFS(PublicacionesUnicas[N° autores (total)],"&gt;="&amp;4,PublicacionesUnicas[N° autores (total)],"&lt;="&amp;6)</f>
        <v>180</v>
      </c>
      <c r="C164" s="29">
        <f t="shared" si="3"/>
        <v>0.30612244897959184</v>
      </c>
    </row>
    <row r="165" spans="1:3">
      <c r="A165" s="33" t="s">
        <v>6081</v>
      </c>
      <c r="B165" s="30">
        <f>COUNTIFS(PublicacionesUnicas[N° autores (total)],"&gt;="&amp;7,PublicacionesUnicas[N° autores (total)],"&lt;="&amp;10)</f>
        <v>105</v>
      </c>
      <c r="C165" s="29">
        <f t="shared" si="3"/>
        <v>0.17857142857142858</v>
      </c>
    </row>
    <row r="166" spans="1:3">
      <c r="A166" s="33" t="s">
        <v>6082</v>
      </c>
      <c r="B166" s="30">
        <f>COUNTIFS(PublicacionesUnicas[N° autores (total)],"&gt;="&amp;11,PublicacionesUnicas[N° autores (total)],"&lt;="&amp;20)</f>
        <v>74</v>
      </c>
      <c r="C166" s="29">
        <f t="shared" si="3"/>
        <v>0.12585034013605442</v>
      </c>
    </row>
    <row r="167" spans="1:3">
      <c r="A167" s="33" t="s">
        <v>6083</v>
      </c>
      <c r="B167" s="30">
        <f>COUNTIF(PublicacionesUnicas[N° autores (total)],"&gt;"&amp;20)</f>
        <v>18</v>
      </c>
      <c r="C167" s="29">
        <f t="shared" si="3"/>
        <v>3.0612244897959183E-2</v>
      </c>
    </row>
    <row r="168" spans="1:3">
      <c r="A168" s="33"/>
    </row>
    <row r="169" spans="1:3">
      <c r="A169" s="33"/>
    </row>
    <row r="170" spans="1:3">
      <c r="A170" s="33"/>
    </row>
    <row r="171" spans="1:3">
      <c r="A171" s="33"/>
    </row>
    <row r="172" spans="1:3">
      <c r="A172" s="33"/>
    </row>
    <row r="173" spans="1:3">
      <c r="A173" s="33"/>
    </row>
    <row r="174" spans="1:3">
      <c r="A174" s="33"/>
    </row>
    <row r="175" spans="1:3">
      <c r="A175" s="33"/>
    </row>
    <row r="176" spans="1:3">
      <c r="A176" s="33"/>
    </row>
    <row r="177" spans="1:13">
      <c r="A177" s="33"/>
    </row>
    <row r="178" spans="1:13" ht="24" customHeight="1">
      <c r="A178" s="62" t="s">
        <v>6084</v>
      </c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</row>
    <row r="179" spans="1:13">
      <c r="A179" s="35" t="s">
        <v>6049</v>
      </c>
      <c r="B179" s="28" t="s">
        <v>6085</v>
      </c>
    </row>
    <row r="180" spans="1:13">
      <c r="A180" s="33" t="s">
        <v>33</v>
      </c>
      <c r="B180" s="29">
        <f>AVERAGEIF(PublicacionesUnicas[Tipo],A180,PublicacionesUnicas[% part. UFT])</f>
        <v>0.38610970392001459</v>
      </c>
    </row>
    <row r="181" spans="1:13">
      <c r="A181" s="33" t="s">
        <v>49</v>
      </c>
      <c r="B181" s="29">
        <f>AVERAGEIF(PublicacionesUnicas[Tipo],A181,PublicacionesUnicas[% part. UFT])</f>
        <v>0.32647644175933432</v>
      </c>
    </row>
    <row r="182" spans="1:13">
      <c r="A182" s="33" t="s">
        <v>644</v>
      </c>
      <c r="B182" s="29">
        <f>AVERAGEIF(PublicacionesUnicas[Tipo],A182,PublicacionesUnicas[% part. UFT])</f>
        <v>0.5955404383975812</v>
      </c>
    </row>
    <row r="183" spans="1:13">
      <c r="A183" s="33" t="s">
        <v>1125</v>
      </c>
      <c r="B183" s="29">
        <f>AVERAGEIF(PublicacionesUnicas[Tipo],A183,PublicacionesUnicas[% part. UFT])</f>
        <v>0.47408963585434166</v>
      </c>
    </row>
    <row r="184" spans="1:13">
      <c r="A184" s="33" t="s">
        <v>2112</v>
      </c>
      <c r="B184" s="29">
        <f>AVERAGEIF(PublicacionesUnicas[Tipo],A184,PublicacionesUnicas[% part. UFT])</f>
        <v>0.39234693877551025</v>
      </c>
    </row>
    <row r="185" spans="1:13">
      <c r="A185" s="33" t="s">
        <v>3676</v>
      </c>
      <c r="B185" s="29">
        <f>AVERAGEIF(PublicacionesUnicas[Tipo],A185,PublicacionesUnicas[% part. UFT])</f>
        <v>0.51262083780880774</v>
      </c>
    </row>
    <row r="186" spans="1:13">
      <c r="A186" s="33"/>
    </row>
    <row r="187" spans="1:13">
      <c r="A187" s="33"/>
    </row>
    <row r="188" spans="1:13">
      <c r="A188" s="33"/>
    </row>
    <row r="189" spans="1:13">
      <c r="A189" s="33"/>
    </row>
    <row r="190" spans="1:13">
      <c r="A190" s="33"/>
    </row>
    <row r="191" spans="1:13">
      <c r="A191" s="33"/>
    </row>
    <row r="192" spans="1:13">
      <c r="A192" s="33"/>
    </row>
    <row r="193" spans="1:13">
      <c r="A193" s="33"/>
    </row>
    <row r="194" spans="1:13">
      <c r="A194" s="33"/>
    </row>
    <row r="195" spans="1:13">
      <c r="A195" s="33"/>
    </row>
    <row r="196" spans="1:13" ht="24" customHeight="1">
      <c r="A196" s="62" t="s">
        <v>6086</v>
      </c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</row>
    <row r="197" spans="1:13">
      <c r="A197" s="35" t="s">
        <v>6087</v>
      </c>
      <c r="B197" s="28" t="s">
        <v>6088</v>
      </c>
    </row>
    <row r="198" spans="1:13">
      <c r="A198" s="33" t="s">
        <v>6089</v>
      </c>
      <c r="B198" s="29">
        <f>COUNTIF(PublicacionesUnicas[DOI],"?*")/$A$5</f>
        <v>1</v>
      </c>
    </row>
    <row r="199" spans="1:13">
      <c r="A199" s="33" t="s">
        <v>6090</v>
      </c>
      <c r="B199" s="29">
        <f>COUNTIF(PublicacionesUnicas[% part. UFT],1)/$A$5</f>
        <v>0.15789473684210525</v>
      </c>
    </row>
    <row r="200" spans="1:13">
      <c r="A200" s="33" t="s">
        <v>6091</v>
      </c>
      <c r="B200" s="29">
        <f>COUNTIFS(PublicacionesUnicas[% part. UFT],"&gt;"&amp;0,PublicacionesUnicas[% part. UFT],"&lt;"&amp;1)/$A$5</f>
        <v>0.83701188455008491</v>
      </c>
    </row>
    <row r="201" spans="1:13">
      <c r="A201" s="33" t="s">
        <v>6092</v>
      </c>
      <c r="B201" s="29">
        <f>COUNTIF(PublicacionesUnicas[N° autores (total)],"&gt;"&amp;10)/$A$5</f>
        <v>0.15619694397283532</v>
      </c>
    </row>
    <row r="202" spans="1:13">
      <c r="A202" s="33" t="s">
        <v>6093</v>
      </c>
      <c r="B202" s="29">
        <f>SUM($B$50:$B$54)/$A$5</f>
        <v>0.12563667232597622</v>
      </c>
    </row>
    <row r="203" spans="1:13">
      <c r="A203" s="33" t="s">
        <v>6094</v>
      </c>
      <c r="B203" s="29">
        <f>SUM($B$50:$B$59)/$A$5</f>
        <v>0.18166383701188454</v>
      </c>
    </row>
    <row r="204" spans="1:13">
      <c r="A204" s="33"/>
    </row>
    <row r="205" spans="1:13">
      <c r="A205" s="33"/>
    </row>
    <row r="206" spans="1:13">
      <c r="A206" s="33"/>
    </row>
    <row r="207" spans="1:13">
      <c r="A207" s="33"/>
    </row>
    <row r="208" spans="1:13">
      <c r="A208" s="33"/>
    </row>
    <row r="209" spans="1:13">
      <c r="A209" s="33"/>
    </row>
    <row r="210" spans="1:13">
      <c r="A210" s="33"/>
    </row>
    <row r="211" spans="1:13">
      <c r="A211" s="33"/>
    </row>
    <row r="212" spans="1:13">
      <c r="A212" s="33"/>
    </row>
    <row r="213" spans="1:13">
      <c r="A213" s="33"/>
    </row>
    <row r="214" spans="1:13" ht="24" customHeight="1">
      <c r="A214" s="62" t="s">
        <v>6095</v>
      </c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</row>
    <row r="215" spans="1:13">
      <c r="A215" s="35" t="s">
        <v>6096</v>
      </c>
      <c r="B215" s="28" t="s">
        <v>6046</v>
      </c>
    </row>
    <row r="216" spans="1:13">
      <c r="A216" s="33" t="s">
        <v>6090</v>
      </c>
      <c r="B216" s="30">
        <f>COUNTIF(PublicacionesUnicas[% part. UFT],1)</f>
        <v>93</v>
      </c>
    </row>
    <row r="217" spans="1:13">
      <c r="A217" s="33" t="s">
        <v>6097</v>
      </c>
      <c r="B217" s="30">
        <f>COUNTIFS(PublicacionesUnicas[% part. UFT],"&gt;"&amp;0,PublicacionesUnicas[% part. UFT],"&lt;"&amp;1)</f>
        <v>493</v>
      </c>
    </row>
  </sheetData>
  <mergeCells count="35">
    <mergeCell ref="A1:M1"/>
    <mergeCell ref="A2:M2"/>
    <mergeCell ref="A4:C4"/>
    <mergeCell ref="A5:C5"/>
    <mergeCell ref="D4:F4"/>
    <mergeCell ref="D5:F5"/>
    <mergeCell ref="G4:I4"/>
    <mergeCell ref="G5:I5"/>
    <mergeCell ref="J4:L4"/>
    <mergeCell ref="J5:L5"/>
    <mergeCell ref="A135:M135"/>
    <mergeCell ref="J7:L7"/>
    <mergeCell ref="J8:L8"/>
    <mergeCell ref="A11:M11"/>
    <mergeCell ref="A28:M28"/>
    <mergeCell ref="A48:M48"/>
    <mergeCell ref="A72:M72"/>
    <mergeCell ref="A7:C7"/>
    <mergeCell ref="A8:C8"/>
    <mergeCell ref="D7:F7"/>
    <mergeCell ref="D8:F8"/>
    <mergeCell ref="G7:I7"/>
    <mergeCell ref="G8:I8"/>
    <mergeCell ref="A96:M96"/>
    <mergeCell ref="A114:M114"/>
    <mergeCell ref="A132:M132"/>
    <mergeCell ref="A133:M133"/>
    <mergeCell ref="A134:M134"/>
    <mergeCell ref="A214:M214"/>
    <mergeCell ref="A136:M136"/>
    <mergeCell ref="A138:M138"/>
    <mergeCell ref="A140:M140"/>
    <mergeCell ref="A160:M160"/>
    <mergeCell ref="A178:M178"/>
    <mergeCell ref="A196:M196"/>
  </mergeCells>
  <hyperlinks>
    <hyperlink ref="C74" r:id="rId1" tooltip="Buscar Orellana-Donoso M. en Scopus (afiliación: verificar UFT / Chile)" xr:uid="{3ABF7C96-54B0-4CCC-A7B0-F89311D7D394}"/>
    <hyperlink ref="C75" r:id="rId2" tooltip="Buscar Yanine F.F. en Scopus (afiliación: verificar UFT / Chile)" xr:uid="{756D1FA4-A2C6-48E5-93E7-4CC8F8ED1791}"/>
    <hyperlink ref="C76" r:id="rId3" tooltip="Buscar Ferre A. en Scopus (afiliación: verificar UFT / Chile)" xr:uid="{F15A8343-BA91-46EA-AD88-F2E9100AFBA3}"/>
    <hyperlink ref="C77" r:id="rId4" tooltip="Buscar Mujika I. en Scopus (afiliación: verificar UFT / Chile)" xr:uid="{64C57E15-D2AD-4250-A0B1-C822CAE7D5E3}"/>
    <hyperlink ref="C78" r:id="rId5" tooltip="Buscar Giglio A. en Scopus (afiliación: verificar UFT / Chile)" xr:uid="{A98D4AB4-9571-46B4-9459-4BFD10E2EA07}"/>
    <hyperlink ref="C79" r:id="rId6" tooltip="Buscar Strauss F.J. en Scopus (afiliación: verificar UFT / Chile)" xr:uid="{808BDC0A-CD66-4D44-9925-847C5A6D3FEB}"/>
    <hyperlink ref="C80" r:id="rId7" tooltip="Buscar Díaz F. en Scopus (afiliación: verificar UFT / Chile)" xr:uid="{2EC2C638-2495-4631-9405-AD96A8887C8C}"/>
    <hyperlink ref="C81" r:id="rId8" tooltip="Buscar Henríquez-Olguín C. en Scopus (afiliación: verificar UFT / Chile)" xr:uid="{C3EEA964-7EF1-4C09-9305-E9F0C6855A82}"/>
    <hyperlink ref="C82" r:id="rId9" tooltip="Buscar López-Arana S. en Scopus (afiliación: verificar UFT / Chile)" xr:uid="{3F854B61-DEDB-4EC0-82E7-9D6A8CF55A53}"/>
    <hyperlink ref="C83" r:id="rId10" tooltip="Buscar Mariotti-Celis M.S. en Scopus (afiliación: verificar UFT / Chile)" xr:uid="{6C54C8C2-BC27-44E5-B7CD-75BE70447348}"/>
    <hyperlink ref="C84" r:id="rId11" tooltip="Buscar Fernández-Verdejo R. en Scopus (afiliación: verificar UFT / Chile)" xr:uid="{7EA2B13D-A7DE-42C4-BC0A-8C0304A40166}"/>
    <hyperlink ref="C85" r:id="rId12" tooltip="Buscar Cancino-López J. en Scopus (afiliación: verificar UFT / Chile)" xr:uid="{0E3B7B4A-1F7F-4AD9-8BAB-D0F8BD6FBCF4}"/>
    <hyperlink ref="C86" r:id="rId13" tooltip="Buscar Dreyse J. en Scopus (afiliación: verificar UFT / Chile)" xr:uid="{2C3466ED-6E29-46E1-8D27-B5198D5E3DCD}"/>
    <hyperlink ref="C87" r:id="rId14" tooltip="Buscar Hidalgo M. en Scopus (afiliación: verificar UFT / Chile)" xr:uid="{4B47A115-6F7D-43D1-8C2F-129B383550DD}"/>
    <hyperlink ref="C88" r:id="rId15" tooltip="Buscar Bustos-Arriagada E. en Scopus (afiliación: verificar UFT / Chile)" xr:uid="{0A0734C2-476B-4D16-8FB7-5429CF6C643C}"/>
  </hyperlinks>
  <pageMargins left="0.7" right="0.7" top="0.75" bottom="0.75" header="0.3" footer="0.3"/>
  <drawing r:id="rId1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67293-06F4-44C0-8044-47B90D5EA05D}">
  <dimension ref="A1:V863"/>
  <sheetViews>
    <sheetView zoomScale="55" zoomScaleNormal="55" zoomScaleSheetLayoutView="40" workbookViewId="0">
      <selection activeCell="B33" sqref="B33"/>
    </sheetView>
  </sheetViews>
  <sheetFormatPr baseColWidth="10" defaultColWidth="200.77734375" defaultRowHeight="14.4"/>
  <cols>
    <col min="1" max="16384" width="200.77734375" style="2"/>
  </cols>
  <sheetData>
    <row r="1" spans="1:2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00.8">
      <c r="A2" s="2" t="s">
        <v>22</v>
      </c>
      <c r="B2" s="2" t="s">
        <v>23</v>
      </c>
      <c r="C2" s="2" t="s">
        <v>24</v>
      </c>
      <c r="D2" s="2">
        <v>2024</v>
      </c>
      <c r="E2" s="3">
        <v>45292</v>
      </c>
      <c r="F2" s="2" t="s">
        <v>25</v>
      </c>
      <c r="G2" s="2">
        <v>42</v>
      </c>
      <c r="H2" s="2">
        <v>2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4">
        <v>1645</v>
      </c>
      <c r="P2" s="2" t="s">
        <v>32</v>
      </c>
      <c r="Q2" s="2" t="s">
        <v>33</v>
      </c>
      <c r="R2" s="2" t="s">
        <v>34</v>
      </c>
      <c r="S2" s="2" t="s">
        <v>35</v>
      </c>
      <c r="T2" s="2" t="s">
        <v>36</v>
      </c>
      <c r="U2" s="2" t="s">
        <v>37</v>
      </c>
      <c r="V2" s="2" t="s">
        <v>38</v>
      </c>
    </row>
    <row r="3" spans="1:22" ht="28.8">
      <c r="A3" s="2" t="s">
        <v>39</v>
      </c>
      <c r="B3" s="2" t="s">
        <v>40</v>
      </c>
      <c r="C3" s="2" t="s">
        <v>41</v>
      </c>
      <c r="D3" s="2">
        <v>2024</v>
      </c>
      <c r="E3" s="3">
        <v>45444</v>
      </c>
      <c r="F3" s="2" t="s">
        <v>42</v>
      </c>
      <c r="G3" s="2">
        <v>97</v>
      </c>
      <c r="H3" s="2" t="s">
        <v>43</v>
      </c>
      <c r="I3" s="2" t="s">
        <v>43</v>
      </c>
      <c r="J3" s="2" t="s">
        <v>44</v>
      </c>
      <c r="K3" s="2" t="s">
        <v>45</v>
      </c>
      <c r="L3" s="2" t="s">
        <v>29</v>
      </c>
      <c r="M3" s="2" t="s">
        <v>46</v>
      </c>
      <c r="N3" s="2" t="s">
        <v>47</v>
      </c>
      <c r="O3" s="4">
        <v>2947</v>
      </c>
      <c r="P3" s="2" t="s">
        <v>48</v>
      </c>
      <c r="Q3" s="2" t="s">
        <v>49</v>
      </c>
      <c r="R3" s="2" t="s">
        <v>50</v>
      </c>
      <c r="S3" s="2" t="s">
        <v>51</v>
      </c>
      <c r="T3" s="2" t="s">
        <v>52</v>
      </c>
      <c r="U3" s="2" t="s">
        <v>53</v>
      </c>
      <c r="V3" s="2" t="s">
        <v>54</v>
      </c>
    </row>
    <row r="4" spans="1:22" ht="28.8">
      <c r="A4" s="2" t="s">
        <v>55</v>
      </c>
      <c r="B4" s="2" t="s">
        <v>40</v>
      </c>
      <c r="C4" s="2" t="s">
        <v>41</v>
      </c>
      <c r="D4" s="2">
        <v>2024</v>
      </c>
      <c r="E4" s="3">
        <v>45444</v>
      </c>
      <c r="F4" s="2" t="s">
        <v>42</v>
      </c>
      <c r="G4" s="2">
        <v>97</v>
      </c>
      <c r="H4" s="2" t="s">
        <v>43</v>
      </c>
      <c r="I4" s="2" t="s">
        <v>43</v>
      </c>
      <c r="J4" s="2" t="s">
        <v>44</v>
      </c>
      <c r="K4" s="2" t="s">
        <v>45</v>
      </c>
      <c r="L4" s="2" t="s">
        <v>29</v>
      </c>
      <c r="M4" s="2" t="s">
        <v>46</v>
      </c>
      <c r="N4" s="2" t="s">
        <v>47</v>
      </c>
      <c r="O4" s="4">
        <v>2947</v>
      </c>
      <c r="P4" s="2" t="s">
        <v>48</v>
      </c>
      <c r="Q4" s="2" t="s">
        <v>49</v>
      </c>
      <c r="R4" s="2" t="s">
        <v>50</v>
      </c>
      <c r="S4" s="2" t="s">
        <v>51</v>
      </c>
      <c r="T4" s="2" t="s">
        <v>52</v>
      </c>
      <c r="U4" s="2" t="s">
        <v>53</v>
      </c>
      <c r="V4" s="2" t="s">
        <v>54</v>
      </c>
    </row>
    <row r="5" spans="1:22">
      <c r="A5" s="2" t="s">
        <v>56</v>
      </c>
      <c r="B5" s="2" t="s">
        <v>57</v>
      </c>
      <c r="C5" s="2" t="s">
        <v>58</v>
      </c>
      <c r="D5" s="2">
        <v>2024</v>
      </c>
      <c r="E5" s="3">
        <v>45536</v>
      </c>
      <c r="F5" s="2" t="s">
        <v>59</v>
      </c>
      <c r="G5" s="2">
        <v>16</v>
      </c>
      <c r="H5" s="2">
        <v>17</v>
      </c>
      <c r="I5" s="2" t="s">
        <v>43</v>
      </c>
      <c r="J5" s="2" t="s">
        <v>60</v>
      </c>
      <c r="K5" s="2" t="s">
        <v>61</v>
      </c>
      <c r="L5" s="2" t="s">
        <v>29</v>
      </c>
      <c r="M5" s="2" t="s">
        <v>62</v>
      </c>
      <c r="N5" s="2" t="s">
        <v>63</v>
      </c>
      <c r="O5" s="4">
        <v>1462</v>
      </c>
      <c r="P5" s="2" t="s">
        <v>64</v>
      </c>
      <c r="Q5" s="2" t="s">
        <v>49</v>
      </c>
      <c r="R5" s="2" t="s">
        <v>65</v>
      </c>
      <c r="S5" s="2" t="s">
        <v>66</v>
      </c>
      <c r="T5" s="2" t="s">
        <v>67</v>
      </c>
      <c r="U5" s="2" t="s">
        <v>68</v>
      </c>
      <c r="V5" s="2" t="s">
        <v>69</v>
      </c>
    </row>
    <row r="6" spans="1:22">
      <c r="A6" s="2" t="s">
        <v>70</v>
      </c>
      <c r="B6" s="2" t="s">
        <v>71</v>
      </c>
      <c r="C6" s="2" t="s">
        <v>72</v>
      </c>
      <c r="D6" s="2">
        <v>2024</v>
      </c>
      <c r="E6" s="3">
        <v>45597</v>
      </c>
      <c r="F6" s="2" t="s">
        <v>73</v>
      </c>
      <c r="G6" s="2">
        <v>25</v>
      </c>
      <c r="H6" s="2">
        <v>21</v>
      </c>
      <c r="I6" s="2" t="s">
        <v>43</v>
      </c>
      <c r="J6" s="2" t="s">
        <v>74</v>
      </c>
      <c r="K6" s="2" t="s">
        <v>61</v>
      </c>
      <c r="L6" s="2" t="s">
        <v>29</v>
      </c>
      <c r="M6" s="2" t="s">
        <v>75</v>
      </c>
      <c r="N6" s="2" t="s">
        <v>76</v>
      </c>
      <c r="O6" s="4">
        <v>1273</v>
      </c>
      <c r="P6" s="2" t="s">
        <v>77</v>
      </c>
      <c r="Q6" s="2" t="s">
        <v>49</v>
      </c>
      <c r="R6" s="2" t="s">
        <v>78</v>
      </c>
      <c r="S6" s="2" t="s">
        <v>79</v>
      </c>
      <c r="T6" s="5">
        <v>601053680000000</v>
      </c>
      <c r="U6" s="2" t="s">
        <v>79</v>
      </c>
      <c r="V6" s="2" t="s">
        <v>80</v>
      </c>
    </row>
    <row r="7" spans="1:22">
      <c r="A7" s="2" t="s">
        <v>81</v>
      </c>
      <c r="B7" s="2" t="s">
        <v>71</v>
      </c>
      <c r="C7" s="2" t="s">
        <v>72</v>
      </c>
      <c r="D7" s="2">
        <v>2024</v>
      </c>
      <c r="E7" s="3">
        <v>45597</v>
      </c>
      <c r="F7" s="2" t="s">
        <v>73</v>
      </c>
      <c r="G7" s="2">
        <v>25</v>
      </c>
      <c r="H7" s="2">
        <v>21</v>
      </c>
      <c r="I7" s="2" t="s">
        <v>43</v>
      </c>
      <c r="J7" s="2" t="s">
        <v>74</v>
      </c>
      <c r="K7" s="2" t="s">
        <v>61</v>
      </c>
      <c r="L7" s="2" t="s">
        <v>29</v>
      </c>
      <c r="M7" s="2" t="s">
        <v>75</v>
      </c>
      <c r="N7" s="2" t="s">
        <v>76</v>
      </c>
      <c r="O7" s="4">
        <v>1273</v>
      </c>
      <c r="P7" s="2" t="s">
        <v>77</v>
      </c>
      <c r="Q7" s="2" t="s">
        <v>49</v>
      </c>
      <c r="R7" s="2" t="s">
        <v>78</v>
      </c>
      <c r="S7" s="2" t="s">
        <v>79</v>
      </c>
      <c r="T7" s="5">
        <v>601053680000000</v>
      </c>
      <c r="U7" s="2" t="s">
        <v>79</v>
      </c>
      <c r="V7" s="2" t="s">
        <v>80</v>
      </c>
    </row>
    <row r="8" spans="1:22">
      <c r="A8" s="2" t="s">
        <v>82</v>
      </c>
      <c r="B8" s="2" t="s">
        <v>71</v>
      </c>
      <c r="C8" s="2" t="s">
        <v>72</v>
      </c>
      <c r="D8" s="2">
        <v>2024</v>
      </c>
      <c r="E8" s="3">
        <v>45597</v>
      </c>
      <c r="F8" s="2" t="s">
        <v>73</v>
      </c>
      <c r="G8" s="2">
        <v>25</v>
      </c>
      <c r="H8" s="2">
        <v>21</v>
      </c>
      <c r="I8" s="2" t="s">
        <v>43</v>
      </c>
      <c r="J8" s="2" t="s">
        <v>74</v>
      </c>
      <c r="K8" s="2" t="s">
        <v>61</v>
      </c>
      <c r="L8" s="2" t="s">
        <v>29</v>
      </c>
      <c r="M8" s="2" t="s">
        <v>75</v>
      </c>
      <c r="N8" s="2" t="s">
        <v>76</v>
      </c>
      <c r="O8" s="4">
        <v>1273</v>
      </c>
      <c r="P8" s="2" t="s">
        <v>77</v>
      </c>
      <c r="Q8" s="2" t="s">
        <v>49</v>
      </c>
      <c r="R8" s="2" t="s">
        <v>78</v>
      </c>
      <c r="S8" s="2" t="s">
        <v>79</v>
      </c>
      <c r="T8" s="5">
        <v>601053680000000</v>
      </c>
      <c r="U8" s="2" t="s">
        <v>79</v>
      </c>
      <c r="V8" s="2" t="s">
        <v>80</v>
      </c>
    </row>
    <row r="9" spans="1:22">
      <c r="A9" s="2" t="s">
        <v>83</v>
      </c>
      <c r="B9" s="2" t="s">
        <v>71</v>
      </c>
      <c r="C9" s="2" t="s">
        <v>72</v>
      </c>
      <c r="D9" s="2">
        <v>2024</v>
      </c>
      <c r="E9" s="3">
        <v>45597</v>
      </c>
      <c r="F9" s="2" t="s">
        <v>73</v>
      </c>
      <c r="G9" s="2">
        <v>25</v>
      </c>
      <c r="H9" s="2">
        <v>21</v>
      </c>
      <c r="I9" s="2" t="s">
        <v>43</v>
      </c>
      <c r="J9" s="2" t="s">
        <v>74</v>
      </c>
      <c r="K9" s="2" t="s">
        <v>61</v>
      </c>
      <c r="L9" s="2" t="s">
        <v>29</v>
      </c>
      <c r="M9" s="2" t="s">
        <v>75</v>
      </c>
      <c r="N9" s="2" t="s">
        <v>76</v>
      </c>
      <c r="O9" s="4">
        <v>1273</v>
      </c>
      <c r="P9" s="2" t="s">
        <v>77</v>
      </c>
      <c r="Q9" s="2" t="s">
        <v>49</v>
      </c>
      <c r="R9" s="2" t="s">
        <v>78</v>
      </c>
      <c r="S9" s="2" t="s">
        <v>79</v>
      </c>
      <c r="T9" s="5">
        <v>601053680000000</v>
      </c>
      <c r="U9" s="2" t="s">
        <v>79</v>
      </c>
      <c r="V9" s="2" t="s">
        <v>80</v>
      </c>
    </row>
    <row r="10" spans="1:22" ht="43.2">
      <c r="A10" s="2" t="s">
        <v>84</v>
      </c>
      <c r="B10" s="2" t="s">
        <v>85</v>
      </c>
      <c r="C10" s="2" t="s">
        <v>86</v>
      </c>
      <c r="D10" s="2">
        <v>2025</v>
      </c>
      <c r="E10" s="3">
        <v>45778</v>
      </c>
      <c r="F10" s="2" t="s">
        <v>87</v>
      </c>
      <c r="G10" s="2">
        <v>10</v>
      </c>
      <c r="H10" s="2">
        <v>5</v>
      </c>
      <c r="I10" s="2" t="s">
        <v>88</v>
      </c>
      <c r="J10" s="2" t="s">
        <v>89</v>
      </c>
      <c r="K10" s="2" t="s">
        <v>45</v>
      </c>
      <c r="L10" s="2" t="s">
        <v>29</v>
      </c>
      <c r="M10" s="2" t="s">
        <v>90</v>
      </c>
      <c r="N10" s="2" t="s">
        <v>47</v>
      </c>
      <c r="O10" s="4">
        <v>13113</v>
      </c>
      <c r="P10" s="2" t="s">
        <v>91</v>
      </c>
      <c r="Q10" s="2" t="s">
        <v>49</v>
      </c>
      <c r="R10" s="2" t="s">
        <v>92</v>
      </c>
      <c r="S10" s="2" t="s">
        <v>93</v>
      </c>
      <c r="T10" s="2" t="s">
        <v>94</v>
      </c>
      <c r="U10" s="2" t="s">
        <v>95</v>
      </c>
      <c r="V10" s="2" t="s">
        <v>96</v>
      </c>
    </row>
    <row r="11" spans="1:22">
      <c r="A11" s="2" t="s">
        <v>97</v>
      </c>
      <c r="B11" s="2" t="s">
        <v>98</v>
      </c>
      <c r="C11" s="2" t="s">
        <v>99</v>
      </c>
      <c r="D11" s="2">
        <v>2024</v>
      </c>
      <c r="E11" s="3">
        <v>45444</v>
      </c>
      <c r="F11" s="2" t="s">
        <v>100</v>
      </c>
      <c r="G11" s="2">
        <v>370</v>
      </c>
      <c r="H11" s="2" t="s">
        <v>43</v>
      </c>
      <c r="I11" s="2" t="s">
        <v>101</v>
      </c>
      <c r="J11" s="2" t="s">
        <v>102</v>
      </c>
      <c r="K11" s="2" t="s">
        <v>103</v>
      </c>
      <c r="L11" s="2" t="s">
        <v>29</v>
      </c>
      <c r="M11" s="2" t="s">
        <v>104</v>
      </c>
      <c r="N11" s="2" t="s">
        <v>105</v>
      </c>
      <c r="O11" s="2" t="s">
        <v>106</v>
      </c>
      <c r="P11" s="2" t="s">
        <v>107</v>
      </c>
      <c r="Q11" s="2" t="s">
        <v>33</v>
      </c>
      <c r="R11" s="2" t="s">
        <v>108</v>
      </c>
      <c r="S11" s="2" t="s">
        <v>109</v>
      </c>
      <c r="T11" s="2" t="s">
        <v>110</v>
      </c>
      <c r="U11" s="2" t="s">
        <v>111</v>
      </c>
      <c r="V11" s="2" t="s">
        <v>112</v>
      </c>
    </row>
    <row r="12" spans="1:22" ht="28.8">
      <c r="A12" s="2" t="s">
        <v>113</v>
      </c>
      <c r="B12" s="2" t="s">
        <v>114</v>
      </c>
      <c r="C12" s="2" t="s">
        <v>115</v>
      </c>
      <c r="D12" s="2">
        <v>2024</v>
      </c>
      <c r="E12" s="3">
        <v>45444</v>
      </c>
      <c r="F12" s="2" t="s">
        <v>116</v>
      </c>
      <c r="G12" s="2">
        <v>26</v>
      </c>
      <c r="H12" s="2">
        <v>3</v>
      </c>
      <c r="I12" s="2" t="s">
        <v>117</v>
      </c>
      <c r="J12" s="2" t="s">
        <v>118</v>
      </c>
      <c r="K12" s="2" t="s">
        <v>119</v>
      </c>
      <c r="L12" s="2" t="s">
        <v>29</v>
      </c>
      <c r="M12" s="2" t="s">
        <v>120</v>
      </c>
      <c r="N12" s="2" t="s">
        <v>121</v>
      </c>
      <c r="O12" s="4">
        <v>1315</v>
      </c>
      <c r="P12" s="2" t="s">
        <v>122</v>
      </c>
      <c r="Q12" s="2" t="s">
        <v>33</v>
      </c>
      <c r="R12" s="2" t="s">
        <v>123</v>
      </c>
      <c r="S12" s="2" t="s">
        <v>124</v>
      </c>
      <c r="T12" s="2" t="s">
        <v>125</v>
      </c>
      <c r="U12" s="2" t="s">
        <v>126</v>
      </c>
      <c r="V12" s="2" t="s">
        <v>127</v>
      </c>
    </row>
    <row r="13" spans="1:22">
      <c r="A13" s="2" t="s">
        <v>128</v>
      </c>
      <c r="B13" s="2" t="s">
        <v>129</v>
      </c>
      <c r="C13" s="2" t="s">
        <v>130</v>
      </c>
      <c r="D13" s="2">
        <v>2025</v>
      </c>
      <c r="E13" s="3">
        <v>45839</v>
      </c>
      <c r="F13" s="2" t="s">
        <v>131</v>
      </c>
      <c r="G13" s="2">
        <v>7</v>
      </c>
      <c r="H13" s="2" t="s">
        <v>43</v>
      </c>
      <c r="I13" s="2" t="s">
        <v>43</v>
      </c>
      <c r="J13" s="2" t="s">
        <v>132</v>
      </c>
      <c r="K13" s="2" t="s">
        <v>133</v>
      </c>
      <c r="L13" s="2" t="s">
        <v>29</v>
      </c>
      <c r="M13" s="2" t="s">
        <v>120</v>
      </c>
      <c r="N13" s="2" t="s">
        <v>134</v>
      </c>
      <c r="O13" s="2" t="s">
        <v>135</v>
      </c>
      <c r="P13" s="2" t="s">
        <v>136</v>
      </c>
      <c r="Q13" s="2" t="s">
        <v>49</v>
      </c>
      <c r="R13" s="2" t="s">
        <v>137</v>
      </c>
      <c r="S13" s="2" t="s">
        <v>138</v>
      </c>
      <c r="T13" s="2" t="s">
        <v>139</v>
      </c>
      <c r="U13" s="2" t="s">
        <v>140</v>
      </c>
      <c r="V13" s="2" t="s">
        <v>141</v>
      </c>
    </row>
    <row r="14" spans="1:22">
      <c r="A14" s="2" t="s">
        <v>128</v>
      </c>
      <c r="B14" s="2" t="s">
        <v>142</v>
      </c>
      <c r="C14" s="2" t="s">
        <v>143</v>
      </c>
      <c r="D14" s="2">
        <v>2024</v>
      </c>
      <c r="E14" s="3">
        <v>45292</v>
      </c>
      <c r="F14" s="2" t="s">
        <v>131</v>
      </c>
      <c r="G14" s="2">
        <v>4</v>
      </c>
      <c r="H14" s="2" t="s">
        <v>43</v>
      </c>
      <c r="I14" s="2" t="s">
        <v>43</v>
      </c>
      <c r="J14" s="2" t="s">
        <v>132</v>
      </c>
      <c r="K14" s="2" t="s">
        <v>133</v>
      </c>
      <c r="L14" s="2" t="s">
        <v>29</v>
      </c>
      <c r="M14" s="2" t="s">
        <v>144</v>
      </c>
      <c r="N14" s="2" t="s">
        <v>145</v>
      </c>
      <c r="O14" s="2" t="s">
        <v>146</v>
      </c>
      <c r="P14" s="2" t="s">
        <v>147</v>
      </c>
      <c r="Q14" s="2" t="s">
        <v>33</v>
      </c>
      <c r="R14" s="2" t="s">
        <v>148</v>
      </c>
      <c r="S14" s="2" t="s">
        <v>138</v>
      </c>
      <c r="T14" s="2" t="s">
        <v>149</v>
      </c>
      <c r="U14" s="2" t="s">
        <v>150</v>
      </c>
      <c r="V14" s="2" t="s">
        <v>141</v>
      </c>
    </row>
    <row r="15" spans="1:22" ht="28.8">
      <c r="A15" s="2" t="s">
        <v>39</v>
      </c>
      <c r="B15" s="2" t="s">
        <v>151</v>
      </c>
      <c r="C15" s="2" t="s">
        <v>152</v>
      </c>
      <c r="D15" s="2">
        <v>2024</v>
      </c>
      <c r="E15" s="3">
        <v>45533</v>
      </c>
      <c r="F15" s="2" t="s">
        <v>153</v>
      </c>
      <c r="G15" s="2">
        <v>44</v>
      </c>
      <c r="H15" s="2">
        <v>1</v>
      </c>
      <c r="I15" s="2" t="s">
        <v>154</v>
      </c>
      <c r="J15" s="2" t="s">
        <v>155</v>
      </c>
      <c r="K15" s="2" t="s">
        <v>156</v>
      </c>
      <c r="L15" s="2" t="s">
        <v>29</v>
      </c>
      <c r="M15" s="2" t="s">
        <v>157</v>
      </c>
      <c r="N15" s="2" t="s">
        <v>47</v>
      </c>
      <c r="O15" s="4">
        <v>4435</v>
      </c>
      <c r="P15" s="2" t="s">
        <v>158</v>
      </c>
      <c r="Q15" s="2" t="s">
        <v>49</v>
      </c>
      <c r="R15" s="2" t="s">
        <v>159</v>
      </c>
      <c r="S15" s="2" t="s">
        <v>160</v>
      </c>
      <c r="T15" s="2" t="s">
        <v>161</v>
      </c>
      <c r="U15" s="2" t="s">
        <v>162</v>
      </c>
      <c r="V15" s="2" t="s">
        <v>163</v>
      </c>
    </row>
    <row r="16" spans="1:22">
      <c r="A16" s="2" t="s">
        <v>164</v>
      </c>
      <c r="B16" s="2" t="s">
        <v>165</v>
      </c>
      <c r="C16" s="2" t="s">
        <v>166</v>
      </c>
      <c r="D16" s="2">
        <v>2024</v>
      </c>
      <c r="E16" s="3">
        <v>45597</v>
      </c>
      <c r="F16" s="2" t="s">
        <v>167</v>
      </c>
      <c r="G16" s="2">
        <v>10</v>
      </c>
      <c r="H16" s="2">
        <v>44</v>
      </c>
      <c r="I16" s="2" t="s">
        <v>43</v>
      </c>
      <c r="J16" s="2" t="s">
        <v>168</v>
      </c>
      <c r="K16" s="2" t="s">
        <v>169</v>
      </c>
      <c r="L16" s="2" t="s">
        <v>29</v>
      </c>
      <c r="M16" s="2" t="s">
        <v>170</v>
      </c>
      <c r="N16" s="2" t="s">
        <v>171</v>
      </c>
      <c r="O16" s="4">
        <v>4324</v>
      </c>
      <c r="P16" s="2" t="s">
        <v>172</v>
      </c>
      <c r="Q16" s="2" t="s">
        <v>33</v>
      </c>
      <c r="R16" s="2" t="s">
        <v>173</v>
      </c>
      <c r="S16" s="2" t="s">
        <v>174</v>
      </c>
      <c r="T16" s="2" t="s">
        <v>175</v>
      </c>
      <c r="U16" s="2" t="s">
        <v>176</v>
      </c>
      <c r="V16" s="2" t="s">
        <v>177</v>
      </c>
    </row>
    <row r="17" spans="1:22">
      <c r="A17" s="2" t="s">
        <v>178</v>
      </c>
      <c r="B17" s="2" t="s">
        <v>179</v>
      </c>
      <c r="C17" s="2" t="s">
        <v>180</v>
      </c>
      <c r="D17" s="2">
        <v>2024</v>
      </c>
      <c r="E17" s="3">
        <v>45292</v>
      </c>
      <c r="F17" s="2" t="s">
        <v>181</v>
      </c>
      <c r="G17" s="2">
        <v>9</v>
      </c>
      <c r="H17" s="2" t="s">
        <v>43</v>
      </c>
      <c r="I17" s="2" t="s">
        <v>43</v>
      </c>
      <c r="J17" s="2" t="s">
        <v>182</v>
      </c>
      <c r="K17" s="2" t="s">
        <v>183</v>
      </c>
      <c r="L17" s="2" t="s">
        <v>29</v>
      </c>
      <c r="M17" s="2" t="s">
        <v>184</v>
      </c>
      <c r="N17" s="2" t="s">
        <v>145</v>
      </c>
      <c r="O17" s="2" t="s">
        <v>185</v>
      </c>
      <c r="P17" s="2" t="s">
        <v>186</v>
      </c>
      <c r="Q17" s="2" t="s">
        <v>49</v>
      </c>
      <c r="R17" s="2" t="s">
        <v>187</v>
      </c>
      <c r="S17" s="2" t="s">
        <v>188</v>
      </c>
      <c r="T17" s="2" t="s">
        <v>189</v>
      </c>
      <c r="U17" s="2" t="s">
        <v>190</v>
      </c>
      <c r="V17" s="2" t="s">
        <v>80</v>
      </c>
    </row>
    <row r="18" spans="1:22">
      <c r="A18" s="2" t="s">
        <v>128</v>
      </c>
      <c r="B18" s="2" t="s">
        <v>191</v>
      </c>
      <c r="C18" s="2" t="s">
        <v>130</v>
      </c>
      <c r="D18" s="2">
        <v>2024</v>
      </c>
      <c r="E18" s="3">
        <v>45292</v>
      </c>
      <c r="F18" s="2" t="s">
        <v>192</v>
      </c>
      <c r="G18" s="2">
        <v>11</v>
      </c>
      <c r="H18" s="2">
        <v>1</v>
      </c>
      <c r="I18" s="2" t="s">
        <v>43</v>
      </c>
      <c r="J18" s="2" t="s">
        <v>193</v>
      </c>
      <c r="K18" s="2" t="s">
        <v>194</v>
      </c>
      <c r="L18" s="2" t="s">
        <v>29</v>
      </c>
      <c r="M18" s="2" t="s">
        <v>195</v>
      </c>
      <c r="N18" s="2" t="s">
        <v>196</v>
      </c>
      <c r="O18" s="2" t="s">
        <v>197</v>
      </c>
      <c r="P18" s="2" t="s">
        <v>198</v>
      </c>
      <c r="Q18" s="2" t="s">
        <v>33</v>
      </c>
      <c r="R18" s="2" t="s">
        <v>199</v>
      </c>
      <c r="S18" s="2" t="s">
        <v>138</v>
      </c>
      <c r="T18" s="2" t="s">
        <v>149</v>
      </c>
      <c r="U18" s="2" t="s">
        <v>150</v>
      </c>
      <c r="V18" s="2" t="s">
        <v>141</v>
      </c>
    </row>
    <row r="19" spans="1:22">
      <c r="A19" s="2" t="s">
        <v>200</v>
      </c>
      <c r="B19" s="2" t="s">
        <v>201</v>
      </c>
      <c r="C19" s="2" t="s">
        <v>202</v>
      </c>
      <c r="D19" s="2">
        <v>2024</v>
      </c>
      <c r="E19" s="3">
        <v>45292</v>
      </c>
      <c r="F19" s="2" t="s">
        <v>203</v>
      </c>
      <c r="G19" s="2">
        <v>15</v>
      </c>
      <c r="H19" s="2" t="s">
        <v>43</v>
      </c>
      <c r="I19" s="2" t="s">
        <v>43</v>
      </c>
      <c r="J19" s="2" t="s">
        <v>204</v>
      </c>
      <c r="K19" s="2" t="s">
        <v>183</v>
      </c>
      <c r="L19" s="2" t="s">
        <v>29</v>
      </c>
      <c r="M19" s="2" t="s">
        <v>205</v>
      </c>
      <c r="N19" s="2" t="s">
        <v>63</v>
      </c>
      <c r="O19" s="2" t="s">
        <v>206</v>
      </c>
      <c r="P19" s="2" t="s">
        <v>207</v>
      </c>
      <c r="Q19" s="2" t="s">
        <v>208</v>
      </c>
      <c r="R19" s="2" t="s">
        <v>209</v>
      </c>
      <c r="S19" s="2" t="s">
        <v>210</v>
      </c>
      <c r="T19" s="2" t="s">
        <v>211</v>
      </c>
      <c r="U19" s="2" t="s">
        <v>212</v>
      </c>
      <c r="V19" s="2" t="s">
        <v>213</v>
      </c>
    </row>
    <row r="20" spans="1:22" ht="43.2">
      <c r="A20" s="2" t="s">
        <v>214</v>
      </c>
      <c r="B20" s="2" t="s">
        <v>215</v>
      </c>
      <c r="C20" s="2" t="s">
        <v>216</v>
      </c>
      <c r="D20" s="2">
        <v>2025</v>
      </c>
      <c r="E20" s="3">
        <v>45687</v>
      </c>
      <c r="F20" s="2" t="s">
        <v>217</v>
      </c>
      <c r="G20" s="2">
        <v>637</v>
      </c>
      <c r="H20" s="2">
        <v>8048</v>
      </c>
      <c r="I20" s="2" t="s">
        <v>218</v>
      </c>
      <c r="J20" s="2" t="s">
        <v>219</v>
      </c>
      <c r="K20" s="2" t="s">
        <v>220</v>
      </c>
      <c r="L20" s="2" t="s">
        <v>29</v>
      </c>
      <c r="M20" s="2" t="s">
        <v>221</v>
      </c>
      <c r="N20" s="2" t="s">
        <v>47</v>
      </c>
      <c r="O20" s="4">
        <v>19713</v>
      </c>
      <c r="P20" s="2" t="s">
        <v>222</v>
      </c>
      <c r="Q20" s="2" t="s">
        <v>33</v>
      </c>
      <c r="R20" s="2" t="s">
        <v>223</v>
      </c>
      <c r="S20" s="2" t="s">
        <v>224</v>
      </c>
      <c r="T20" s="2" t="s">
        <v>225</v>
      </c>
      <c r="U20" s="2" t="s">
        <v>226</v>
      </c>
      <c r="V20" s="2" t="s">
        <v>227</v>
      </c>
    </row>
    <row r="21" spans="1:22" ht="28.8">
      <c r="A21" s="2" t="s">
        <v>228</v>
      </c>
      <c r="B21" s="2" t="s">
        <v>229</v>
      </c>
      <c r="C21" s="2" t="s">
        <v>230</v>
      </c>
      <c r="D21" s="2">
        <v>2025</v>
      </c>
      <c r="E21" s="3">
        <v>45992</v>
      </c>
      <c r="F21" s="2" t="s">
        <v>231</v>
      </c>
      <c r="G21" s="2">
        <v>29</v>
      </c>
      <c r="H21" s="2">
        <v>1</v>
      </c>
      <c r="I21" s="2" t="s">
        <v>43</v>
      </c>
      <c r="J21" s="2" t="s">
        <v>232</v>
      </c>
      <c r="K21" s="2" t="s">
        <v>233</v>
      </c>
      <c r="L21" s="2" t="s">
        <v>29</v>
      </c>
      <c r="M21" s="2" t="s">
        <v>234</v>
      </c>
      <c r="N21" s="2" t="s">
        <v>31</v>
      </c>
      <c r="O21" s="4">
        <v>3002</v>
      </c>
      <c r="P21" s="2" t="s">
        <v>235</v>
      </c>
      <c r="Q21" s="2" t="s">
        <v>49</v>
      </c>
      <c r="R21" s="2" t="s">
        <v>236</v>
      </c>
      <c r="S21" s="2" t="s">
        <v>237</v>
      </c>
      <c r="T21" s="2" t="s">
        <v>238</v>
      </c>
      <c r="U21" s="2" t="s">
        <v>239</v>
      </c>
      <c r="V21" s="2" t="s">
        <v>240</v>
      </c>
    </row>
    <row r="22" spans="1:22" ht="28.8">
      <c r="A22" s="2" t="s">
        <v>22</v>
      </c>
      <c r="B22" s="2" t="s">
        <v>241</v>
      </c>
      <c r="C22" s="2" t="s">
        <v>242</v>
      </c>
      <c r="D22" s="2">
        <v>2024</v>
      </c>
      <c r="E22" s="3">
        <v>45444</v>
      </c>
      <c r="F22" s="2" t="s">
        <v>243</v>
      </c>
      <c r="G22" s="2">
        <v>27</v>
      </c>
      <c r="H22" s="2">
        <v>6</v>
      </c>
      <c r="I22" s="2" t="s">
        <v>244</v>
      </c>
      <c r="J22" s="2" t="s">
        <v>245</v>
      </c>
      <c r="K22" s="2" t="s">
        <v>45</v>
      </c>
      <c r="L22" s="2" t="s">
        <v>29</v>
      </c>
      <c r="M22" s="2" t="s">
        <v>246</v>
      </c>
      <c r="N22" s="2" t="s">
        <v>247</v>
      </c>
      <c r="O22" s="4">
        <v>1319</v>
      </c>
      <c r="P22" s="2" t="s">
        <v>248</v>
      </c>
      <c r="Q22" s="2" t="s">
        <v>33</v>
      </c>
      <c r="R22" s="2" t="s">
        <v>249</v>
      </c>
      <c r="S22" s="2" t="s">
        <v>250</v>
      </c>
      <c r="T22" s="2" t="s">
        <v>251</v>
      </c>
      <c r="U22" s="2" t="s">
        <v>252</v>
      </c>
      <c r="V22" s="2" t="s">
        <v>253</v>
      </c>
    </row>
    <row r="23" spans="1:22" ht="28.8">
      <c r="A23" s="2" t="s">
        <v>254</v>
      </c>
      <c r="B23" s="2" t="s">
        <v>255</v>
      </c>
      <c r="C23" s="2" t="s">
        <v>256</v>
      </c>
      <c r="D23" s="2">
        <v>2025</v>
      </c>
      <c r="E23" s="3">
        <v>45778</v>
      </c>
      <c r="F23" s="2" t="s">
        <v>257</v>
      </c>
      <c r="G23" s="2">
        <v>45</v>
      </c>
      <c r="H23" s="2">
        <v>5</v>
      </c>
      <c r="I23" s="2" t="s">
        <v>43</v>
      </c>
      <c r="J23" s="2" t="s">
        <v>258</v>
      </c>
      <c r="K23" s="2" t="s">
        <v>119</v>
      </c>
      <c r="L23" s="2" t="s">
        <v>29</v>
      </c>
      <c r="M23" s="2" t="s">
        <v>259</v>
      </c>
      <c r="N23" s="2" t="s">
        <v>234</v>
      </c>
      <c r="O23" s="4">
        <v>2218</v>
      </c>
      <c r="P23" s="2" t="s">
        <v>260</v>
      </c>
      <c r="Q23" s="2" t="s">
        <v>49</v>
      </c>
      <c r="R23" s="2" t="s">
        <v>261</v>
      </c>
      <c r="S23" s="2" t="s">
        <v>262</v>
      </c>
      <c r="T23" s="2" t="s">
        <v>263</v>
      </c>
      <c r="U23" s="2" t="s">
        <v>264</v>
      </c>
      <c r="V23" s="2" t="s">
        <v>163</v>
      </c>
    </row>
    <row r="24" spans="1:22">
      <c r="A24" s="2" t="s">
        <v>265</v>
      </c>
      <c r="B24" s="2" t="s">
        <v>266</v>
      </c>
      <c r="C24" s="2" t="s">
        <v>267</v>
      </c>
      <c r="D24" s="2">
        <v>2024</v>
      </c>
      <c r="E24" s="3">
        <v>45292</v>
      </c>
      <c r="F24" s="2" t="s">
        <v>268</v>
      </c>
      <c r="G24" s="2">
        <v>13</v>
      </c>
      <c r="H24" s="2">
        <v>2</v>
      </c>
      <c r="I24" s="2" t="s">
        <v>43</v>
      </c>
      <c r="J24" s="2" t="s">
        <v>269</v>
      </c>
      <c r="K24" s="2" t="s">
        <v>61</v>
      </c>
      <c r="L24" s="2" t="s">
        <v>29</v>
      </c>
      <c r="M24" s="2" t="s">
        <v>270</v>
      </c>
      <c r="N24" s="2" t="s">
        <v>47</v>
      </c>
      <c r="O24" s="4">
        <v>1021</v>
      </c>
      <c r="P24" s="2" t="s">
        <v>271</v>
      </c>
      <c r="Q24" s="2" t="s">
        <v>33</v>
      </c>
      <c r="R24" s="2" t="s">
        <v>272</v>
      </c>
      <c r="S24" s="2" t="s">
        <v>273</v>
      </c>
      <c r="T24" s="2" t="s">
        <v>274</v>
      </c>
      <c r="U24" s="2" t="s">
        <v>273</v>
      </c>
      <c r="V24" s="2" t="s">
        <v>275</v>
      </c>
    </row>
    <row r="25" spans="1:22">
      <c r="A25" s="2" t="s">
        <v>276</v>
      </c>
      <c r="B25" s="2" t="s">
        <v>277</v>
      </c>
      <c r="C25" s="2" t="s">
        <v>278</v>
      </c>
      <c r="D25" s="2">
        <v>2024</v>
      </c>
      <c r="E25" s="3">
        <v>45536</v>
      </c>
      <c r="F25" s="2" t="s">
        <v>167</v>
      </c>
      <c r="G25" s="2">
        <v>16</v>
      </c>
      <c r="H25" s="2">
        <v>18</v>
      </c>
      <c r="I25" s="2" t="s">
        <v>43</v>
      </c>
      <c r="J25" s="2" t="s">
        <v>279</v>
      </c>
      <c r="K25" s="2" t="s">
        <v>61</v>
      </c>
      <c r="L25" s="2" t="s">
        <v>29</v>
      </c>
      <c r="M25" s="2" t="s">
        <v>280</v>
      </c>
      <c r="N25" s="2" t="s">
        <v>281</v>
      </c>
      <c r="O25" s="4">
        <v>1473</v>
      </c>
      <c r="P25" s="2" t="s">
        <v>282</v>
      </c>
      <c r="Q25" s="2" t="s">
        <v>49</v>
      </c>
      <c r="R25" s="2" t="s">
        <v>283</v>
      </c>
      <c r="S25" s="2" t="s">
        <v>284</v>
      </c>
      <c r="T25" s="2" t="s">
        <v>285</v>
      </c>
      <c r="U25" s="2" t="s">
        <v>286</v>
      </c>
      <c r="V25" s="2" t="s">
        <v>287</v>
      </c>
    </row>
    <row r="26" spans="1:22">
      <c r="A26" s="2" t="s">
        <v>128</v>
      </c>
      <c r="B26" s="2" t="s">
        <v>288</v>
      </c>
      <c r="C26" s="2" t="s">
        <v>130</v>
      </c>
      <c r="D26" s="2">
        <v>2024</v>
      </c>
      <c r="E26" s="3">
        <v>45627</v>
      </c>
      <c r="F26" s="2" t="s">
        <v>289</v>
      </c>
      <c r="G26" s="2">
        <v>12</v>
      </c>
      <c r="H26" s="2" t="s">
        <v>43</v>
      </c>
      <c r="I26" s="2" t="s">
        <v>290</v>
      </c>
      <c r="J26" s="2" t="s">
        <v>291</v>
      </c>
      <c r="K26" s="2" t="s">
        <v>45</v>
      </c>
      <c r="L26" s="2" t="s">
        <v>29</v>
      </c>
      <c r="M26" s="2" t="s">
        <v>292</v>
      </c>
      <c r="N26" s="2" t="s">
        <v>293</v>
      </c>
      <c r="O26" s="4">
        <v>1172</v>
      </c>
      <c r="P26" s="2" t="s">
        <v>294</v>
      </c>
      <c r="Q26" s="2" t="s">
        <v>33</v>
      </c>
      <c r="R26" s="2" t="s">
        <v>295</v>
      </c>
      <c r="S26" s="2" t="s">
        <v>138</v>
      </c>
      <c r="T26" s="2" t="s">
        <v>139</v>
      </c>
      <c r="U26" s="2" t="s">
        <v>140</v>
      </c>
      <c r="V26" s="2" t="s">
        <v>141</v>
      </c>
    </row>
    <row r="27" spans="1:22">
      <c r="A27" s="2" t="s">
        <v>296</v>
      </c>
      <c r="B27" s="2" t="s">
        <v>297</v>
      </c>
      <c r="C27" s="2" t="s">
        <v>298</v>
      </c>
      <c r="D27" s="2">
        <v>2024</v>
      </c>
      <c r="E27" s="3">
        <v>45292</v>
      </c>
      <c r="F27" s="2" t="s">
        <v>299</v>
      </c>
      <c r="G27" s="2">
        <v>26</v>
      </c>
      <c r="H27" s="2">
        <v>1</v>
      </c>
      <c r="I27" s="2" t="s">
        <v>300</v>
      </c>
      <c r="J27" s="2" t="s">
        <v>301</v>
      </c>
      <c r="K27" s="2" t="s">
        <v>302</v>
      </c>
      <c r="L27" s="2" t="s">
        <v>29</v>
      </c>
      <c r="M27" s="2" t="s">
        <v>303</v>
      </c>
      <c r="N27" s="2" t="s">
        <v>47</v>
      </c>
      <c r="O27" s="2" t="s">
        <v>304</v>
      </c>
      <c r="P27" s="2" t="s">
        <v>305</v>
      </c>
      <c r="Q27" s="2" t="s">
        <v>33</v>
      </c>
      <c r="R27" s="2" t="s">
        <v>306</v>
      </c>
      <c r="S27" s="2" t="s">
        <v>307</v>
      </c>
      <c r="T27" s="2" t="s">
        <v>308</v>
      </c>
      <c r="U27" s="2" t="s">
        <v>309</v>
      </c>
      <c r="V27" s="2" t="s">
        <v>310</v>
      </c>
    </row>
    <row r="28" spans="1:22" ht="28.8">
      <c r="A28" s="2" t="s">
        <v>311</v>
      </c>
      <c r="B28" s="2" t="s">
        <v>312</v>
      </c>
      <c r="C28" s="2" t="s">
        <v>313</v>
      </c>
      <c r="D28" s="2">
        <v>2025</v>
      </c>
      <c r="E28" s="3">
        <v>45839</v>
      </c>
      <c r="F28" s="2" t="s">
        <v>314</v>
      </c>
      <c r="G28" s="2">
        <v>37</v>
      </c>
      <c r="H28" s="2">
        <v>7</v>
      </c>
      <c r="I28" s="2" t="s">
        <v>315</v>
      </c>
      <c r="J28" s="2" t="s">
        <v>316</v>
      </c>
      <c r="K28" s="2" t="s">
        <v>317</v>
      </c>
      <c r="L28" s="2" t="s">
        <v>29</v>
      </c>
      <c r="M28" s="2" t="s">
        <v>318</v>
      </c>
      <c r="N28" s="2" t="s">
        <v>47</v>
      </c>
      <c r="O28" s="4">
        <v>15978</v>
      </c>
      <c r="P28" s="2" t="s">
        <v>319</v>
      </c>
      <c r="Q28" s="2" t="s">
        <v>33</v>
      </c>
      <c r="R28" s="2" t="s">
        <v>320</v>
      </c>
      <c r="S28" s="2" t="s">
        <v>321</v>
      </c>
      <c r="T28" s="2" t="s">
        <v>322</v>
      </c>
      <c r="U28" s="2" t="s">
        <v>323</v>
      </c>
      <c r="V28" s="2" t="s">
        <v>324</v>
      </c>
    </row>
    <row r="29" spans="1:22">
      <c r="A29" s="2" t="s">
        <v>325</v>
      </c>
      <c r="B29" s="2" t="s">
        <v>326</v>
      </c>
      <c r="C29" s="2" t="s">
        <v>327</v>
      </c>
      <c r="D29" s="2">
        <v>2024</v>
      </c>
      <c r="E29" s="3">
        <v>45352</v>
      </c>
      <c r="F29" s="2" t="s">
        <v>328</v>
      </c>
      <c r="G29" s="2">
        <v>12</v>
      </c>
      <c r="H29" s="2">
        <v>3</v>
      </c>
      <c r="I29" s="2" t="s">
        <v>43</v>
      </c>
      <c r="J29" s="2" t="s">
        <v>329</v>
      </c>
      <c r="K29" s="2" t="s">
        <v>61</v>
      </c>
      <c r="L29" s="2" t="s">
        <v>29</v>
      </c>
      <c r="M29" s="2" t="s">
        <v>330</v>
      </c>
      <c r="N29" s="2" t="s">
        <v>331</v>
      </c>
      <c r="O29" s="4">
        <v>1009</v>
      </c>
      <c r="P29" s="2" t="s">
        <v>332</v>
      </c>
      <c r="Q29" s="2" t="s">
        <v>33</v>
      </c>
      <c r="R29" s="2" t="s">
        <v>333</v>
      </c>
      <c r="S29" s="2" t="s">
        <v>334</v>
      </c>
      <c r="T29" s="2" t="s">
        <v>335</v>
      </c>
      <c r="U29" s="2" t="s">
        <v>336</v>
      </c>
      <c r="V29" s="2" t="s">
        <v>80</v>
      </c>
    </row>
    <row r="30" spans="1:22">
      <c r="A30" s="2" t="s">
        <v>128</v>
      </c>
      <c r="B30" s="2" t="s">
        <v>337</v>
      </c>
      <c r="C30" s="2" t="s">
        <v>130</v>
      </c>
      <c r="D30" s="2">
        <v>2025</v>
      </c>
      <c r="E30" s="3">
        <v>45748</v>
      </c>
      <c r="F30" s="2" t="s">
        <v>131</v>
      </c>
      <c r="G30" s="2">
        <v>6</v>
      </c>
      <c r="H30" s="2" t="s">
        <v>43</v>
      </c>
      <c r="I30" s="2" t="s">
        <v>43</v>
      </c>
      <c r="J30" s="2" t="s">
        <v>132</v>
      </c>
      <c r="K30" s="2" t="s">
        <v>133</v>
      </c>
      <c r="L30" s="2" t="s">
        <v>29</v>
      </c>
      <c r="M30" s="2" t="s">
        <v>120</v>
      </c>
      <c r="N30" s="2" t="s">
        <v>134</v>
      </c>
      <c r="O30" s="2" t="s">
        <v>135</v>
      </c>
      <c r="P30" s="2" t="s">
        <v>338</v>
      </c>
      <c r="Q30" s="2" t="s">
        <v>33</v>
      </c>
      <c r="R30" s="2" t="s">
        <v>339</v>
      </c>
      <c r="S30" s="2" t="s">
        <v>138</v>
      </c>
      <c r="T30" s="2" t="s">
        <v>340</v>
      </c>
      <c r="U30" s="2" t="s">
        <v>341</v>
      </c>
      <c r="V30" s="2" t="s">
        <v>141</v>
      </c>
    </row>
    <row r="31" spans="1:22">
      <c r="A31" s="2" t="s">
        <v>342</v>
      </c>
      <c r="B31" s="2" t="s">
        <v>343</v>
      </c>
      <c r="C31" s="2" t="s">
        <v>344</v>
      </c>
      <c r="D31" s="2">
        <v>2024</v>
      </c>
      <c r="E31" s="3">
        <v>45566</v>
      </c>
      <c r="F31" s="2" t="s">
        <v>345</v>
      </c>
      <c r="G31" s="2">
        <v>29</v>
      </c>
      <c r="H31" s="2">
        <v>19</v>
      </c>
      <c r="I31" s="2" t="s">
        <v>43</v>
      </c>
      <c r="J31" s="2" t="s">
        <v>346</v>
      </c>
      <c r="K31" s="2" t="s">
        <v>61</v>
      </c>
      <c r="L31" s="2" t="s">
        <v>29</v>
      </c>
      <c r="M31" s="2" t="s">
        <v>347</v>
      </c>
      <c r="N31" s="2" t="s">
        <v>348</v>
      </c>
      <c r="O31" s="2" t="s">
        <v>349</v>
      </c>
      <c r="P31" s="2" t="s">
        <v>350</v>
      </c>
      <c r="Q31" s="2" t="s">
        <v>33</v>
      </c>
      <c r="R31" s="2" t="s">
        <v>351</v>
      </c>
      <c r="S31" s="2" t="s">
        <v>352</v>
      </c>
      <c r="T31" s="2" t="s">
        <v>353</v>
      </c>
      <c r="U31" s="2" t="s">
        <v>354</v>
      </c>
      <c r="V31" s="2" t="s">
        <v>80</v>
      </c>
    </row>
    <row r="32" spans="1:22" ht="43.2">
      <c r="A32" s="2" t="s">
        <v>22</v>
      </c>
      <c r="B32" s="2" t="s">
        <v>355</v>
      </c>
      <c r="C32" s="2" t="s">
        <v>356</v>
      </c>
      <c r="D32" s="2">
        <v>2025</v>
      </c>
      <c r="E32" s="3">
        <v>45962</v>
      </c>
      <c r="F32" s="2" t="s">
        <v>357</v>
      </c>
      <c r="G32" s="2">
        <v>20</v>
      </c>
      <c r="H32" s="2">
        <v>11</v>
      </c>
      <c r="I32" s="2" t="s">
        <v>358</v>
      </c>
      <c r="J32" s="2" t="s">
        <v>359</v>
      </c>
      <c r="K32" s="2" t="s">
        <v>360</v>
      </c>
      <c r="L32" s="2" t="s">
        <v>29</v>
      </c>
      <c r="M32" s="2" t="s">
        <v>361</v>
      </c>
      <c r="N32" s="2" t="s">
        <v>121</v>
      </c>
      <c r="O32" s="4">
        <v>1833</v>
      </c>
      <c r="P32" s="2" t="s">
        <v>362</v>
      </c>
      <c r="Q32" s="2" t="s">
        <v>33</v>
      </c>
      <c r="R32" s="2" t="s">
        <v>363</v>
      </c>
      <c r="S32" s="2" t="s">
        <v>364</v>
      </c>
      <c r="T32" s="2" t="s">
        <v>365</v>
      </c>
      <c r="U32" s="2" t="s">
        <v>366</v>
      </c>
      <c r="V32" s="2" t="s">
        <v>367</v>
      </c>
    </row>
    <row r="33" spans="1:22" ht="28.8">
      <c r="A33" s="2" t="s">
        <v>368</v>
      </c>
      <c r="B33" s="2" t="s">
        <v>369</v>
      </c>
      <c r="C33" s="2" t="s">
        <v>370</v>
      </c>
      <c r="D33" s="2">
        <v>2024</v>
      </c>
      <c r="E33" s="3">
        <v>45536</v>
      </c>
      <c r="F33" s="2" t="s">
        <v>371</v>
      </c>
      <c r="G33" s="2">
        <v>240</v>
      </c>
      <c r="H33" s="2">
        <v>9</v>
      </c>
      <c r="I33" s="2" t="s">
        <v>43</v>
      </c>
      <c r="J33" s="2" t="s">
        <v>372</v>
      </c>
      <c r="K33" s="2" t="s">
        <v>119</v>
      </c>
      <c r="L33" s="2" t="s">
        <v>29</v>
      </c>
      <c r="M33" s="2" t="s">
        <v>373</v>
      </c>
      <c r="N33" s="2" t="s">
        <v>374</v>
      </c>
      <c r="O33" s="4">
        <v>1528</v>
      </c>
      <c r="P33" s="2" t="s">
        <v>375</v>
      </c>
      <c r="Q33" s="2" t="s">
        <v>33</v>
      </c>
      <c r="R33" s="2" t="s">
        <v>376</v>
      </c>
      <c r="S33" s="2" t="s">
        <v>377</v>
      </c>
      <c r="T33" s="2" t="s">
        <v>378</v>
      </c>
      <c r="U33" s="2" t="s">
        <v>379</v>
      </c>
      <c r="V33" s="2" t="s">
        <v>380</v>
      </c>
    </row>
    <row r="34" spans="1:22" ht="28.8">
      <c r="A34" s="2" t="s">
        <v>55</v>
      </c>
      <c r="B34" s="2" t="s">
        <v>369</v>
      </c>
      <c r="C34" s="2" t="s">
        <v>370</v>
      </c>
      <c r="D34" s="2">
        <v>2024</v>
      </c>
      <c r="E34" s="3">
        <v>45536</v>
      </c>
      <c r="F34" s="2" t="s">
        <v>371</v>
      </c>
      <c r="G34" s="2">
        <v>240</v>
      </c>
      <c r="H34" s="2">
        <v>9</v>
      </c>
      <c r="I34" s="2" t="s">
        <v>43</v>
      </c>
      <c r="J34" s="2" t="s">
        <v>372</v>
      </c>
      <c r="K34" s="2" t="s">
        <v>119</v>
      </c>
      <c r="L34" s="2" t="s">
        <v>29</v>
      </c>
      <c r="M34" s="2" t="s">
        <v>373</v>
      </c>
      <c r="N34" s="2" t="s">
        <v>374</v>
      </c>
      <c r="O34" s="4">
        <v>1528</v>
      </c>
      <c r="P34" s="2" t="s">
        <v>375</v>
      </c>
      <c r="Q34" s="2" t="s">
        <v>33</v>
      </c>
      <c r="R34" s="2" t="s">
        <v>376</v>
      </c>
      <c r="S34" s="2" t="s">
        <v>377</v>
      </c>
      <c r="T34" s="2" t="s">
        <v>378</v>
      </c>
      <c r="U34" s="2" t="s">
        <v>379</v>
      </c>
      <c r="V34" s="2" t="s">
        <v>380</v>
      </c>
    </row>
    <row r="35" spans="1:22" ht="28.8">
      <c r="A35" s="2" t="s">
        <v>381</v>
      </c>
      <c r="B35" s="2" t="s">
        <v>369</v>
      </c>
      <c r="C35" s="2" t="s">
        <v>370</v>
      </c>
      <c r="D35" s="2">
        <v>2024</v>
      </c>
      <c r="E35" s="3">
        <v>45536</v>
      </c>
      <c r="F35" s="2" t="s">
        <v>371</v>
      </c>
      <c r="G35" s="2">
        <v>240</v>
      </c>
      <c r="H35" s="2">
        <v>9</v>
      </c>
      <c r="I35" s="2" t="s">
        <v>43</v>
      </c>
      <c r="J35" s="2" t="s">
        <v>372</v>
      </c>
      <c r="K35" s="2" t="s">
        <v>119</v>
      </c>
      <c r="L35" s="2" t="s">
        <v>29</v>
      </c>
      <c r="M35" s="2" t="s">
        <v>373</v>
      </c>
      <c r="N35" s="2" t="s">
        <v>374</v>
      </c>
      <c r="O35" s="4">
        <v>1528</v>
      </c>
      <c r="P35" s="2" t="s">
        <v>375</v>
      </c>
      <c r="Q35" s="2" t="s">
        <v>33</v>
      </c>
      <c r="R35" s="2" t="s">
        <v>376</v>
      </c>
      <c r="S35" s="2" t="s">
        <v>377</v>
      </c>
      <c r="T35" s="2" t="s">
        <v>378</v>
      </c>
      <c r="U35" s="2" t="s">
        <v>379</v>
      </c>
      <c r="V35" s="2" t="s">
        <v>380</v>
      </c>
    </row>
    <row r="36" spans="1:22" ht="28.8">
      <c r="A36" s="2" t="s">
        <v>382</v>
      </c>
      <c r="B36" s="2" t="s">
        <v>369</v>
      </c>
      <c r="C36" s="2" t="s">
        <v>370</v>
      </c>
      <c r="D36" s="2">
        <v>2024</v>
      </c>
      <c r="E36" s="3">
        <v>45536</v>
      </c>
      <c r="F36" s="2" t="s">
        <v>371</v>
      </c>
      <c r="G36" s="2">
        <v>240</v>
      </c>
      <c r="H36" s="2">
        <v>9</v>
      </c>
      <c r="I36" s="2" t="s">
        <v>43</v>
      </c>
      <c r="J36" s="2" t="s">
        <v>372</v>
      </c>
      <c r="K36" s="2" t="s">
        <v>119</v>
      </c>
      <c r="L36" s="2" t="s">
        <v>29</v>
      </c>
      <c r="M36" s="2" t="s">
        <v>373</v>
      </c>
      <c r="N36" s="2" t="s">
        <v>374</v>
      </c>
      <c r="O36" s="4">
        <v>1528</v>
      </c>
      <c r="P36" s="2" t="s">
        <v>375</v>
      </c>
      <c r="Q36" s="2" t="s">
        <v>33</v>
      </c>
      <c r="R36" s="2" t="s">
        <v>376</v>
      </c>
      <c r="S36" s="2" t="s">
        <v>377</v>
      </c>
      <c r="T36" s="2" t="s">
        <v>378</v>
      </c>
      <c r="U36" s="2" t="s">
        <v>379</v>
      </c>
      <c r="V36" s="2" t="s">
        <v>380</v>
      </c>
    </row>
    <row r="37" spans="1:22" ht="28.8">
      <c r="A37" s="2" t="s">
        <v>383</v>
      </c>
      <c r="B37" s="2" t="s">
        <v>369</v>
      </c>
      <c r="C37" s="2" t="s">
        <v>370</v>
      </c>
      <c r="D37" s="2">
        <v>2024</v>
      </c>
      <c r="E37" s="3">
        <v>45536</v>
      </c>
      <c r="F37" s="2" t="s">
        <v>371</v>
      </c>
      <c r="G37" s="2">
        <v>240</v>
      </c>
      <c r="H37" s="2">
        <v>9</v>
      </c>
      <c r="I37" s="2" t="s">
        <v>43</v>
      </c>
      <c r="J37" s="2" t="s">
        <v>372</v>
      </c>
      <c r="K37" s="2" t="s">
        <v>119</v>
      </c>
      <c r="L37" s="2" t="s">
        <v>29</v>
      </c>
      <c r="M37" s="2" t="s">
        <v>373</v>
      </c>
      <c r="N37" s="2" t="s">
        <v>374</v>
      </c>
      <c r="O37" s="4">
        <v>1528</v>
      </c>
      <c r="P37" s="2" t="s">
        <v>375</v>
      </c>
      <c r="Q37" s="2" t="s">
        <v>33</v>
      </c>
      <c r="R37" s="2" t="s">
        <v>376</v>
      </c>
      <c r="S37" s="2" t="s">
        <v>377</v>
      </c>
      <c r="T37" s="2" t="s">
        <v>378</v>
      </c>
      <c r="U37" s="2" t="s">
        <v>379</v>
      </c>
      <c r="V37" s="2" t="s">
        <v>380</v>
      </c>
    </row>
    <row r="38" spans="1:22" ht="28.8">
      <c r="A38" s="2" t="s">
        <v>384</v>
      </c>
      <c r="B38" s="2" t="s">
        <v>369</v>
      </c>
      <c r="C38" s="2" t="s">
        <v>370</v>
      </c>
      <c r="D38" s="2">
        <v>2024</v>
      </c>
      <c r="E38" s="3">
        <v>45536</v>
      </c>
      <c r="F38" s="2" t="s">
        <v>371</v>
      </c>
      <c r="G38" s="2">
        <v>240</v>
      </c>
      <c r="H38" s="2">
        <v>9</v>
      </c>
      <c r="I38" s="2" t="s">
        <v>43</v>
      </c>
      <c r="J38" s="2" t="s">
        <v>372</v>
      </c>
      <c r="K38" s="2" t="s">
        <v>119</v>
      </c>
      <c r="L38" s="2" t="s">
        <v>29</v>
      </c>
      <c r="M38" s="2" t="s">
        <v>373</v>
      </c>
      <c r="N38" s="2" t="s">
        <v>374</v>
      </c>
      <c r="O38" s="4">
        <v>1528</v>
      </c>
      <c r="P38" s="2" t="s">
        <v>375</v>
      </c>
      <c r="Q38" s="2" t="s">
        <v>33</v>
      </c>
      <c r="R38" s="2" t="s">
        <v>376</v>
      </c>
      <c r="S38" s="2" t="s">
        <v>377</v>
      </c>
      <c r="T38" s="2" t="s">
        <v>378</v>
      </c>
      <c r="U38" s="2" t="s">
        <v>379</v>
      </c>
      <c r="V38" s="2" t="s">
        <v>380</v>
      </c>
    </row>
    <row r="39" spans="1:22" ht="28.8">
      <c r="A39" s="2" t="s">
        <v>164</v>
      </c>
      <c r="B39" s="2" t="s">
        <v>369</v>
      </c>
      <c r="C39" s="2" t="s">
        <v>370</v>
      </c>
      <c r="D39" s="2">
        <v>2024</v>
      </c>
      <c r="E39" s="3">
        <v>45536</v>
      </c>
      <c r="F39" s="2" t="s">
        <v>371</v>
      </c>
      <c r="G39" s="2">
        <v>240</v>
      </c>
      <c r="H39" s="2">
        <v>9</v>
      </c>
      <c r="I39" s="2" t="s">
        <v>43</v>
      </c>
      <c r="J39" s="2" t="s">
        <v>372</v>
      </c>
      <c r="K39" s="2" t="s">
        <v>119</v>
      </c>
      <c r="L39" s="2" t="s">
        <v>29</v>
      </c>
      <c r="M39" s="2" t="s">
        <v>373</v>
      </c>
      <c r="N39" s="2" t="s">
        <v>374</v>
      </c>
      <c r="O39" s="4">
        <v>1528</v>
      </c>
      <c r="P39" s="2" t="s">
        <v>375</v>
      </c>
      <c r="Q39" s="2" t="s">
        <v>33</v>
      </c>
      <c r="R39" s="2" t="s">
        <v>376</v>
      </c>
      <c r="S39" s="2" t="s">
        <v>377</v>
      </c>
      <c r="T39" s="2" t="s">
        <v>378</v>
      </c>
      <c r="U39" s="2" t="s">
        <v>379</v>
      </c>
      <c r="V39" s="2" t="s">
        <v>380</v>
      </c>
    </row>
    <row r="40" spans="1:22" ht="28.8">
      <c r="A40" s="2" t="s">
        <v>385</v>
      </c>
      <c r="B40" s="2" t="s">
        <v>369</v>
      </c>
      <c r="C40" s="2" t="s">
        <v>370</v>
      </c>
      <c r="D40" s="2">
        <v>2024</v>
      </c>
      <c r="E40" s="3">
        <v>45536</v>
      </c>
      <c r="F40" s="2" t="s">
        <v>371</v>
      </c>
      <c r="G40" s="2">
        <v>240</v>
      </c>
      <c r="H40" s="2">
        <v>9</v>
      </c>
      <c r="I40" s="2" t="s">
        <v>43</v>
      </c>
      <c r="J40" s="2" t="s">
        <v>372</v>
      </c>
      <c r="K40" s="2" t="s">
        <v>119</v>
      </c>
      <c r="L40" s="2" t="s">
        <v>29</v>
      </c>
      <c r="M40" s="2" t="s">
        <v>373</v>
      </c>
      <c r="N40" s="2" t="s">
        <v>374</v>
      </c>
      <c r="O40" s="4">
        <v>1528</v>
      </c>
      <c r="P40" s="2" t="s">
        <v>375</v>
      </c>
      <c r="Q40" s="2" t="s">
        <v>33</v>
      </c>
      <c r="R40" s="2" t="s">
        <v>376</v>
      </c>
      <c r="S40" s="2" t="s">
        <v>377</v>
      </c>
      <c r="T40" s="2" t="s">
        <v>378</v>
      </c>
      <c r="U40" s="2" t="s">
        <v>379</v>
      </c>
      <c r="V40" s="2" t="s">
        <v>380</v>
      </c>
    </row>
    <row r="41" spans="1:22">
      <c r="A41" s="2" t="s">
        <v>386</v>
      </c>
      <c r="B41" s="2" t="s">
        <v>387</v>
      </c>
      <c r="C41" s="2" t="s">
        <v>388</v>
      </c>
      <c r="D41" s="2">
        <v>2024</v>
      </c>
      <c r="E41" s="3">
        <v>45597</v>
      </c>
      <c r="F41" s="2" t="s">
        <v>389</v>
      </c>
      <c r="G41" s="2">
        <v>99</v>
      </c>
      <c r="H41" s="2">
        <v>6</v>
      </c>
      <c r="I41" s="2" t="s">
        <v>390</v>
      </c>
      <c r="J41" s="2" t="s">
        <v>391</v>
      </c>
      <c r="K41" s="2" t="s">
        <v>392</v>
      </c>
      <c r="L41" s="2" t="s">
        <v>29</v>
      </c>
      <c r="M41" s="2" t="s">
        <v>393</v>
      </c>
      <c r="N41" s="2" t="s">
        <v>394</v>
      </c>
      <c r="O41" s="2" t="s">
        <v>395</v>
      </c>
      <c r="P41" s="2" t="s">
        <v>396</v>
      </c>
      <c r="Q41" s="2" t="s">
        <v>49</v>
      </c>
      <c r="R41" s="2" t="s">
        <v>397</v>
      </c>
      <c r="S41" s="2" t="s">
        <v>398</v>
      </c>
      <c r="T41" s="2" t="s">
        <v>399</v>
      </c>
      <c r="U41" s="2" t="s">
        <v>400</v>
      </c>
      <c r="V41" s="2" t="s">
        <v>80</v>
      </c>
    </row>
    <row r="42" spans="1:22">
      <c r="A42" s="2" t="s">
        <v>325</v>
      </c>
      <c r="B42" s="2" t="s">
        <v>401</v>
      </c>
      <c r="C42" s="2" t="s">
        <v>402</v>
      </c>
      <c r="D42" s="2">
        <v>2024</v>
      </c>
      <c r="E42" s="3">
        <v>45383</v>
      </c>
      <c r="F42" s="2" t="s">
        <v>403</v>
      </c>
      <c r="G42" s="2">
        <v>57</v>
      </c>
      <c r="H42" s="2">
        <v>4</v>
      </c>
      <c r="I42" s="2" t="s">
        <v>404</v>
      </c>
      <c r="J42" s="2" t="s">
        <v>405</v>
      </c>
      <c r="K42" s="2" t="s">
        <v>119</v>
      </c>
      <c r="L42" s="2" t="s">
        <v>29</v>
      </c>
      <c r="M42" s="2" t="s">
        <v>406</v>
      </c>
      <c r="N42" s="2" t="s">
        <v>105</v>
      </c>
      <c r="O42" s="4">
        <v>2335</v>
      </c>
      <c r="P42" s="2" t="s">
        <v>407</v>
      </c>
      <c r="Q42" s="2" t="s">
        <v>33</v>
      </c>
      <c r="R42" s="2" t="s">
        <v>408</v>
      </c>
      <c r="S42" s="2" t="s">
        <v>409</v>
      </c>
      <c r="T42" s="2" t="s">
        <v>410</v>
      </c>
      <c r="U42" s="2" t="s">
        <v>411</v>
      </c>
      <c r="V42" s="2" t="s">
        <v>80</v>
      </c>
    </row>
    <row r="43" spans="1:22" ht="43.2">
      <c r="A43" s="2" t="s">
        <v>311</v>
      </c>
      <c r="B43" s="2" t="s">
        <v>412</v>
      </c>
      <c r="C43" s="2" t="s">
        <v>413</v>
      </c>
      <c r="D43" s="2">
        <v>2024</v>
      </c>
      <c r="E43" s="3">
        <v>45627</v>
      </c>
      <c r="F43" s="2" t="s">
        <v>167</v>
      </c>
      <c r="G43" s="2">
        <v>15</v>
      </c>
      <c r="H43" s="2">
        <v>1</v>
      </c>
      <c r="I43" s="2" t="s">
        <v>43</v>
      </c>
      <c r="J43" s="2" t="s">
        <v>414</v>
      </c>
      <c r="K43" s="2" t="s">
        <v>220</v>
      </c>
      <c r="L43" s="2" t="s">
        <v>29</v>
      </c>
      <c r="M43" s="2" t="s">
        <v>415</v>
      </c>
      <c r="N43" s="2" t="s">
        <v>31</v>
      </c>
      <c r="O43" s="4">
        <v>4761</v>
      </c>
      <c r="P43" s="2" t="s">
        <v>416</v>
      </c>
      <c r="Q43" s="2" t="s">
        <v>33</v>
      </c>
      <c r="R43" s="2" t="s">
        <v>417</v>
      </c>
      <c r="S43" s="2" t="s">
        <v>418</v>
      </c>
      <c r="T43" s="2" t="s">
        <v>419</v>
      </c>
      <c r="U43" s="2" t="s">
        <v>420</v>
      </c>
      <c r="V43" s="2" t="s">
        <v>421</v>
      </c>
    </row>
    <row r="44" spans="1:22">
      <c r="A44" s="2" t="s">
        <v>422</v>
      </c>
      <c r="B44" s="2" t="s">
        <v>423</v>
      </c>
      <c r="C44" s="2" t="s">
        <v>424</v>
      </c>
      <c r="D44" s="2">
        <v>2024</v>
      </c>
      <c r="E44" s="3">
        <v>45292</v>
      </c>
      <c r="F44" s="2" t="s">
        <v>425</v>
      </c>
      <c r="G44" s="2">
        <v>26</v>
      </c>
      <c r="H44" s="2">
        <v>1</v>
      </c>
      <c r="I44" s="2" t="s">
        <v>426</v>
      </c>
      <c r="J44" s="2" t="s">
        <v>427</v>
      </c>
      <c r="K44" s="2" t="s">
        <v>194</v>
      </c>
      <c r="L44" s="2" t="s">
        <v>29</v>
      </c>
      <c r="M44" s="2" t="s">
        <v>304</v>
      </c>
      <c r="N44" s="2" t="s">
        <v>428</v>
      </c>
      <c r="O44" s="2" t="s">
        <v>197</v>
      </c>
      <c r="P44" s="2" t="s">
        <v>429</v>
      </c>
      <c r="Q44" s="2" t="s">
        <v>49</v>
      </c>
      <c r="R44" s="2" t="s">
        <v>430</v>
      </c>
      <c r="S44" s="2" t="s">
        <v>79</v>
      </c>
      <c r="T44" s="2" t="s">
        <v>431</v>
      </c>
      <c r="U44" s="2" t="s">
        <v>432</v>
      </c>
      <c r="V44" s="2" t="s">
        <v>80</v>
      </c>
    </row>
    <row r="45" spans="1:22" ht="43.2">
      <c r="A45" s="2" t="s">
        <v>433</v>
      </c>
      <c r="B45" s="2" t="s">
        <v>434</v>
      </c>
      <c r="C45" s="2" t="s">
        <v>435</v>
      </c>
      <c r="D45" s="2">
        <v>2024</v>
      </c>
      <c r="E45" s="3">
        <v>45400</v>
      </c>
      <c r="F45" s="2" t="s">
        <v>436</v>
      </c>
      <c r="G45" s="2">
        <v>11</v>
      </c>
      <c r="H45" s="2">
        <v>1</v>
      </c>
      <c r="I45" s="2" t="s">
        <v>43</v>
      </c>
      <c r="J45" s="2" t="s">
        <v>437</v>
      </c>
      <c r="K45" s="2" t="s">
        <v>438</v>
      </c>
      <c r="L45" s="2" t="s">
        <v>29</v>
      </c>
      <c r="M45" s="2" t="s">
        <v>439</v>
      </c>
      <c r="N45" s="2" t="s">
        <v>440</v>
      </c>
      <c r="O45" s="4">
        <v>1106</v>
      </c>
      <c r="P45" s="2" t="s">
        <v>441</v>
      </c>
      <c r="Q45" s="2" t="s">
        <v>33</v>
      </c>
      <c r="R45" s="2" t="s">
        <v>442</v>
      </c>
      <c r="S45" s="2" t="s">
        <v>443</v>
      </c>
      <c r="T45" s="2" t="s">
        <v>444</v>
      </c>
      <c r="U45" s="2" t="s">
        <v>445</v>
      </c>
      <c r="V45" s="2" t="s">
        <v>446</v>
      </c>
    </row>
    <row r="46" spans="1:22">
      <c r="A46" s="2" t="s">
        <v>113</v>
      </c>
      <c r="B46" s="2" t="s">
        <v>447</v>
      </c>
      <c r="C46" s="2" t="s">
        <v>448</v>
      </c>
      <c r="D46" s="2">
        <v>2024</v>
      </c>
      <c r="E46" s="3">
        <v>45505</v>
      </c>
      <c r="F46" s="2" t="s">
        <v>449</v>
      </c>
      <c r="G46" s="2">
        <v>10</v>
      </c>
      <c r="H46" s="2">
        <v>4</v>
      </c>
      <c r="I46" s="2" t="s">
        <v>43</v>
      </c>
      <c r="J46" s="2" t="s">
        <v>450</v>
      </c>
      <c r="K46" s="2" t="s">
        <v>119</v>
      </c>
      <c r="L46" s="2" t="s">
        <v>29</v>
      </c>
      <c r="M46" s="2" t="s">
        <v>195</v>
      </c>
      <c r="N46" s="2" t="s">
        <v>451</v>
      </c>
      <c r="O46" s="2" t="s">
        <v>452</v>
      </c>
      <c r="P46" s="2" t="s">
        <v>453</v>
      </c>
      <c r="Q46" s="2" t="s">
        <v>33</v>
      </c>
      <c r="R46" s="2" t="s">
        <v>454</v>
      </c>
      <c r="S46" s="2" t="s">
        <v>455</v>
      </c>
      <c r="T46" s="2" t="s">
        <v>456</v>
      </c>
      <c r="U46" s="2" t="s">
        <v>457</v>
      </c>
      <c r="V46" s="2" t="s">
        <v>458</v>
      </c>
    </row>
    <row r="47" spans="1:22">
      <c r="A47" s="2" t="s">
        <v>97</v>
      </c>
      <c r="B47" s="2" t="s">
        <v>459</v>
      </c>
      <c r="C47" s="2" t="s">
        <v>460</v>
      </c>
      <c r="D47" s="2">
        <v>2024</v>
      </c>
      <c r="E47" s="3">
        <v>45444</v>
      </c>
      <c r="F47" s="2" t="s">
        <v>461</v>
      </c>
      <c r="G47" s="2">
        <v>12</v>
      </c>
      <c r="H47" s="2">
        <v>3</v>
      </c>
      <c r="I47" s="2" t="s">
        <v>43</v>
      </c>
      <c r="J47" s="2" t="s">
        <v>462</v>
      </c>
      <c r="K47" s="2" t="s">
        <v>45</v>
      </c>
      <c r="L47" s="2" t="s">
        <v>29</v>
      </c>
      <c r="M47" s="2" t="s">
        <v>463</v>
      </c>
      <c r="N47" s="2" t="s">
        <v>464</v>
      </c>
      <c r="O47" s="4">
        <v>1454</v>
      </c>
      <c r="P47" s="2" t="s">
        <v>465</v>
      </c>
      <c r="Q47" s="2" t="s">
        <v>33</v>
      </c>
      <c r="R47" s="2" t="s">
        <v>466</v>
      </c>
      <c r="S47" s="2" t="s">
        <v>467</v>
      </c>
      <c r="T47" s="2" t="s">
        <v>468</v>
      </c>
      <c r="U47" s="2" t="s">
        <v>469</v>
      </c>
      <c r="V47" s="2" t="s">
        <v>80</v>
      </c>
    </row>
    <row r="48" spans="1:22">
      <c r="A48" s="2" t="s">
        <v>470</v>
      </c>
      <c r="B48" s="2" t="s">
        <v>471</v>
      </c>
      <c r="C48" s="2" t="s">
        <v>472</v>
      </c>
      <c r="D48" s="2">
        <v>2025</v>
      </c>
      <c r="E48" s="3">
        <v>45658</v>
      </c>
      <c r="F48" s="2" t="s">
        <v>473</v>
      </c>
      <c r="G48" s="2">
        <v>16</v>
      </c>
      <c r="H48" s="2" t="s">
        <v>43</v>
      </c>
      <c r="I48" s="2" t="s">
        <v>43</v>
      </c>
      <c r="J48" s="2" t="s">
        <v>474</v>
      </c>
      <c r="K48" s="2" t="s">
        <v>183</v>
      </c>
      <c r="L48" s="2" t="s">
        <v>29</v>
      </c>
      <c r="M48" s="2" t="s">
        <v>475</v>
      </c>
      <c r="N48" s="2" t="s">
        <v>476</v>
      </c>
      <c r="O48" s="4">
        <v>1964</v>
      </c>
      <c r="P48" s="2" t="s">
        <v>477</v>
      </c>
      <c r="Q48" s="2" t="s">
        <v>208</v>
      </c>
      <c r="R48" s="2" t="s">
        <v>478</v>
      </c>
      <c r="S48" s="2" t="s">
        <v>479</v>
      </c>
      <c r="T48" s="2" t="s">
        <v>480</v>
      </c>
      <c r="U48" s="2" t="s">
        <v>481</v>
      </c>
      <c r="V48" s="2" t="s">
        <v>80</v>
      </c>
    </row>
    <row r="49" spans="1:22" ht="28.8">
      <c r="A49" s="2" t="s">
        <v>22</v>
      </c>
      <c r="B49" s="2" t="s">
        <v>482</v>
      </c>
      <c r="C49" s="2" t="s">
        <v>483</v>
      </c>
      <c r="D49" s="2">
        <v>2024</v>
      </c>
      <c r="E49" s="3">
        <v>45444</v>
      </c>
      <c r="F49" s="2" t="s">
        <v>357</v>
      </c>
      <c r="G49" s="2">
        <v>19</v>
      </c>
      <c r="H49" s="2">
        <v>6</v>
      </c>
      <c r="I49" s="2" t="s">
        <v>484</v>
      </c>
      <c r="J49" s="2" t="s">
        <v>359</v>
      </c>
      <c r="K49" s="2" t="s">
        <v>360</v>
      </c>
      <c r="L49" s="2" t="s">
        <v>29</v>
      </c>
      <c r="M49" s="2" t="s">
        <v>485</v>
      </c>
      <c r="N49" s="2" t="s">
        <v>76</v>
      </c>
      <c r="O49" s="2" t="s">
        <v>486</v>
      </c>
      <c r="P49" s="2" t="s">
        <v>487</v>
      </c>
      <c r="Q49" s="2" t="s">
        <v>33</v>
      </c>
      <c r="R49" s="2" t="s">
        <v>488</v>
      </c>
      <c r="S49" s="2" t="s">
        <v>489</v>
      </c>
      <c r="T49" s="2" t="s">
        <v>490</v>
      </c>
      <c r="U49" s="2" t="s">
        <v>491</v>
      </c>
      <c r="V49" s="2" t="s">
        <v>492</v>
      </c>
    </row>
    <row r="50" spans="1:22" ht="43.2">
      <c r="A50" s="2" t="s">
        <v>493</v>
      </c>
      <c r="B50" s="2" t="s">
        <v>494</v>
      </c>
      <c r="C50" s="2" t="s">
        <v>495</v>
      </c>
      <c r="D50" s="2">
        <v>2024</v>
      </c>
      <c r="E50" s="3">
        <v>45627</v>
      </c>
      <c r="F50" s="2" t="s">
        <v>496</v>
      </c>
      <c r="G50" s="2">
        <v>10</v>
      </c>
      <c r="H50" s="2">
        <v>1</v>
      </c>
      <c r="I50" s="2" t="s">
        <v>43</v>
      </c>
      <c r="J50" s="2" t="s">
        <v>497</v>
      </c>
      <c r="K50" s="2" t="s">
        <v>220</v>
      </c>
      <c r="L50" s="2" t="s">
        <v>29</v>
      </c>
      <c r="M50" s="2" t="s">
        <v>475</v>
      </c>
      <c r="N50" s="2" t="s">
        <v>498</v>
      </c>
      <c r="O50" s="4">
        <v>2914</v>
      </c>
      <c r="P50" s="2" t="s">
        <v>499</v>
      </c>
      <c r="Q50" s="2" t="s">
        <v>33</v>
      </c>
      <c r="R50" s="2" t="s">
        <v>500</v>
      </c>
      <c r="S50" s="2" t="s">
        <v>501</v>
      </c>
      <c r="T50" s="2" t="s">
        <v>502</v>
      </c>
      <c r="U50" s="2" t="s">
        <v>503</v>
      </c>
      <c r="V50" s="2" t="s">
        <v>504</v>
      </c>
    </row>
    <row r="51" spans="1:22">
      <c r="A51" s="2" t="s">
        <v>505</v>
      </c>
      <c r="B51" s="2" t="s">
        <v>506</v>
      </c>
      <c r="C51" s="2" t="s">
        <v>507</v>
      </c>
      <c r="D51" s="2">
        <v>2024</v>
      </c>
      <c r="E51" s="3">
        <v>45474</v>
      </c>
      <c r="F51" s="2" t="s">
        <v>508</v>
      </c>
      <c r="G51" s="2">
        <v>16</v>
      </c>
      <c r="H51" s="2">
        <v>13</v>
      </c>
      <c r="I51" s="2" t="s">
        <v>43</v>
      </c>
      <c r="J51" s="2" t="s">
        <v>279</v>
      </c>
      <c r="K51" s="2" t="s">
        <v>61</v>
      </c>
      <c r="L51" s="2" t="s">
        <v>29</v>
      </c>
      <c r="M51" s="2" t="s">
        <v>280</v>
      </c>
      <c r="N51" s="2" t="s">
        <v>281</v>
      </c>
      <c r="O51" s="4">
        <v>1473</v>
      </c>
      <c r="P51" s="2" t="s">
        <v>509</v>
      </c>
      <c r="Q51" s="2" t="s">
        <v>49</v>
      </c>
      <c r="R51" s="2" t="s">
        <v>510</v>
      </c>
      <c r="S51" s="2" t="s">
        <v>511</v>
      </c>
      <c r="T51" s="2" t="s">
        <v>512</v>
      </c>
      <c r="U51" s="2" t="s">
        <v>511</v>
      </c>
      <c r="V51" s="2" t="s">
        <v>80</v>
      </c>
    </row>
    <row r="52" spans="1:22">
      <c r="A52" s="2" t="s">
        <v>513</v>
      </c>
      <c r="B52" s="2" t="s">
        <v>506</v>
      </c>
      <c r="C52" s="2" t="s">
        <v>507</v>
      </c>
      <c r="D52" s="2">
        <v>2024</v>
      </c>
      <c r="E52" s="3">
        <v>45474</v>
      </c>
      <c r="F52" s="2" t="s">
        <v>508</v>
      </c>
      <c r="G52" s="2">
        <v>16</v>
      </c>
      <c r="H52" s="2">
        <v>13</v>
      </c>
      <c r="I52" s="2" t="s">
        <v>43</v>
      </c>
      <c r="J52" s="2" t="s">
        <v>279</v>
      </c>
      <c r="K52" s="2" t="s">
        <v>61</v>
      </c>
      <c r="L52" s="2" t="s">
        <v>29</v>
      </c>
      <c r="M52" s="2" t="s">
        <v>280</v>
      </c>
      <c r="N52" s="2" t="s">
        <v>281</v>
      </c>
      <c r="O52" s="4">
        <v>1473</v>
      </c>
      <c r="P52" s="2" t="s">
        <v>509</v>
      </c>
      <c r="Q52" s="2" t="s">
        <v>49</v>
      </c>
      <c r="R52" s="2" t="s">
        <v>510</v>
      </c>
      <c r="S52" s="2" t="s">
        <v>511</v>
      </c>
      <c r="T52" s="2" t="s">
        <v>512</v>
      </c>
      <c r="U52" s="2" t="s">
        <v>511</v>
      </c>
      <c r="V52" s="2" t="s">
        <v>80</v>
      </c>
    </row>
    <row r="53" spans="1:22">
      <c r="A53" s="2" t="s">
        <v>82</v>
      </c>
      <c r="B53" s="2" t="s">
        <v>506</v>
      </c>
      <c r="C53" s="2" t="s">
        <v>507</v>
      </c>
      <c r="D53" s="2">
        <v>2024</v>
      </c>
      <c r="E53" s="3">
        <v>45474</v>
      </c>
      <c r="F53" s="2" t="s">
        <v>508</v>
      </c>
      <c r="G53" s="2">
        <v>16</v>
      </c>
      <c r="H53" s="2">
        <v>13</v>
      </c>
      <c r="I53" s="2" t="s">
        <v>43</v>
      </c>
      <c r="J53" s="2" t="s">
        <v>279</v>
      </c>
      <c r="K53" s="2" t="s">
        <v>61</v>
      </c>
      <c r="L53" s="2" t="s">
        <v>29</v>
      </c>
      <c r="M53" s="2" t="s">
        <v>280</v>
      </c>
      <c r="N53" s="2" t="s">
        <v>281</v>
      </c>
      <c r="O53" s="4">
        <v>1473</v>
      </c>
      <c r="P53" s="2" t="s">
        <v>509</v>
      </c>
      <c r="Q53" s="2" t="s">
        <v>49</v>
      </c>
      <c r="R53" s="2" t="s">
        <v>510</v>
      </c>
      <c r="S53" s="2" t="s">
        <v>511</v>
      </c>
      <c r="T53" s="2" t="s">
        <v>512</v>
      </c>
      <c r="U53" s="2" t="s">
        <v>511</v>
      </c>
      <c r="V53" s="2" t="s">
        <v>80</v>
      </c>
    </row>
    <row r="54" spans="1:22">
      <c r="A54" s="2" t="s">
        <v>83</v>
      </c>
      <c r="B54" s="2" t="s">
        <v>506</v>
      </c>
      <c r="C54" s="2" t="s">
        <v>507</v>
      </c>
      <c r="D54" s="2">
        <v>2024</v>
      </c>
      <c r="E54" s="3">
        <v>45474</v>
      </c>
      <c r="F54" s="2" t="s">
        <v>508</v>
      </c>
      <c r="G54" s="2">
        <v>16</v>
      </c>
      <c r="H54" s="2">
        <v>13</v>
      </c>
      <c r="I54" s="2" t="s">
        <v>43</v>
      </c>
      <c r="J54" s="2" t="s">
        <v>279</v>
      </c>
      <c r="K54" s="2" t="s">
        <v>61</v>
      </c>
      <c r="L54" s="2" t="s">
        <v>29</v>
      </c>
      <c r="M54" s="2" t="s">
        <v>280</v>
      </c>
      <c r="N54" s="2" t="s">
        <v>281</v>
      </c>
      <c r="O54" s="4">
        <v>1473</v>
      </c>
      <c r="P54" s="2" t="s">
        <v>509</v>
      </c>
      <c r="Q54" s="2" t="s">
        <v>49</v>
      </c>
      <c r="R54" s="2" t="s">
        <v>510</v>
      </c>
      <c r="S54" s="2" t="s">
        <v>511</v>
      </c>
      <c r="T54" s="2" t="s">
        <v>512</v>
      </c>
      <c r="U54" s="2" t="s">
        <v>511</v>
      </c>
      <c r="V54" s="2" t="s">
        <v>80</v>
      </c>
    </row>
    <row r="55" spans="1:22">
      <c r="A55" s="2" t="s">
        <v>514</v>
      </c>
      <c r="B55" s="2" t="s">
        <v>515</v>
      </c>
      <c r="C55" s="2" t="s">
        <v>516</v>
      </c>
      <c r="D55" s="2">
        <v>2024</v>
      </c>
      <c r="E55" s="3">
        <v>45627</v>
      </c>
      <c r="F55" s="2" t="s">
        <v>517</v>
      </c>
      <c r="G55" s="2">
        <v>15</v>
      </c>
      <c r="H55" s="2">
        <v>1</v>
      </c>
      <c r="I55" s="2" t="s">
        <v>43</v>
      </c>
      <c r="J55" s="2" t="s">
        <v>414</v>
      </c>
      <c r="K55" s="2" t="s">
        <v>220</v>
      </c>
      <c r="L55" s="2" t="s">
        <v>29</v>
      </c>
      <c r="M55" s="2" t="s">
        <v>415</v>
      </c>
      <c r="N55" s="2" t="s">
        <v>31</v>
      </c>
      <c r="O55" s="4">
        <v>4761</v>
      </c>
      <c r="P55" s="2" t="s">
        <v>518</v>
      </c>
      <c r="Q55" s="2" t="s">
        <v>33</v>
      </c>
      <c r="R55" s="2" t="s">
        <v>519</v>
      </c>
      <c r="S55" s="2" t="s">
        <v>520</v>
      </c>
      <c r="T55" s="2" t="s">
        <v>521</v>
      </c>
      <c r="U55" s="2" t="s">
        <v>522</v>
      </c>
      <c r="V55" s="2" t="s">
        <v>523</v>
      </c>
    </row>
    <row r="56" spans="1:22">
      <c r="A56" s="2" t="s">
        <v>178</v>
      </c>
      <c r="B56" s="2" t="s">
        <v>524</v>
      </c>
      <c r="C56" s="2" t="s">
        <v>180</v>
      </c>
      <c r="D56" s="2">
        <v>2025</v>
      </c>
      <c r="E56" s="3">
        <v>45768</v>
      </c>
      <c r="F56" s="2" t="s">
        <v>525</v>
      </c>
      <c r="G56" s="2">
        <v>26</v>
      </c>
      <c r="H56" s="2">
        <v>4</v>
      </c>
      <c r="I56" s="2" t="s">
        <v>526</v>
      </c>
      <c r="J56" s="2" t="s">
        <v>527</v>
      </c>
      <c r="K56" s="2" t="s">
        <v>528</v>
      </c>
      <c r="L56" s="2" t="s">
        <v>29</v>
      </c>
      <c r="M56" s="2" t="s">
        <v>529</v>
      </c>
      <c r="N56" s="2" t="s">
        <v>464</v>
      </c>
      <c r="O56" s="4">
        <v>1014</v>
      </c>
      <c r="P56" s="2" t="s">
        <v>530</v>
      </c>
      <c r="Q56" s="2" t="s">
        <v>33</v>
      </c>
      <c r="R56" s="2" t="s">
        <v>531</v>
      </c>
      <c r="S56" s="2" t="s">
        <v>532</v>
      </c>
      <c r="T56" s="2" t="s">
        <v>533</v>
      </c>
      <c r="U56" s="2" t="s">
        <v>534</v>
      </c>
      <c r="V56" s="2" t="s">
        <v>80</v>
      </c>
    </row>
    <row r="57" spans="1:22" ht="28.8">
      <c r="A57" s="2" t="s">
        <v>113</v>
      </c>
      <c r="B57" s="2" t="s">
        <v>535</v>
      </c>
      <c r="C57" s="2" t="s">
        <v>536</v>
      </c>
      <c r="D57" s="2">
        <v>2024</v>
      </c>
      <c r="E57" s="3">
        <v>45383</v>
      </c>
      <c r="F57" s="2" t="s">
        <v>116</v>
      </c>
      <c r="G57" s="2">
        <v>26</v>
      </c>
      <c r="H57" s="2">
        <v>2</v>
      </c>
      <c r="I57" s="2" t="s">
        <v>537</v>
      </c>
      <c r="J57" s="2" t="s">
        <v>118</v>
      </c>
      <c r="K57" s="2" t="s">
        <v>119</v>
      </c>
      <c r="L57" s="2" t="s">
        <v>29</v>
      </c>
      <c r="M57" s="2" t="s">
        <v>120</v>
      </c>
      <c r="N57" s="2" t="s">
        <v>121</v>
      </c>
      <c r="O57" s="4">
        <v>1315</v>
      </c>
      <c r="P57" s="2" t="s">
        <v>538</v>
      </c>
      <c r="Q57" s="2" t="s">
        <v>33</v>
      </c>
      <c r="R57" s="2" t="s">
        <v>539</v>
      </c>
      <c r="S57" s="2" t="s">
        <v>540</v>
      </c>
      <c r="T57" s="2" t="s">
        <v>541</v>
      </c>
      <c r="U57" s="2" t="s">
        <v>542</v>
      </c>
      <c r="V57" s="2" t="s">
        <v>543</v>
      </c>
    </row>
    <row r="58" spans="1:22" ht="28.8">
      <c r="B58" s="2" t="s">
        <v>544</v>
      </c>
      <c r="C58" s="2" t="s">
        <v>545</v>
      </c>
      <c r="D58" s="2">
        <v>2024</v>
      </c>
      <c r="E58" s="3">
        <v>45292</v>
      </c>
      <c r="F58" s="2" t="s">
        <v>203</v>
      </c>
      <c r="G58" s="2">
        <v>15</v>
      </c>
      <c r="H58" s="2" t="s">
        <v>43</v>
      </c>
      <c r="I58" s="2" t="s">
        <v>43</v>
      </c>
      <c r="J58" s="2" t="s">
        <v>204</v>
      </c>
      <c r="K58" s="2" t="s">
        <v>183</v>
      </c>
      <c r="L58" s="2" t="s">
        <v>29</v>
      </c>
      <c r="M58" s="2" t="s">
        <v>205</v>
      </c>
      <c r="N58" s="2" t="s">
        <v>63</v>
      </c>
      <c r="O58" s="2" t="s">
        <v>206</v>
      </c>
      <c r="P58" s="2" t="s">
        <v>546</v>
      </c>
      <c r="Q58" s="2" t="s">
        <v>33</v>
      </c>
      <c r="R58" s="2" t="s">
        <v>547</v>
      </c>
      <c r="S58" s="2" t="s">
        <v>548</v>
      </c>
      <c r="T58" s="2" t="s">
        <v>549</v>
      </c>
      <c r="U58" s="2" t="s">
        <v>550</v>
      </c>
      <c r="V58" s="2" t="s">
        <v>551</v>
      </c>
    </row>
    <row r="59" spans="1:22" ht="28.8">
      <c r="A59" s="2" t="s">
        <v>276</v>
      </c>
      <c r="B59" s="2" t="s">
        <v>552</v>
      </c>
      <c r="C59" s="2" t="s">
        <v>553</v>
      </c>
      <c r="D59" s="2">
        <v>2025</v>
      </c>
      <c r="E59" s="3">
        <v>45809</v>
      </c>
      <c r="F59" s="2" t="s">
        <v>73</v>
      </c>
      <c r="G59" s="2">
        <v>26</v>
      </c>
      <c r="H59" s="2">
        <v>12</v>
      </c>
      <c r="I59" s="2" t="s">
        <v>43</v>
      </c>
      <c r="J59" s="2" t="s">
        <v>74</v>
      </c>
      <c r="K59" s="2" t="s">
        <v>61</v>
      </c>
      <c r="L59" s="2" t="s">
        <v>29</v>
      </c>
      <c r="M59" s="2" t="s">
        <v>76</v>
      </c>
      <c r="N59" s="2" t="s">
        <v>76</v>
      </c>
      <c r="O59" s="4">
        <v>1316</v>
      </c>
      <c r="P59" s="2" t="s">
        <v>554</v>
      </c>
      <c r="Q59" s="2" t="s">
        <v>49</v>
      </c>
      <c r="R59" s="2" t="s">
        <v>555</v>
      </c>
      <c r="S59" s="2" t="s">
        <v>556</v>
      </c>
      <c r="T59" s="2" t="s">
        <v>557</v>
      </c>
      <c r="U59" s="2" t="s">
        <v>558</v>
      </c>
      <c r="V59" s="2" t="s">
        <v>559</v>
      </c>
    </row>
    <row r="60" spans="1:22" ht="115.2">
      <c r="A60" s="2" t="s">
        <v>560</v>
      </c>
      <c r="B60" s="2" t="s">
        <v>561</v>
      </c>
      <c r="C60" s="2" t="s">
        <v>562</v>
      </c>
      <c r="D60" s="2">
        <v>2024</v>
      </c>
      <c r="E60" s="3">
        <v>45474</v>
      </c>
      <c r="F60" s="2" t="s">
        <v>563</v>
      </c>
      <c r="G60" s="2">
        <v>25</v>
      </c>
      <c r="H60" s="2">
        <v>7</v>
      </c>
      <c r="I60" s="2" t="s">
        <v>564</v>
      </c>
      <c r="J60" s="2" t="s">
        <v>565</v>
      </c>
      <c r="K60" s="2" t="s">
        <v>566</v>
      </c>
      <c r="L60" s="2" t="s">
        <v>29</v>
      </c>
      <c r="M60" s="2" t="s">
        <v>567</v>
      </c>
      <c r="N60" s="2" t="s">
        <v>498</v>
      </c>
      <c r="O60" s="4">
        <v>1028</v>
      </c>
      <c r="P60" s="2" t="s">
        <v>568</v>
      </c>
      <c r="Q60" s="2" t="s">
        <v>33</v>
      </c>
      <c r="R60" s="2" t="s">
        <v>569</v>
      </c>
      <c r="S60" s="2" t="s">
        <v>570</v>
      </c>
      <c r="T60" s="2" t="s">
        <v>571</v>
      </c>
      <c r="U60" s="2" t="s">
        <v>572</v>
      </c>
      <c r="V60" s="2" t="s">
        <v>573</v>
      </c>
    </row>
    <row r="61" spans="1:22">
      <c r="A61" s="2" t="s">
        <v>113</v>
      </c>
      <c r="B61" s="2" t="s">
        <v>574</v>
      </c>
      <c r="C61" s="2" t="s">
        <v>575</v>
      </c>
      <c r="D61" s="2">
        <v>2024</v>
      </c>
      <c r="E61" s="3">
        <v>45597</v>
      </c>
      <c r="F61" s="2" t="s">
        <v>576</v>
      </c>
      <c r="G61" s="2">
        <v>35</v>
      </c>
      <c r="H61" s="2">
        <v>11</v>
      </c>
      <c r="I61" s="2" t="s">
        <v>577</v>
      </c>
      <c r="J61" s="2" t="s">
        <v>578</v>
      </c>
      <c r="K61" s="2" t="s">
        <v>119</v>
      </c>
      <c r="L61" s="2" t="s">
        <v>29</v>
      </c>
      <c r="M61" s="2" t="s">
        <v>579</v>
      </c>
      <c r="N61" s="2" t="s">
        <v>47</v>
      </c>
      <c r="O61" s="4">
        <v>1839</v>
      </c>
      <c r="P61" s="2" t="s">
        <v>580</v>
      </c>
      <c r="Q61" s="2" t="s">
        <v>33</v>
      </c>
      <c r="R61" s="2" t="s">
        <v>581</v>
      </c>
      <c r="S61" s="2" t="s">
        <v>582</v>
      </c>
      <c r="T61" s="2" t="s">
        <v>583</v>
      </c>
      <c r="U61" s="2" t="s">
        <v>584</v>
      </c>
      <c r="V61" s="2" t="s">
        <v>585</v>
      </c>
    </row>
    <row r="62" spans="1:22">
      <c r="A62" s="2" t="s">
        <v>586</v>
      </c>
      <c r="B62" s="2" t="s">
        <v>587</v>
      </c>
      <c r="C62" s="2" t="s">
        <v>588</v>
      </c>
      <c r="D62" s="2">
        <v>2025</v>
      </c>
      <c r="E62" s="3">
        <v>45717</v>
      </c>
      <c r="F62" s="2" t="s">
        <v>59</v>
      </c>
      <c r="G62" s="2">
        <v>17</v>
      </c>
      <c r="H62" s="2">
        <v>6</v>
      </c>
      <c r="I62" s="2" t="s">
        <v>43</v>
      </c>
      <c r="J62" s="2" t="s">
        <v>60</v>
      </c>
      <c r="K62" s="2" t="s">
        <v>61</v>
      </c>
      <c r="L62" s="2" t="s">
        <v>29</v>
      </c>
      <c r="M62" s="2" t="s">
        <v>75</v>
      </c>
      <c r="N62" s="2" t="s">
        <v>234</v>
      </c>
      <c r="O62" s="2" t="s">
        <v>589</v>
      </c>
      <c r="P62" s="2" t="s">
        <v>590</v>
      </c>
      <c r="Q62" s="2" t="s">
        <v>49</v>
      </c>
      <c r="R62" s="2" t="s">
        <v>591</v>
      </c>
      <c r="S62" s="2" t="s">
        <v>79</v>
      </c>
      <c r="T62" s="2" t="s">
        <v>592</v>
      </c>
      <c r="U62" s="2" t="s">
        <v>593</v>
      </c>
      <c r="V62" s="2" t="s">
        <v>594</v>
      </c>
    </row>
    <row r="63" spans="1:22" ht="43.2">
      <c r="B63" s="2" t="s">
        <v>595</v>
      </c>
      <c r="C63" s="2" t="s">
        <v>596</v>
      </c>
      <c r="D63" s="2">
        <v>2024</v>
      </c>
      <c r="E63" s="3">
        <v>45597</v>
      </c>
      <c r="F63" s="2" t="s">
        <v>597</v>
      </c>
      <c r="G63" s="2">
        <v>31</v>
      </c>
      <c r="H63" s="2">
        <v>11</v>
      </c>
      <c r="I63" s="2" t="s">
        <v>598</v>
      </c>
      <c r="J63" s="2" t="s">
        <v>599</v>
      </c>
      <c r="K63" s="2" t="s">
        <v>600</v>
      </c>
      <c r="L63" s="2" t="s">
        <v>29</v>
      </c>
      <c r="M63" s="2" t="s">
        <v>601</v>
      </c>
      <c r="N63" s="2" t="s">
        <v>63</v>
      </c>
      <c r="O63" s="4">
        <v>1139</v>
      </c>
      <c r="P63" s="2" t="s">
        <v>602</v>
      </c>
      <c r="Q63" s="2" t="s">
        <v>33</v>
      </c>
      <c r="R63" s="2" t="s">
        <v>603</v>
      </c>
      <c r="S63" s="2" t="s">
        <v>604</v>
      </c>
      <c r="T63" s="2" t="s">
        <v>605</v>
      </c>
      <c r="U63" s="2" t="s">
        <v>606</v>
      </c>
      <c r="V63" s="2" t="s">
        <v>607</v>
      </c>
    </row>
    <row r="64" spans="1:22">
      <c r="A64" s="2" t="s">
        <v>39</v>
      </c>
      <c r="B64" s="2" t="s">
        <v>608</v>
      </c>
      <c r="C64" s="2" t="s">
        <v>609</v>
      </c>
      <c r="D64" s="2">
        <v>2024</v>
      </c>
      <c r="E64" s="3">
        <v>45336</v>
      </c>
      <c r="F64" s="2" t="s">
        <v>610</v>
      </c>
      <c r="G64" s="2">
        <v>131</v>
      </c>
      <c r="H64" s="2">
        <v>3</v>
      </c>
      <c r="I64" s="2" t="s">
        <v>611</v>
      </c>
      <c r="J64" s="2" t="s">
        <v>612</v>
      </c>
      <c r="K64" s="2" t="s">
        <v>613</v>
      </c>
      <c r="L64" s="2" t="s">
        <v>29</v>
      </c>
      <c r="M64" s="2" t="s">
        <v>614</v>
      </c>
      <c r="N64" s="2" t="s">
        <v>63</v>
      </c>
      <c r="O64" s="2" t="s">
        <v>615</v>
      </c>
      <c r="P64" s="2" t="s">
        <v>616</v>
      </c>
      <c r="Q64" s="2" t="s">
        <v>33</v>
      </c>
      <c r="R64" s="2" t="s">
        <v>617</v>
      </c>
      <c r="S64" s="2" t="s">
        <v>618</v>
      </c>
      <c r="T64" s="2" t="s">
        <v>619</v>
      </c>
      <c r="U64" s="2" t="s">
        <v>620</v>
      </c>
      <c r="V64" s="2" t="s">
        <v>621</v>
      </c>
    </row>
    <row r="65" spans="1:22">
      <c r="A65" s="2" t="s">
        <v>622</v>
      </c>
      <c r="B65" s="2" t="s">
        <v>623</v>
      </c>
      <c r="C65" s="2" t="s">
        <v>624</v>
      </c>
      <c r="D65" s="2">
        <v>2024</v>
      </c>
      <c r="E65" s="3">
        <v>45292</v>
      </c>
      <c r="F65" s="2" t="s">
        <v>625</v>
      </c>
      <c r="G65" s="2">
        <v>11</v>
      </c>
      <c r="H65" s="2">
        <v>2</v>
      </c>
      <c r="I65" s="2" t="s">
        <v>626</v>
      </c>
      <c r="J65" s="2" t="s">
        <v>627</v>
      </c>
      <c r="K65" s="2" t="s">
        <v>628</v>
      </c>
      <c r="L65" s="2" t="s">
        <v>29</v>
      </c>
      <c r="M65" s="2" t="s">
        <v>144</v>
      </c>
      <c r="N65" s="2" t="s">
        <v>134</v>
      </c>
      <c r="O65" s="2" t="s">
        <v>629</v>
      </c>
      <c r="P65" s="2" t="s">
        <v>630</v>
      </c>
      <c r="Q65" s="2" t="s">
        <v>49</v>
      </c>
      <c r="R65" s="2" t="s">
        <v>631</v>
      </c>
      <c r="S65" s="2" t="s">
        <v>632</v>
      </c>
      <c r="T65" s="2" t="s">
        <v>633</v>
      </c>
      <c r="U65" s="2" t="s">
        <v>634</v>
      </c>
      <c r="V65" s="2" t="s">
        <v>80</v>
      </c>
    </row>
    <row r="66" spans="1:22">
      <c r="A66" s="2" t="s">
        <v>635</v>
      </c>
      <c r="B66" s="2" t="s">
        <v>636</v>
      </c>
      <c r="C66" s="2" t="s">
        <v>637</v>
      </c>
      <c r="D66" s="2">
        <v>2024</v>
      </c>
      <c r="E66" s="3">
        <v>45397</v>
      </c>
      <c r="F66" s="2" t="s">
        <v>638</v>
      </c>
      <c r="G66" s="2">
        <v>209</v>
      </c>
      <c r="H66" s="2">
        <v>8</v>
      </c>
      <c r="I66" s="2" t="s">
        <v>639</v>
      </c>
      <c r="J66" s="2" t="s">
        <v>640</v>
      </c>
      <c r="K66" s="2" t="s">
        <v>641</v>
      </c>
      <c r="L66" s="2" t="s">
        <v>29</v>
      </c>
      <c r="M66" s="2" t="s">
        <v>642</v>
      </c>
      <c r="N66" s="2" t="s">
        <v>105</v>
      </c>
      <c r="O66" s="4">
        <v>5076</v>
      </c>
      <c r="P66" s="2" t="s">
        <v>643</v>
      </c>
      <c r="Q66" s="2" t="s">
        <v>644</v>
      </c>
      <c r="R66" s="2" t="s">
        <v>645</v>
      </c>
      <c r="S66" s="2" t="s">
        <v>646</v>
      </c>
      <c r="T66" s="2" t="s">
        <v>647</v>
      </c>
      <c r="U66" s="2" t="s">
        <v>648</v>
      </c>
      <c r="V66" s="2" t="s">
        <v>80</v>
      </c>
    </row>
    <row r="67" spans="1:22" ht="28.8">
      <c r="A67" s="2" t="s">
        <v>276</v>
      </c>
      <c r="B67" s="2" t="s">
        <v>649</v>
      </c>
      <c r="C67" s="2" t="s">
        <v>650</v>
      </c>
      <c r="D67" s="2">
        <v>2024</v>
      </c>
      <c r="E67" s="3">
        <v>45444</v>
      </c>
      <c r="F67" s="2" t="s">
        <v>651</v>
      </c>
      <c r="G67" s="2">
        <v>13</v>
      </c>
      <c r="H67" s="2">
        <v>12</v>
      </c>
      <c r="I67" s="2" t="s">
        <v>43</v>
      </c>
      <c r="J67" s="2" t="s">
        <v>652</v>
      </c>
      <c r="K67" s="2" t="s">
        <v>61</v>
      </c>
      <c r="L67" s="2" t="s">
        <v>29</v>
      </c>
      <c r="M67" s="2" t="s">
        <v>653</v>
      </c>
      <c r="N67" s="2" t="s">
        <v>476</v>
      </c>
      <c r="O67" s="2" t="s">
        <v>654</v>
      </c>
      <c r="P67" s="2" t="s">
        <v>655</v>
      </c>
      <c r="Q67" s="2" t="s">
        <v>49</v>
      </c>
      <c r="R67" s="2" t="s">
        <v>656</v>
      </c>
      <c r="S67" s="2" t="s">
        <v>657</v>
      </c>
      <c r="T67" s="2" t="s">
        <v>658</v>
      </c>
      <c r="U67" s="2" t="s">
        <v>659</v>
      </c>
      <c r="V67" s="2" t="s">
        <v>660</v>
      </c>
    </row>
    <row r="68" spans="1:22">
      <c r="A68" s="2" t="s">
        <v>22</v>
      </c>
      <c r="B68" s="2" t="s">
        <v>661</v>
      </c>
      <c r="C68" s="2" t="s">
        <v>662</v>
      </c>
      <c r="D68" s="2">
        <v>2025</v>
      </c>
      <c r="E68" s="3">
        <v>45658</v>
      </c>
      <c r="F68" s="2" t="s">
        <v>663</v>
      </c>
      <c r="G68" s="2">
        <v>24</v>
      </c>
      <c r="H68" s="2">
        <v>4</v>
      </c>
      <c r="I68" s="2" t="s">
        <v>664</v>
      </c>
      <c r="J68" s="2" t="s">
        <v>665</v>
      </c>
      <c r="K68" s="2" t="s">
        <v>666</v>
      </c>
      <c r="L68" s="2" t="s">
        <v>29</v>
      </c>
      <c r="M68" s="2" t="s">
        <v>667</v>
      </c>
      <c r="N68" s="2" t="s">
        <v>348</v>
      </c>
      <c r="O68" s="2" t="s">
        <v>668</v>
      </c>
      <c r="P68" s="2" t="s">
        <v>669</v>
      </c>
      <c r="Q68" s="2" t="s">
        <v>33</v>
      </c>
      <c r="R68" s="2" t="s">
        <v>670</v>
      </c>
      <c r="S68" s="2" t="s">
        <v>671</v>
      </c>
      <c r="T68" s="2" t="s">
        <v>672</v>
      </c>
      <c r="U68" s="2" t="s">
        <v>673</v>
      </c>
      <c r="V68" s="2" t="s">
        <v>594</v>
      </c>
    </row>
    <row r="69" spans="1:22">
      <c r="A69" s="2" t="s">
        <v>83</v>
      </c>
      <c r="B69" s="2" t="s">
        <v>674</v>
      </c>
      <c r="C69" s="2" t="s">
        <v>675</v>
      </c>
      <c r="D69" s="2">
        <v>2024</v>
      </c>
      <c r="E69" s="3">
        <v>45474</v>
      </c>
      <c r="F69" s="2" t="s">
        <v>676</v>
      </c>
      <c r="G69" s="2">
        <v>176</v>
      </c>
      <c r="H69" s="2" t="s">
        <v>43</v>
      </c>
      <c r="I69" s="2" t="s">
        <v>43</v>
      </c>
      <c r="J69" s="2" t="s">
        <v>677</v>
      </c>
      <c r="K69" s="2" t="s">
        <v>678</v>
      </c>
      <c r="L69" s="2" t="s">
        <v>29</v>
      </c>
      <c r="M69" s="2" t="s">
        <v>679</v>
      </c>
      <c r="N69" s="2" t="s">
        <v>498</v>
      </c>
      <c r="O69" s="4">
        <v>1775</v>
      </c>
      <c r="P69" s="2" t="s">
        <v>680</v>
      </c>
      <c r="Q69" s="2" t="s">
        <v>33</v>
      </c>
      <c r="R69" s="2" t="s">
        <v>681</v>
      </c>
      <c r="S69" s="2" t="s">
        <v>682</v>
      </c>
      <c r="T69" s="2" t="s">
        <v>683</v>
      </c>
      <c r="U69" s="2" t="s">
        <v>684</v>
      </c>
      <c r="V69" s="2" t="s">
        <v>80</v>
      </c>
    </row>
    <row r="70" spans="1:22">
      <c r="A70" s="2" t="s">
        <v>685</v>
      </c>
      <c r="B70" s="2" t="s">
        <v>686</v>
      </c>
      <c r="C70" s="2" t="s">
        <v>687</v>
      </c>
      <c r="D70" s="2">
        <v>2024</v>
      </c>
      <c r="E70" s="3">
        <v>45292</v>
      </c>
      <c r="F70" s="2" t="s">
        <v>268</v>
      </c>
      <c r="G70" s="2">
        <v>13</v>
      </c>
      <c r="H70" s="2">
        <v>1</v>
      </c>
      <c r="I70" s="2" t="s">
        <v>43</v>
      </c>
      <c r="J70" s="2" t="s">
        <v>269</v>
      </c>
      <c r="K70" s="2" t="s">
        <v>61</v>
      </c>
      <c r="L70" s="2" t="s">
        <v>29</v>
      </c>
      <c r="M70" s="2" t="s">
        <v>270</v>
      </c>
      <c r="N70" s="2" t="s">
        <v>47</v>
      </c>
      <c r="O70" s="4">
        <v>1021</v>
      </c>
      <c r="P70" s="2" t="s">
        <v>688</v>
      </c>
      <c r="Q70" s="2" t="s">
        <v>33</v>
      </c>
      <c r="R70" s="2" t="s">
        <v>689</v>
      </c>
      <c r="S70" s="2" t="s">
        <v>690</v>
      </c>
      <c r="T70" s="2" t="s">
        <v>691</v>
      </c>
      <c r="U70" s="2" t="s">
        <v>692</v>
      </c>
      <c r="V70" s="2" t="s">
        <v>693</v>
      </c>
    </row>
    <row r="71" spans="1:22">
      <c r="A71" s="2" t="s">
        <v>694</v>
      </c>
      <c r="B71" s="2" t="s">
        <v>686</v>
      </c>
      <c r="C71" s="2" t="s">
        <v>687</v>
      </c>
      <c r="D71" s="2">
        <v>2024</v>
      </c>
      <c r="E71" s="3">
        <v>45292</v>
      </c>
      <c r="F71" s="2" t="s">
        <v>268</v>
      </c>
      <c r="G71" s="2">
        <v>13</v>
      </c>
      <c r="H71" s="2">
        <v>1</v>
      </c>
      <c r="I71" s="2" t="s">
        <v>43</v>
      </c>
      <c r="J71" s="2" t="s">
        <v>269</v>
      </c>
      <c r="K71" s="2" t="s">
        <v>61</v>
      </c>
      <c r="L71" s="2" t="s">
        <v>29</v>
      </c>
      <c r="M71" s="2" t="s">
        <v>270</v>
      </c>
      <c r="N71" s="2" t="s">
        <v>47</v>
      </c>
      <c r="O71" s="4">
        <v>1021</v>
      </c>
      <c r="P71" s="2" t="s">
        <v>688</v>
      </c>
      <c r="Q71" s="2" t="s">
        <v>33</v>
      </c>
      <c r="R71" s="2" t="s">
        <v>689</v>
      </c>
      <c r="S71" s="2" t="s">
        <v>690</v>
      </c>
      <c r="T71" s="2" t="s">
        <v>691</v>
      </c>
      <c r="U71" s="2" t="s">
        <v>692</v>
      </c>
      <c r="V71" s="2" t="s">
        <v>693</v>
      </c>
    </row>
    <row r="72" spans="1:22">
      <c r="A72" s="2" t="s">
        <v>695</v>
      </c>
      <c r="B72" s="2" t="s">
        <v>686</v>
      </c>
      <c r="C72" s="2" t="s">
        <v>687</v>
      </c>
      <c r="D72" s="2">
        <v>2024</v>
      </c>
      <c r="E72" s="3">
        <v>45292</v>
      </c>
      <c r="F72" s="2" t="s">
        <v>268</v>
      </c>
      <c r="G72" s="2">
        <v>13</v>
      </c>
      <c r="H72" s="2">
        <v>1</v>
      </c>
      <c r="I72" s="2" t="s">
        <v>43</v>
      </c>
      <c r="J72" s="2" t="s">
        <v>269</v>
      </c>
      <c r="K72" s="2" t="s">
        <v>61</v>
      </c>
      <c r="L72" s="2" t="s">
        <v>29</v>
      </c>
      <c r="M72" s="2" t="s">
        <v>270</v>
      </c>
      <c r="N72" s="2" t="s">
        <v>47</v>
      </c>
      <c r="O72" s="4">
        <v>1021</v>
      </c>
      <c r="P72" s="2" t="s">
        <v>688</v>
      </c>
      <c r="Q72" s="2" t="s">
        <v>33</v>
      </c>
      <c r="R72" s="2" t="s">
        <v>689</v>
      </c>
      <c r="S72" s="2" t="s">
        <v>690</v>
      </c>
      <c r="T72" s="2" t="s">
        <v>691</v>
      </c>
      <c r="U72" s="2" t="s">
        <v>692</v>
      </c>
      <c r="V72" s="2" t="s">
        <v>693</v>
      </c>
    </row>
    <row r="73" spans="1:22">
      <c r="A73" s="2" t="s">
        <v>696</v>
      </c>
      <c r="B73" s="2" t="s">
        <v>686</v>
      </c>
      <c r="C73" s="2" t="s">
        <v>687</v>
      </c>
      <c r="D73" s="2">
        <v>2024</v>
      </c>
      <c r="E73" s="3">
        <v>45292</v>
      </c>
      <c r="F73" s="2" t="s">
        <v>268</v>
      </c>
      <c r="G73" s="2">
        <v>13</v>
      </c>
      <c r="H73" s="2">
        <v>1</v>
      </c>
      <c r="I73" s="2" t="s">
        <v>43</v>
      </c>
      <c r="J73" s="2" t="s">
        <v>269</v>
      </c>
      <c r="K73" s="2" t="s">
        <v>61</v>
      </c>
      <c r="L73" s="2" t="s">
        <v>29</v>
      </c>
      <c r="M73" s="2" t="s">
        <v>270</v>
      </c>
      <c r="N73" s="2" t="s">
        <v>47</v>
      </c>
      <c r="O73" s="4">
        <v>1021</v>
      </c>
      <c r="P73" s="2" t="s">
        <v>688</v>
      </c>
      <c r="Q73" s="2" t="s">
        <v>33</v>
      </c>
      <c r="R73" s="2" t="s">
        <v>689</v>
      </c>
      <c r="S73" s="2" t="s">
        <v>690</v>
      </c>
      <c r="T73" s="2" t="s">
        <v>691</v>
      </c>
      <c r="U73" s="2" t="s">
        <v>692</v>
      </c>
      <c r="V73" s="2" t="s">
        <v>693</v>
      </c>
    </row>
    <row r="74" spans="1:22">
      <c r="A74" s="2" t="s">
        <v>697</v>
      </c>
      <c r="B74" s="2" t="s">
        <v>686</v>
      </c>
      <c r="C74" s="2" t="s">
        <v>687</v>
      </c>
      <c r="D74" s="2">
        <v>2024</v>
      </c>
      <c r="E74" s="3">
        <v>45292</v>
      </c>
      <c r="F74" s="2" t="s">
        <v>268</v>
      </c>
      <c r="G74" s="2">
        <v>13</v>
      </c>
      <c r="H74" s="2">
        <v>1</v>
      </c>
      <c r="I74" s="2" t="s">
        <v>43</v>
      </c>
      <c r="J74" s="2" t="s">
        <v>269</v>
      </c>
      <c r="K74" s="2" t="s">
        <v>61</v>
      </c>
      <c r="L74" s="2" t="s">
        <v>29</v>
      </c>
      <c r="M74" s="2" t="s">
        <v>270</v>
      </c>
      <c r="N74" s="2" t="s">
        <v>47</v>
      </c>
      <c r="O74" s="4">
        <v>1021</v>
      </c>
      <c r="P74" s="2" t="s">
        <v>688</v>
      </c>
      <c r="Q74" s="2" t="s">
        <v>33</v>
      </c>
      <c r="R74" s="2" t="s">
        <v>689</v>
      </c>
      <c r="S74" s="2" t="s">
        <v>690</v>
      </c>
      <c r="T74" s="2" t="s">
        <v>691</v>
      </c>
      <c r="U74" s="2" t="s">
        <v>692</v>
      </c>
      <c r="V74" s="2" t="s">
        <v>693</v>
      </c>
    </row>
    <row r="75" spans="1:22">
      <c r="A75" s="2" t="s">
        <v>698</v>
      </c>
      <c r="B75" s="2" t="s">
        <v>686</v>
      </c>
      <c r="C75" s="2" t="s">
        <v>687</v>
      </c>
      <c r="D75" s="2">
        <v>2024</v>
      </c>
      <c r="E75" s="3">
        <v>45292</v>
      </c>
      <c r="F75" s="2" t="s">
        <v>268</v>
      </c>
      <c r="G75" s="2">
        <v>13</v>
      </c>
      <c r="H75" s="2">
        <v>1</v>
      </c>
      <c r="I75" s="2" t="s">
        <v>43</v>
      </c>
      <c r="J75" s="2" t="s">
        <v>269</v>
      </c>
      <c r="K75" s="2" t="s">
        <v>61</v>
      </c>
      <c r="L75" s="2" t="s">
        <v>29</v>
      </c>
      <c r="M75" s="2" t="s">
        <v>270</v>
      </c>
      <c r="N75" s="2" t="s">
        <v>47</v>
      </c>
      <c r="O75" s="4">
        <v>1021</v>
      </c>
      <c r="P75" s="2" t="s">
        <v>688</v>
      </c>
      <c r="Q75" s="2" t="s">
        <v>33</v>
      </c>
      <c r="R75" s="2" t="s">
        <v>689</v>
      </c>
      <c r="S75" s="2" t="s">
        <v>690</v>
      </c>
      <c r="T75" s="2" t="s">
        <v>691</v>
      </c>
      <c r="U75" s="2" t="s">
        <v>692</v>
      </c>
      <c r="V75" s="2" t="s">
        <v>693</v>
      </c>
    </row>
    <row r="76" spans="1:22">
      <c r="A76" s="2" t="s">
        <v>699</v>
      </c>
      <c r="B76" s="2" t="s">
        <v>686</v>
      </c>
      <c r="C76" s="2" t="s">
        <v>687</v>
      </c>
      <c r="D76" s="2">
        <v>2024</v>
      </c>
      <c r="E76" s="3">
        <v>45292</v>
      </c>
      <c r="F76" s="2" t="s">
        <v>268</v>
      </c>
      <c r="G76" s="2">
        <v>13</v>
      </c>
      <c r="H76" s="2">
        <v>1</v>
      </c>
      <c r="I76" s="2" t="s">
        <v>43</v>
      </c>
      <c r="J76" s="2" t="s">
        <v>269</v>
      </c>
      <c r="K76" s="2" t="s">
        <v>61</v>
      </c>
      <c r="L76" s="2" t="s">
        <v>29</v>
      </c>
      <c r="M76" s="2" t="s">
        <v>270</v>
      </c>
      <c r="N76" s="2" t="s">
        <v>47</v>
      </c>
      <c r="O76" s="4">
        <v>1021</v>
      </c>
      <c r="P76" s="2" t="s">
        <v>688</v>
      </c>
      <c r="Q76" s="2" t="s">
        <v>33</v>
      </c>
      <c r="R76" s="2" t="s">
        <v>689</v>
      </c>
      <c r="S76" s="2" t="s">
        <v>690</v>
      </c>
      <c r="T76" s="2" t="s">
        <v>691</v>
      </c>
      <c r="U76" s="2" t="s">
        <v>692</v>
      </c>
      <c r="V76" s="2" t="s">
        <v>693</v>
      </c>
    </row>
    <row r="77" spans="1:22" ht="86.4">
      <c r="A77" s="2" t="s">
        <v>493</v>
      </c>
      <c r="B77" s="2" t="s">
        <v>700</v>
      </c>
      <c r="C77" s="2" t="s">
        <v>701</v>
      </c>
      <c r="D77" s="2">
        <v>2025</v>
      </c>
      <c r="E77" s="3">
        <v>45658</v>
      </c>
      <c r="F77" s="2" t="s">
        <v>702</v>
      </c>
      <c r="G77" s="2">
        <v>97</v>
      </c>
      <c r="H77" s="2">
        <v>1</v>
      </c>
      <c r="I77" s="2" t="s">
        <v>703</v>
      </c>
      <c r="J77" s="2" t="s">
        <v>704</v>
      </c>
      <c r="K77" s="2" t="s">
        <v>119</v>
      </c>
      <c r="L77" s="2" t="s">
        <v>29</v>
      </c>
      <c r="M77" s="2" t="s">
        <v>705</v>
      </c>
      <c r="N77" s="2" t="s">
        <v>31</v>
      </c>
      <c r="O77" s="4">
        <v>3247</v>
      </c>
      <c r="P77" s="2" t="s">
        <v>706</v>
      </c>
      <c r="Q77" s="2" t="s">
        <v>33</v>
      </c>
      <c r="R77" s="2" t="s">
        <v>707</v>
      </c>
      <c r="S77" s="2" t="s">
        <v>708</v>
      </c>
      <c r="T77" s="2" t="s">
        <v>709</v>
      </c>
      <c r="U77" s="2" t="s">
        <v>710</v>
      </c>
      <c r="V77" s="2" t="s">
        <v>711</v>
      </c>
    </row>
    <row r="78" spans="1:22" ht="86.4">
      <c r="A78" s="2" t="s">
        <v>712</v>
      </c>
      <c r="B78" s="2" t="s">
        <v>700</v>
      </c>
      <c r="C78" s="2" t="s">
        <v>701</v>
      </c>
      <c r="D78" s="2">
        <v>2025</v>
      </c>
      <c r="E78" s="3">
        <v>45658</v>
      </c>
      <c r="F78" s="2" t="s">
        <v>702</v>
      </c>
      <c r="G78" s="2">
        <v>97</v>
      </c>
      <c r="H78" s="2">
        <v>1</v>
      </c>
      <c r="I78" s="2" t="s">
        <v>703</v>
      </c>
      <c r="J78" s="2" t="s">
        <v>704</v>
      </c>
      <c r="K78" s="2" t="s">
        <v>119</v>
      </c>
      <c r="L78" s="2" t="s">
        <v>29</v>
      </c>
      <c r="M78" s="2" t="s">
        <v>705</v>
      </c>
      <c r="N78" s="2" t="s">
        <v>31</v>
      </c>
      <c r="O78" s="4">
        <v>3247</v>
      </c>
      <c r="P78" s="2" t="s">
        <v>706</v>
      </c>
      <c r="Q78" s="2" t="s">
        <v>33</v>
      </c>
      <c r="R78" s="2" t="s">
        <v>707</v>
      </c>
      <c r="S78" s="2" t="s">
        <v>708</v>
      </c>
      <c r="T78" s="2" t="s">
        <v>709</v>
      </c>
      <c r="U78" s="2" t="s">
        <v>710</v>
      </c>
      <c r="V78" s="2" t="s">
        <v>711</v>
      </c>
    </row>
    <row r="79" spans="1:22">
      <c r="A79" s="2" t="s">
        <v>433</v>
      </c>
      <c r="B79" s="2" t="s">
        <v>713</v>
      </c>
      <c r="C79" s="2" t="s">
        <v>714</v>
      </c>
      <c r="D79" s="2">
        <v>2024</v>
      </c>
      <c r="E79" s="3">
        <v>45352</v>
      </c>
      <c r="F79" s="2" t="s">
        <v>715</v>
      </c>
      <c r="G79" s="2">
        <v>28</v>
      </c>
      <c r="H79" s="2">
        <v>1</v>
      </c>
      <c r="I79" s="2" t="s">
        <v>716</v>
      </c>
      <c r="J79" s="2" t="s">
        <v>717</v>
      </c>
      <c r="K79" s="2" t="s">
        <v>718</v>
      </c>
      <c r="L79" s="2" t="s">
        <v>29</v>
      </c>
      <c r="M79" s="2" t="s">
        <v>719</v>
      </c>
      <c r="N79" s="2" t="s">
        <v>63</v>
      </c>
      <c r="O79" s="2" t="s">
        <v>720</v>
      </c>
      <c r="P79" s="2" t="s">
        <v>721</v>
      </c>
      <c r="Q79" s="2" t="s">
        <v>33</v>
      </c>
      <c r="R79" s="2" t="s">
        <v>722</v>
      </c>
      <c r="S79" s="2" t="s">
        <v>723</v>
      </c>
      <c r="T79" s="2" t="s">
        <v>724</v>
      </c>
      <c r="U79" s="2" t="s">
        <v>725</v>
      </c>
      <c r="V79" s="2" t="s">
        <v>726</v>
      </c>
    </row>
    <row r="80" spans="1:22">
      <c r="A80" s="2" t="s">
        <v>727</v>
      </c>
      <c r="B80" s="2" t="s">
        <v>713</v>
      </c>
      <c r="C80" s="2" t="s">
        <v>714</v>
      </c>
      <c r="D80" s="2">
        <v>2024</v>
      </c>
      <c r="E80" s="3">
        <v>45352</v>
      </c>
      <c r="F80" s="2" t="s">
        <v>715</v>
      </c>
      <c r="G80" s="2">
        <v>28</v>
      </c>
      <c r="H80" s="2">
        <v>1</v>
      </c>
      <c r="I80" s="2" t="s">
        <v>716</v>
      </c>
      <c r="J80" s="2" t="s">
        <v>717</v>
      </c>
      <c r="K80" s="2" t="s">
        <v>718</v>
      </c>
      <c r="L80" s="2" t="s">
        <v>29</v>
      </c>
      <c r="M80" s="2" t="s">
        <v>719</v>
      </c>
      <c r="N80" s="2" t="s">
        <v>63</v>
      </c>
      <c r="O80" s="2" t="s">
        <v>720</v>
      </c>
      <c r="P80" s="2" t="s">
        <v>721</v>
      </c>
      <c r="Q80" s="2" t="s">
        <v>33</v>
      </c>
      <c r="R80" s="2" t="s">
        <v>722</v>
      </c>
      <c r="S80" s="2" t="s">
        <v>723</v>
      </c>
      <c r="T80" s="2" t="s">
        <v>724</v>
      </c>
      <c r="U80" s="2" t="s">
        <v>725</v>
      </c>
      <c r="V80" s="2" t="s">
        <v>726</v>
      </c>
    </row>
    <row r="81" spans="1:22">
      <c r="A81" s="2" t="s">
        <v>728</v>
      </c>
      <c r="B81" s="2" t="s">
        <v>713</v>
      </c>
      <c r="C81" s="2" t="s">
        <v>714</v>
      </c>
      <c r="D81" s="2">
        <v>2024</v>
      </c>
      <c r="E81" s="3">
        <v>45352</v>
      </c>
      <c r="F81" s="2" t="s">
        <v>715</v>
      </c>
      <c r="G81" s="2">
        <v>28</v>
      </c>
      <c r="H81" s="2">
        <v>1</v>
      </c>
      <c r="I81" s="2" t="s">
        <v>716</v>
      </c>
      <c r="J81" s="2" t="s">
        <v>717</v>
      </c>
      <c r="K81" s="2" t="s">
        <v>718</v>
      </c>
      <c r="L81" s="2" t="s">
        <v>29</v>
      </c>
      <c r="M81" s="2" t="s">
        <v>719</v>
      </c>
      <c r="N81" s="2" t="s">
        <v>63</v>
      </c>
      <c r="O81" s="2" t="s">
        <v>720</v>
      </c>
      <c r="P81" s="2" t="s">
        <v>721</v>
      </c>
      <c r="Q81" s="2" t="s">
        <v>33</v>
      </c>
      <c r="R81" s="2" t="s">
        <v>722</v>
      </c>
      <c r="S81" s="2" t="s">
        <v>723</v>
      </c>
      <c r="T81" s="2" t="s">
        <v>724</v>
      </c>
      <c r="U81" s="2" t="s">
        <v>725</v>
      </c>
      <c r="V81" s="2" t="s">
        <v>726</v>
      </c>
    </row>
    <row r="82" spans="1:22">
      <c r="A82" s="2" t="s">
        <v>164</v>
      </c>
      <c r="B82" s="2" t="s">
        <v>729</v>
      </c>
      <c r="C82" s="2" t="s">
        <v>730</v>
      </c>
      <c r="D82" s="2">
        <v>2024</v>
      </c>
      <c r="E82" s="3">
        <v>45566</v>
      </c>
      <c r="F82" s="2" t="s">
        <v>731</v>
      </c>
      <c r="G82" s="2">
        <v>223</v>
      </c>
      <c r="H82" s="2" t="s">
        <v>43</v>
      </c>
      <c r="I82" s="2" t="s">
        <v>732</v>
      </c>
      <c r="J82" s="2" t="s">
        <v>733</v>
      </c>
      <c r="K82" s="2" t="s">
        <v>734</v>
      </c>
      <c r="L82" s="2" t="s">
        <v>29</v>
      </c>
      <c r="M82" s="2" t="s">
        <v>735</v>
      </c>
      <c r="N82" s="2" t="s">
        <v>121</v>
      </c>
      <c r="O82" s="4">
        <v>2065</v>
      </c>
      <c r="P82" s="2" t="s">
        <v>736</v>
      </c>
      <c r="Q82" s="2" t="s">
        <v>49</v>
      </c>
      <c r="R82" s="2" t="s">
        <v>737</v>
      </c>
      <c r="S82" s="2" t="s">
        <v>738</v>
      </c>
      <c r="T82" s="2" t="s">
        <v>739</v>
      </c>
      <c r="U82" s="2" t="s">
        <v>740</v>
      </c>
      <c r="V82" s="2" t="s">
        <v>177</v>
      </c>
    </row>
    <row r="83" spans="1:22">
      <c r="A83" s="2" t="s">
        <v>22</v>
      </c>
      <c r="B83" s="2" t="s">
        <v>741</v>
      </c>
      <c r="C83" s="2" t="s">
        <v>742</v>
      </c>
      <c r="D83" s="2">
        <v>2024</v>
      </c>
      <c r="E83" s="3">
        <v>45292</v>
      </c>
      <c r="F83" s="2" t="s">
        <v>743</v>
      </c>
      <c r="G83" s="2">
        <v>15</v>
      </c>
      <c r="H83" s="2" t="s">
        <v>43</v>
      </c>
      <c r="I83" s="2" t="s">
        <v>43</v>
      </c>
      <c r="J83" s="2" t="s">
        <v>744</v>
      </c>
      <c r="K83" s="2" t="s">
        <v>183</v>
      </c>
      <c r="L83" s="2" t="s">
        <v>29</v>
      </c>
      <c r="M83" s="2" t="s">
        <v>745</v>
      </c>
      <c r="N83" s="2" t="s">
        <v>331</v>
      </c>
      <c r="O83" s="4">
        <v>1023</v>
      </c>
      <c r="P83" s="2" t="s">
        <v>746</v>
      </c>
      <c r="Q83" s="2" t="s">
        <v>33</v>
      </c>
      <c r="R83" s="2" t="s">
        <v>747</v>
      </c>
      <c r="S83" s="2" t="s">
        <v>748</v>
      </c>
      <c r="T83" s="2" t="s">
        <v>749</v>
      </c>
      <c r="U83" s="2" t="s">
        <v>750</v>
      </c>
      <c r="V83" s="2" t="s">
        <v>751</v>
      </c>
    </row>
    <row r="84" spans="1:22">
      <c r="A84" s="2" t="s">
        <v>128</v>
      </c>
      <c r="B84" s="2" t="s">
        <v>752</v>
      </c>
      <c r="C84" s="2" t="s">
        <v>130</v>
      </c>
      <c r="D84" s="2">
        <v>2024</v>
      </c>
      <c r="E84" s="3">
        <v>45292</v>
      </c>
      <c r="F84" s="2" t="s">
        <v>192</v>
      </c>
      <c r="G84" s="2">
        <v>11</v>
      </c>
      <c r="H84" s="2">
        <v>1</v>
      </c>
      <c r="I84" s="2" t="s">
        <v>43</v>
      </c>
      <c r="J84" s="2" t="s">
        <v>193</v>
      </c>
      <c r="K84" s="2" t="s">
        <v>194</v>
      </c>
      <c r="L84" s="2" t="s">
        <v>29</v>
      </c>
      <c r="M84" s="2" t="s">
        <v>195</v>
      </c>
      <c r="N84" s="2" t="s">
        <v>196</v>
      </c>
      <c r="O84" s="2" t="s">
        <v>197</v>
      </c>
      <c r="P84" s="2" t="s">
        <v>753</v>
      </c>
      <c r="Q84" s="2" t="s">
        <v>49</v>
      </c>
      <c r="R84" s="2" t="s">
        <v>754</v>
      </c>
      <c r="S84" s="2" t="s">
        <v>138</v>
      </c>
      <c r="T84" s="2" t="s">
        <v>139</v>
      </c>
      <c r="U84" s="2" t="s">
        <v>140</v>
      </c>
      <c r="V84" s="2" t="s">
        <v>141</v>
      </c>
    </row>
    <row r="85" spans="1:22">
      <c r="A85" s="2" t="s">
        <v>755</v>
      </c>
      <c r="B85" s="2" t="s">
        <v>756</v>
      </c>
      <c r="C85" s="2" t="s">
        <v>757</v>
      </c>
      <c r="D85" s="2">
        <v>2025</v>
      </c>
      <c r="E85" s="3">
        <v>45992</v>
      </c>
      <c r="F85" s="2" t="s">
        <v>758</v>
      </c>
      <c r="G85" s="2">
        <v>11</v>
      </c>
      <c r="H85" s="2">
        <v>1</v>
      </c>
      <c r="I85" s="2" t="s">
        <v>43</v>
      </c>
      <c r="J85" s="2" t="s">
        <v>759</v>
      </c>
      <c r="K85" s="2" t="s">
        <v>220</v>
      </c>
      <c r="L85" s="2" t="s">
        <v>29</v>
      </c>
      <c r="M85" s="2" t="s">
        <v>760</v>
      </c>
      <c r="N85" s="2" t="s">
        <v>76</v>
      </c>
      <c r="O85" s="4">
        <v>3126</v>
      </c>
      <c r="P85" s="2" t="s">
        <v>761</v>
      </c>
      <c r="Q85" s="2" t="s">
        <v>33</v>
      </c>
      <c r="R85" s="2" t="s">
        <v>762</v>
      </c>
      <c r="S85" s="2" t="s">
        <v>763</v>
      </c>
      <c r="T85" s="2" t="s">
        <v>764</v>
      </c>
      <c r="U85" s="2" t="s">
        <v>765</v>
      </c>
      <c r="V85" s="2" t="s">
        <v>766</v>
      </c>
    </row>
    <row r="86" spans="1:22" ht="43.2">
      <c r="A86" s="2" t="s">
        <v>635</v>
      </c>
      <c r="B86" s="2" t="s">
        <v>767</v>
      </c>
      <c r="C86" s="2" t="s">
        <v>768</v>
      </c>
      <c r="D86" s="2">
        <v>2024</v>
      </c>
      <c r="E86" s="3">
        <v>45292</v>
      </c>
      <c r="F86" s="2" t="s">
        <v>769</v>
      </c>
      <c r="G86" s="2">
        <v>48</v>
      </c>
      <c r="H86" s="2">
        <v>1</v>
      </c>
      <c r="I86" s="2" t="s">
        <v>770</v>
      </c>
      <c r="J86" s="2" t="s">
        <v>771</v>
      </c>
      <c r="K86" s="2" t="s">
        <v>772</v>
      </c>
      <c r="L86" s="2" t="s">
        <v>773</v>
      </c>
      <c r="M86" s="2" t="s">
        <v>774</v>
      </c>
      <c r="N86" s="2" t="s">
        <v>775</v>
      </c>
      <c r="O86" s="2" t="s">
        <v>776</v>
      </c>
      <c r="P86" s="2" t="s">
        <v>777</v>
      </c>
      <c r="Q86" s="2" t="s">
        <v>33</v>
      </c>
      <c r="R86" s="2" t="s">
        <v>778</v>
      </c>
      <c r="S86" s="2" t="s">
        <v>779</v>
      </c>
      <c r="T86" s="2" t="s">
        <v>780</v>
      </c>
      <c r="U86" s="2" t="s">
        <v>781</v>
      </c>
      <c r="V86" s="2" t="s">
        <v>782</v>
      </c>
    </row>
    <row r="87" spans="1:22">
      <c r="A87" s="2" t="s">
        <v>422</v>
      </c>
      <c r="B87" s="2" t="s">
        <v>783</v>
      </c>
      <c r="C87" s="2" t="s">
        <v>784</v>
      </c>
      <c r="D87" s="2">
        <v>2025</v>
      </c>
      <c r="E87" s="3">
        <v>45717</v>
      </c>
      <c r="F87" s="2" t="s">
        <v>73</v>
      </c>
      <c r="G87" s="2">
        <v>26</v>
      </c>
      <c r="H87" s="2">
        <v>5</v>
      </c>
      <c r="I87" s="2" t="s">
        <v>43</v>
      </c>
      <c r="J87" s="2" t="s">
        <v>74</v>
      </c>
      <c r="K87" s="2" t="s">
        <v>61</v>
      </c>
      <c r="L87" s="2" t="s">
        <v>29</v>
      </c>
      <c r="M87" s="2" t="s">
        <v>76</v>
      </c>
      <c r="N87" s="2" t="s">
        <v>76</v>
      </c>
      <c r="O87" s="4">
        <v>1316</v>
      </c>
      <c r="P87" s="2" t="s">
        <v>785</v>
      </c>
      <c r="Q87" s="2" t="s">
        <v>49</v>
      </c>
      <c r="R87" s="2" t="s">
        <v>786</v>
      </c>
      <c r="S87" s="2" t="s">
        <v>787</v>
      </c>
      <c r="T87" s="2" t="s">
        <v>788</v>
      </c>
      <c r="U87" s="2" t="s">
        <v>787</v>
      </c>
      <c r="V87" s="2" t="s">
        <v>80</v>
      </c>
    </row>
    <row r="88" spans="1:22">
      <c r="A88" s="2" t="s">
        <v>789</v>
      </c>
      <c r="B88" s="2" t="s">
        <v>783</v>
      </c>
      <c r="C88" s="2" t="s">
        <v>784</v>
      </c>
      <c r="D88" s="2">
        <v>2025</v>
      </c>
      <c r="E88" s="3">
        <v>45717</v>
      </c>
      <c r="F88" s="2" t="s">
        <v>73</v>
      </c>
      <c r="G88" s="2">
        <v>26</v>
      </c>
      <c r="H88" s="2">
        <v>5</v>
      </c>
      <c r="I88" s="2" t="s">
        <v>43</v>
      </c>
      <c r="J88" s="2" t="s">
        <v>74</v>
      </c>
      <c r="K88" s="2" t="s">
        <v>61</v>
      </c>
      <c r="L88" s="2" t="s">
        <v>29</v>
      </c>
      <c r="M88" s="2" t="s">
        <v>76</v>
      </c>
      <c r="N88" s="2" t="s">
        <v>76</v>
      </c>
      <c r="O88" s="4">
        <v>1316</v>
      </c>
      <c r="P88" s="2" t="s">
        <v>785</v>
      </c>
      <c r="Q88" s="2" t="s">
        <v>49</v>
      </c>
      <c r="R88" s="2" t="s">
        <v>786</v>
      </c>
      <c r="S88" s="2" t="s">
        <v>787</v>
      </c>
      <c r="T88" s="2" t="s">
        <v>788</v>
      </c>
      <c r="U88" s="2" t="s">
        <v>787</v>
      </c>
      <c r="V88" s="2" t="s">
        <v>80</v>
      </c>
    </row>
    <row r="89" spans="1:22">
      <c r="A89" s="2" t="s">
        <v>790</v>
      </c>
      <c r="B89" s="2" t="s">
        <v>791</v>
      </c>
      <c r="C89" s="2" t="s">
        <v>792</v>
      </c>
      <c r="D89" s="2">
        <v>2024</v>
      </c>
      <c r="E89" s="3">
        <v>45536</v>
      </c>
      <c r="F89" s="2" t="s">
        <v>793</v>
      </c>
      <c r="G89" s="2">
        <v>28</v>
      </c>
      <c r="H89" s="2">
        <v>4</v>
      </c>
      <c r="I89" s="2" t="s">
        <v>794</v>
      </c>
      <c r="J89" s="2" t="s">
        <v>795</v>
      </c>
      <c r="K89" s="2" t="s">
        <v>796</v>
      </c>
      <c r="L89" s="2" t="s">
        <v>29</v>
      </c>
      <c r="M89" s="2" t="s">
        <v>745</v>
      </c>
      <c r="N89" s="2" t="s">
        <v>247</v>
      </c>
      <c r="O89" s="4">
        <v>1067</v>
      </c>
      <c r="P89" s="2" t="s">
        <v>797</v>
      </c>
      <c r="Q89" s="2" t="s">
        <v>33</v>
      </c>
      <c r="R89" s="2" t="s">
        <v>798</v>
      </c>
      <c r="S89" s="2" t="s">
        <v>799</v>
      </c>
      <c r="T89" s="2" t="s">
        <v>800</v>
      </c>
      <c r="U89" s="2" t="s">
        <v>801</v>
      </c>
      <c r="V89" s="2" t="s">
        <v>802</v>
      </c>
    </row>
    <row r="90" spans="1:22">
      <c r="A90" s="2" t="s">
        <v>128</v>
      </c>
      <c r="B90" s="2" t="s">
        <v>803</v>
      </c>
      <c r="C90" s="2" t="s">
        <v>130</v>
      </c>
      <c r="D90" s="2">
        <v>2025</v>
      </c>
      <c r="E90" s="3">
        <v>45717</v>
      </c>
      <c r="F90" s="2" t="s">
        <v>804</v>
      </c>
      <c r="G90" s="2">
        <v>107</v>
      </c>
      <c r="H90" s="2">
        <v>3</v>
      </c>
      <c r="I90" s="2" t="s">
        <v>805</v>
      </c>
      <c r="J90" s="2" t="s">
        <v>806</v>
      </c>
      <c r="K90" s="2" t="s">
        <v>718</v>
      </c>
      <c r="L90" s="2" t="s">
        <v>29</v>
      </c>
      <c r="M90" s="2" t="s">
        <v>719</v>
      </c>
      <c r="N90" s="2" t="s">
        <v>807</v>
      </c>
      <c r="O90" s="2" t="s">
        <v>808</v>
      </c>
      <c r="P90" s="2" t="s">
        <v>809</v>
      </c>
      <c r="Q90" s="2" t="s">
        <v>33</v>
      </c>
      <c r="R90" s="2" t="s">
        <v>810</v>
      </c>
      <c r="S90" s="2" t="s">
        <v>138</v>
      </c>
      <c r="T90" s="2" t="s">
        <v>149</v>
      </c>
      <c r="U90" s="2" t="s">
        <v>150</v>
      </c>
      <c r="V90" s="2" t="s">
        <v>141</v>
      </c>
    </row>
    <row r="91" spans="1:22">
      <c r="A91" s="2" t="s">
        <v>811</v>
      </c>
      <c r="B91" s="2" t="s">
        <v>812</v>
      </c>
      <c r="C91" s="2" t="s">
        <v>813</v>
      </c>
      <c r="D91" s="2">
        <v>2024</v>
      </c>
      <c r="E91" s="3">
        <v>45323</v>
      </c>
      <c r="F91" s="2" t="s">
        <v>814</v>
      </c>
      <c r="G91" s="2">
        <v>84</v>
      </c>
      <c r="H91" s="2" t="s">
        <v>43</v>
      </c>
      <c r="I91" s="2" t="s">
        <v>43</v>
      </c>
      <c r="J91" s="2" t="s">
        <v>815</v>
      </c>
      <c r="K91" s="2" t="s">
        <v>103</v>
      </c>
      <c r="L91" s="2" t="s">
        <v>29</v>
      </c>
      <c r="M91" s="2" t="s">
        <v>816</v>
      </c>
      <c r="N91" s="2" t="s">
        <v>31</v>
      </c>
      <c r="O91" s="4">
        <v>3246</v>
      </c>
      <c r="P91" s="2" t="s">
        <v>817</v>
      </c>
      <c r="Q91" s="2" t="s">
        <v>33</v>
      </c>
      <c r="R91" s="2" t="s">
        <v>818</v>
      </c>
      <c r="S91" s="2" t="s">
        <v>819</v>
      </c>
      <c r="T91" s="2" t="s">
        <v>820</v>
      </c>
      <c r="U91" s="2" t="s">
        <v>821</v>
      </c>
      <c r="V91" s="2" t="s">
        <v>80</v>
      </c>
    </row>
    <row r="92" spans="1:22" ht="28.8">
      <c r="A92" s="2" t="s">
        <v>822</v>
      </c>
      <c r="B92" s="2" t="s">
        <v>823</v>
      </c>
      <c r="C92" s="2" t="s">
        <v>824</v>
      </c>
      <c r="D92" s="2">
        <v>2024</v>
      </c>
      <c r="E92" s="3">
        <v>45444</v>
      </c>
      <c r="F92" s="2" t="s">
        <v>825</v>
      </c>
      <c r="G92" s="2">
        <v>36</v>
      </c>
      <c r="H92" s="2" t="s">
        <v>43</v>
      </c>
      <c r="I92" s="2" t="s">
        <v>43</v>
      </c>
      <c r="J92" s="2" t="s">
        <v>826</v>
      </c>
      <c r="K92" s="2" t="s">
        <v>103</v>
      </c>
      <c r="L92" s="2" t="s">
        <v>29</v>
      </c>
      <c r="M92" s="2" t="s">
        <v>745</v>
      </c>
      <c r="N92" s="2" t="s">
        <v>827</v>
      </c>
      <c r="O92" s="4">
        <v>1336</v>
      </c>
      <c r="P92" s="2" t="s">
        <v>828</v>
      </c>
      <c r="Q92" s="2" t="s">
        <v>33</v>
      </c>
      <c r="R92" s="2" t="s">
        <v>829</v>
      </c>
      <c r="S92" s="2" t="s">
        <v>830</v>
      </c>
      <c r="T92" s="2" t="s">
        <v>831</v>
      </c>
      <c r="U92" s="2" t="s">
        <v>832</v>
      </c>
      <c r="V92" s="2" t="s">
        <v>833</v>
      </c>
    </row>
    <row r="93" spans="1:22">
      <c r="A93" s="2" t="s">
        <v>834</v>
      </c>
      <c r="B93" s="2" t="s">
        <v>835</v>
      </c>
      <c r="C93" s="2" t="s">
        <v>836</v>
      </c>
      <c r="D93" s="2">
        <v>2024</v>
      </c>
      <c r="E93" s="3">
        <v>45474</v>
      </c>
      <c r="F93" s="2" t="s">
        <v>837</v>
      </c>
      <c r="G93" s="2">
        <v>40</v>
      </c>
      <c r="H93" s="2">
        <v>4</v>
      </c>
      <c r="I93" s="2" t="s">
        <v>43</v>
      </c>
      <c r="J93" s="2" t="s">
        <v>838</v>
      </c>
      <c r="K93" s="2" t="s">
        <v>119</v>
      </c>
      <c r="L93" s="2" t="s">
        <v>29</v>
      </c>
      <c r="M93" s="2" t="s">
        <v>839</v>
      </c>
      <c r="N93" s="2" t="s">
        <v>840</v>
      </c>
      <c r="O93" s="2" t="s">
        <v>841</v>
      </c>
      <c r="P93" s="2" t="s">
        <v>842</v>
      </c>
      <c r="Q93" s="2" t="s">
        <v>49</v>
      </c>
      <c r="R93" s="2" t="s">
        <v>843</v>
      </c>
      <c r="S93" s="2" t="s">
        <v>844</v>
      </c>
      <c r="T93" s="2" t="s">
        <v>845</v>
      </c>
      <c r="U93" s="2" t="s">
        <v>846</v>
      </c>
      <c r="V93" s="2" t="s">
        <v>80</v>
      </c>
    </row>
    <row r="94" spans="1:22">
      <c r="A94" s="2" t="s">
        <v>276</v>
      </c>
      <c r="B94" s="2" t="s">
        <v>847</v>
      </c>
      <c r="C94" s="2" t="s">
        <v>848</v>
      </c>
      <c r="D94" s="2">
        <v>2024</v>
      </c>
      <c r="E94" s="3">
        <v>45474</v>
      </c>
      <c r="F94" s="2" t="s">
        <v>849</v>
      </c>
      <c r="G94" s="2">
        <v>46</v>
      </c>
      <c r="H94" s="2">
        <v>7</v>
      </c>
      <c r="I94" s="2" t="s">
        <v>850</v>
      </c>
      <c r="J94" s="2" t="s">
        <v>851</v>
      </c>
      <c r="K94" s="2" t="s">
        <v>852</v>
      </c>
      <c r="L94" s="2" t="s">
        <v>29</v>
      </c>
      <c r="M94" s="2" t="s">
        <v>853</v>
      </c>
      <c r="N94" s="2" t="s">
        <v>854</v>
      </c>
      <c r="O94" s="2" t="s">
        <v>855</v>
      </c>
      <c r="P94" s="2" t="s">
        <v>856</v>
      </c>
      <c r="Q94" s="2" t="s">
        <v>49</v>
      </c>
      <c r="R94" s="2" t="s">
        <v>857</v>
      </c>
      <c r="S94" s="2" t="s">
        <v>858</v>
      </c>
      <c r="T94" s="2" t="s">
        <v>859</v>
      </c>
      <c r="U94" s="2" t="s">
        <v>860</v>
      </c>
      <c r="V94" s="2" t="s">
        <v>253</v>
      </c>
    </row>
    <row r="95" spans="1:22">
      <c r="A95" s="2" t="s">
        <v>861</v>
      </c>
      <c r="B95" s="2" t="s">
        <v>847</v>
      </c>
      <c r="C95" s="2" t="s">
        <v>848</v>
      </c>
      <c r="D95" s="2">
        <v>2024</v>
      </c>
      <c r="E95" s="3">
        <v>45474</v>
      </c>
      <c r="F95" s="2" t="s">
        <v>849</v>
      </c>
      <c r="G95" s="2">
        <v>46</v>
      </c>
      <c r="H95" s="2">
        <v>7</v>
      </c>
      <c r="I95" s="2" t="s">
        <v>850</v>
      </c>
      <c r="J95" s="2" t="s">
        <v>851</v>
      </c>
      <c r="K95" s="2" t="s">
        <v>852</v>
      </c>
      <c r="L95" s="2" t="s">
        <v>29</v>
      </c>
      <c r="M95" s="2" t="s">
        <v>853</v>
      </c>
      <c r="N95" s="2" t="s">
        <v>854</v>
      </c>
      <c r="O95" s="2" t="s">
        <v>855</v>
      </c>
      <c r="P95" s="2" t="s">
        <v>856</v>
      </c>
      <c r="Q95" s="2" t="s">
        <v>49</v>
      </c>
      <c r="R95" s="2" t="s">
        <v>857</v>
      </c>
      <c r="S95" s="2" t="s">
        <v>858</v>
      </c>
      <c r="T95" s="2" t="s">
        <v>859</v>
      </c>
      <c r="U95" s="2" t="s">
        <v>860</v>
      </c>
      <c r="V95" s="2" t="s">
        <v>253</v>
      </c>
    </row>
    <row r="96" spans="1:22">
      <c r="A96" s="2" t="s">
        <v>862</v>
      </c>
      <c r="B96" s="2" t="s">
        <v>847</v>
      </c>
      <c r="C96" s="2" t="s">
        <v>848</v>
      </c>
      <c r="D96" s="2">
        <v>2024</v>
      </c>
      <c r="E96" s="3">
        <v>45474</v>
      </c>
      <c r="F96" s="2" t="s">
        <v>849</v>
      </c>
      <c r="G96" s="2">
        <v>46</v>
      </c>
      <c r="H96" s="2">
        <v>7</v>
      </c>
      <c r="I96" s="2" t="s">
        <v>850</v>
      </c>
      <c r="J96" s="2" t="s">
        <v>851</v>
      </c>
      <c r="K96" s="2" t="s">
        <v>852</v>
      </c>
      <c r="L96" s="2" t="s">
        <v>29</v>
      </c>
      <c r="M96" s="2" t="s">
        <v>853</v>
      </c>
      <c r="N96" s="2" t="s">
        <v>854</v>
      </c>
      <c r="O96" s="2" t="s">
        <v>855</v>
      </c>
      <c r="P96" s="2" t="s">
        <v>856</v>
      </c>
      <c r="Q96" s="2" t="s">
        <v>49</v>
      </c>
      <c r="R96" s="2" t="s">
        <v>857</v>
      </c>
      <c r="S96" s="2" t="s">
        <v>858</v>
      </c>
      <c r="T96" s="2" t="s">
        <v>859</v>
      </c>
      <c r="U96" s="2" t="s">
        <v>860</v>
      </c>
      <c r="V96" s="2" t="s">
        <v>253</v>
      </c>
    </row>
    <row r="97" spans="1:22">
      <c r="A97" s="2" t="s">
        <v>863</v>
      </c>
      <c r="B97" s="2" t="s">
        <v>847</v>
      </c>
      <c r="C97" s="2" t="s">
        <v>848</v>
      </c>
      <c r="D97" s="2">
        <v>2024</v>
      </c>
      <c r="E97" s="3">
        <v>45474</v>
      </c>
      <c r="F97" s="2" t="s">
        <v>849</v>
      </c>
      <c r="G97" s="2">
        <v>46</v>
      </c>
      <c r="H97" s="2">
        <v>7</v>
      </c>
      <c r="I97" s="2" t="s">
        <v>850</v>
      </c>
      <c r="J97" s="2" t="s">
        <v>851</v>
      </c>
      <c r="K97" s="2" t="s">
        <v>852</v>
      </c>
      <c r="L97" s="2" t="s">
        <v>29</v>
      </c>
      <c r="M97" s="2" t="s">
        <v>853</v>
      </c>
      <c r="N97" s="2" t="s">
        <v>854</v>
      </c>
      <c r="O97" s="2" t="s">
        <v>855</v>
      </c>
      <c r="P97" s="2" t="s">
        <v>856</v>
      </c>
      <c r="Q97" s="2" t="s">
        <v>49</v>
      </c>
      <c r="R97" s="2" t="s">
        <v>857</v>
      </c>
      <c r="S97" s="2" t="s">
        <v>858</v>
      </c>
      <c r="T97" s="2" t="s">
        <v>859</v>
      </c>
      <c r="U97" s="2" t="s">
        <v>860</v>
      </c>
      <c r="V97" s="2" t="s">
        <v>253</v>
      </c>
    </row>
    <row r="98" spans="1:22">
      <c r="A98" s="2" t="s">
        <v>864</v>
      </c>
      <c r="B98" s="2" t="s">
        <v>865</v>
      </c>
      <c r="C98" s="2" t="s">
        <v>866</v>
      </c>
      <c r="D98" s="2">
        <v>2024</v>
      </c>
      <c r="E98" s="3">
        <v>45292</v>
      </c>
      <c r="F98" s="2" t="s">
        <v>867</v>
      </c>
      <c r="G98" s="2">
        <v>44</v>
      </c>
      <c r="H98" s="2">
        <v>2</v>
      </c>
      <c r="I98" s="2" t="s">
        <v>868</v>
      </c>
      <c r="J98" s="2" t="s">
        <v>869</v>
      </c>
      <c r="K98" s="2" t="s">
        <v>666</v>
      </c>
      <c r="L98" s="2" t="s">
        <v>29</v>
      </c>
      <c r="M98" s="2" t="s">
        <v>870</v>
      </c>
      <c r="N98" s="2" t="s">
        <v>348</v>
      </c>
      <c r="O98" s="2" t="s">
        <v>871</v>
      </c>
      <c r="P98" s="2" t="s">
        <v>872</v>
      </c>
      <c r="Q98" s="2" t="s">
        <v>33</v>
      </c>
      <c r="R98" s="2" t="s">
        <v>873</v>
      </c>
      <c r="S98" s="2" t="s">
        <v>874</v>
      </c>
      <c r="T98" s="2" t="s">
        <v>875</v>
      </c>
      <c r="U98" s="2" t="s">
        <v>876</v>
      </c>
      <c r="V98" s="2" t="s">
        <v>80</v>
      </c>
    </row>
    <row r="99" spans="1:22">
      <c r="A99" s="2" t="s">
        <v>265</v>
      </c>
      <c r="B99" s="2" t="s">
        <v>877</v>
      </c>
      <c r="C99" s="2" t="s">
        <v>878</v>
      </c>
      <c r="D99" s="2">
        <v>2024</v>
      </c>
      <c r="E99" s="3">
        <v>45306</v>
      </c>
      <c r="F99" s="2" t="s">
        <v>879</v>
      </c>
      <c r="G99" s="2">
        <v>192</v>
      </c>
      <c r="H99" s="2" t="s">
        <v>43</v>
      </c>
      <c r="I99" s="2" t="s">
        <v>43</v>
      </c>
      <c r="J99" s="2" t="s">
        <v>880</v>
      </c>
      <c r="K99" s="2" t="s">
        <v>881</v>
      </c>
      <c r="L99" s="2" t="s">
        <v>29</v>
      </c>
      <c r="M99" s="2" t="s">
        <v>735</v>
      </c>
      <c r="N99" s="2" t="s">
        <v>171</v>
      </c>
      <c r="O99" s="2" t="s">
        <v>882</v>
      </c>
      <c r="P99" s="2" t="s">
        <v>883</v>
      </c>
      <c r="Q99" s="2" t="s">
        <v>33</v>
      </c>
      <c r="R99" s="2" t="s">
        <v>884</v>
      </c>
      <c r="S99" s="2" t="s">
        <v>511</v>
      </c>
      <c r="T99" s="2" t="s">
        <v>885</v>
      </c>
      <c r="U99" s="2" t="s">
        <v>886</v>
      </c>
      <c r="V99" s="2" t="s">
        <v>80</v>
      </c>
    </row>
    <row r="100" spans="1:22">
      <c r="A100" s="2" t="s">
        <v>265</v>
      </c>
      <c r="B100" s="2" t="s">
        <v>887</v>
      </c>
      <c r="C100" s="2" t="s">
        <v>888</v>
      </c>
      <c r="D100" s="2">
        <v>2024</v>
      </c>
      <c r="E100" s="3">
        <v>45627</v>
      </c>
      <c r="F100" s="2" t="s">
        <v>889</v>
      </c>
      <c r="G100" s="2">
        <v>13</v>
      </c>
      <c r="H100" s="2">
        <v>12</v>
      </c>
      <c r="I100" s="2" t="s">
        <v>43</v>
      </c>
      <c r="J100" s="2" t="s">
        <v>890</v>
      </c>
      <c r="K100" s="2" t="s">
        <v>61</v>
      </c>
      <c r="L100" s="2" t="s">
        <v>29</v>
      </c>
      <c r="M100" s="2" t="s">
        <v>891</v>
      </c>
      <c r="N100" s="2" t="s">
        <v>498</v>
      </c>
      <c r="O100" s="4">
        <v>1484</v>
      </c>
      <c r="P100" s="2" t="s">
        <v>892</v>
      </c>
      <c r="Q100" s="2" t="s">
        <v>33</v>
      </c>
      <c r="R100" s="2" t="s">
        <v>893</v>
      </c>
      <c r="S100" s="2" t="s">
        <v>894</v>
      </c>
      <c r="T100" s="2" t="s">
        <v>895</v>
      </c>
      <c r="U100" s="2" t="s">
        <v>896</v>
      </c>
      <c r="V100" s="2" t="s">
        <v>275</v>
      </c>
    </row>
    <row r="101" spans="1:22">
      <c r="A101" s="2" t="s">
        <v>897</v>
      </c>
      <c r="B101" s="2" t="s">
        <v>898</v>
      </c>
      <c r="C101" s="2" t="s">
        <v>899</v>
      </c>
      <c r="D101" s="2">
        <v>2024</v>
      </c>
      <c r="E101" s="3">
        <v>45444</v>
      </c>
      <c r="F101" s="2" t="s">
        <v>900</v>
      </c>
      <c r="G101" s="2">
        <v>60</v>
      </c>
      <c r="H101" s="2">
        <v>2</v>
      </c>
      <c r="I101" s="2" t="s">
        <v>901</v>
      </c>
      <c r="J101" s="2" t="s">
        <v>902</v>
      </c>
      <c r="K101" s="2" t="s">
        <v>903</v>
      </c>
      <c r="L101" s="2" t="s">
        <v>29</v>
      </c>
      <c r="M101" s="2" t="s">
        <v>904</v>
      </c>
      <c r="N101" s="2" t="s">
        <v>145</v>
      </c>
      <c r="O101" s="2" t="s">
        <v>905</v>
      </c>
      <c r="P101" s="2" t="s">
        <v>906</v>
      </c>
      <c r="Q101" s="2" t="s">
        <v>33</v>
      </c>
      <c r="R101" s="2" t="s">
        <v>907</v>
      </c>
      <c r="S101" s="2" t="s">
        <v>908</v>
      </c>
      <c r="T101" s="2" t="s">
        <v>909</v>
      </c>
      <c r="U101" s="2" t="s">
        <v>910</v>
      </c>
      <c r="V101" s="2" t="s">
        <v>911</v>
      </c>
    </row>
    <row r="102" spans="1:22" ht="57.6">
      <c r="B102" s="2" t="s">
        <v>912</v>
      </c>
      <c r="C102" s="2" t="s">
        <v>913</v>
      </c>
      <c r="D102" s="2">
        <v>2024</v>
      </c>
      <c r="E102" s="3">
        <v>45474</v>
      </c>
      <c r="F102" s="2" t="s">
        <v>597</v>
      </c>
      <c r="G102" s="2">
        <v>31</v>
      </c>
      <c r="H102" s="2">
        <v>7</v>
      </c>
      <c r="I102" s="2" t="s">
        <v>914</v>
      </c>
      <c r="J102" s="2" t="s">
        <v>599</v>
      </c>
      <c r="K102" s="2" t="s">
        <v>600</v>
      </c>
      <c r="L102" s="2" t="s">
        <v>29</v>
      </c>
      <c r="M102" s="2" t="s">
        <v>601</v>
      </c>
      <c r="N102" s="2" t="s">
        <v>63</v>
      </c>
      <c r="O102" s="4">
        <v>1139</v>
      </c>
      <c r="P102" s="2" t="s">
        <v>915</v>
      </c>
      <c r="Q102" s="2" t="s">
        <v>33</v>
      </c>
      <c r="R102" s="2" t="s">
        <v>916</v>
      </c>
      <c r="S102" s="2" t="s">
        <v>917</v>
      </c>
      <c r="T102" s="2" t="s">
        <v>918</v>
      </c>
      <c r="U102" s="2" t="s">
        <v>919</v>
      </c>
      <c r="V102" s="2" t="s">
        <v>920</v>
      </c>
    </row>
    <row r="103" spans="1:22" ht="28.8">
      <c r="A103" s="2" t="s">
        <v>921</v>
      </c>
      <c r="B103" s="2" t="s">
        <v>922</v>
      </c>
      <c r="C103" s="2" t="s">
        <v>923</v>
      </c>
      <c r="D103" s="2">
        <v>2025</v>
      </c>
      <c r="E103" s="3">
        <v>45962</v>
      </c>
      <c r="F103" s="2" t="s">
        <v>924</v>
      </c>
      <c r="G103" s="2">
        <v>292</v>
      </c>
      <c r="H103" s="2">
        <v>22</v>
      </c>
      <c r="I103" s="2" t="s">
        <v>925</v>
      </c>
      <c r="J103" s="2" t="s">
        <v>926</v>
      </c>
      <c r="K103" s="2" t="s">
        <v>119</v>
      </c>
      <c r="L103" s="2" t="s">
        <v>29</v>
      </c>
      <c r="M103" s="2" t="s">
        <v>927</v>
      </c>
      <c r="N103" s="2" t="s">
        <v>76</v>
      </c>
      <c r="O103" s="4">
        <v>2042</v>
      </c>
      <c r="P103" s="2" t="s">
        <v>928</v>
      </c>
      <c r="Q103" s="2" t="s">
        <v>33</v>
      </c>
      <c r="R103" s="2" t="s">
        <v>929</v>
      </c>
      <c r="S103" s="2" t="s">
        <v>930</v>
      </c>
      <c r="T103" s="2" t="s">
        <v>931</v>
      </c>
      <c r="U103" s="2" t="s">
        <v>932</v>
      </c>
      <c r="V103" s="2" t="s">
        <v>933</v>
      </c>
    </row>
    <row r="104" spans="1:22">
      <c r="A104" s="2" t="s">
        <v>934</v>
      </c>
      <c r="B104" s="2" t="s">
        <v>935</v>
      </c>
      <c r="C104" s="2" t="s">
        <v>936</v>
      </c>
      <c r="D104" s="2">
        <v>2024</v>
      </c>
      <c r="E104" s="3">
        <v>45627</v>
      </c>
      <c r="F104" s="2" t="s">
        <v>937</v>
      </c>
      <c r="G104" s="2">
        <v>7</v>
      </c>
      <c r="H104" s="2">
        <v>1</v>
      </c>
      <c r="I104" s="2" t="s">
        <v>43</v>
      </c>
      <c r="J104" s="2" t="s">
        <v>938</v>
      </c>
      <c r="K104" s="2" t="s">
        <v>220</v>
      </c>
      <c r="L104" s="2" t="s">
        <v>29</v>
      </c>
      <c r="M104" s="2" t="s">
        <v>939</v>
      </c>
      <c r="N104" s="2" t="s">
        <v>105</v>
      </c>
      <c r="O104" s="4">
        <v>4164</v>
      </c>
      <c r="P104" s="2" t="s">
        <v>940</v>
      </c>
      <c r="Q104" s="2" t="s">
        <v>33</v>
      </c>
      <c r="R104" s="2" t="s">
        <v>941</v>
      </c>
      <c r="S104" s="2" t="s">
        <v>942</v>
      </c>
      <c r="T104" s="2" t="s">
        <v>943</v>
      </c>
      <c r="U104" s="2" t="s">
        <v>944</v>
      </c>
      <c r="V104" s="2" t="s">
        <v>621</v>
      </c>
    </row>
    <row r="105" spans="1:22" ht="28.8">
      <c r="A105" s="2" t="s">
        <v>945</v>
      </c>
      <c r="B105" s="2" t="s">
        <v>946</v>
      </c>
      <c r="C105" s="2" t="s">
        <v>947</v>
      </c>
      <c r="D105" s="2">
        <v>2024</v>
      </c>
      <c r="E105" s="3">
        <v>45627</v>
      </c>
      <c r="F105" s="2" t="s">
        <v>167</v>
      </c>
      <c r="G105" s="2">
        <v>15</v>
      </c>
      <c r="H105" s="2">
        <v>1</v>
      </c>
      <c r="I105" s="2" t="s">
        <v>43</v>
      </c>
      <c r="J105" s="2" t="s">
        <v>414</v>
      </c>
      <c r="K105" s="2" t="s">
        <v>220</v>
      </c>
      <c r="L105" s="2" t="s">
        <v>29</v>
      </c>
      <c r="M105" s="2" t="s">
        <v>415</v>
      </c>
      <c r="N105" s="2" t="s">
        <v>31</v>
      </c>
      <c r="O105" s="4">
        <v>4761</v>
      </c>
      <c r="P105" s="2" t="s">
        <v>948</v>
      </c>
      <c r="Q105" s="2" t="s">
        <v>33</v>
      </c>
      <c r="R105" s="2" t="s">
        <v>949</v>
      </c>
      <c r="S105" s="2" t="s">
        <v>950</v>
      </c>
      <c r="T105" s="2" t="s">
        <v>951</v>
      </c>
      <c r="U105" s="2" t="s">
        <v>952</v>
      </c>
      <c r="V105" s="2" t="s">
        <v>953</v>
      </c>
    </row>
    <row r="106" spans="1:22">
      <c r="A106" s="2" t="s">
        <v>954</v>
      </c>
      <c r="B106" s="2" t="s">
        <v>955</v>
      </c>
      <c r="C106" s="2" t="s">
        <v>956</v>
      </c>
      <c r="D106" s="2">
        <v>2024</v>
      </c>
      <c r="E106" s="3">
        <v>45627</v>
      </c>
      <c r="F106" s="2" t="s">
        <v>957</v>
      </c>
      <c r="G106" s="2">
        <v>602</v>
      </c>
      <c r="H106" s="2">
        <v>23</v>
      </c>
      <c r="I106" s="2" t="s">
        <v>958</v>
      </c>
      <c r="J106" s="2" t="s">
        <v>959</v>
      </c>
      <c r="K106" s="2" t="s">
        <v>119</v>
      </c>
      <c r="L106" s="2" t="s">
        <v>29</v>
      </c>
      <c r="M106" s="2" t="s">
        <v>960</v>
      </c>
      <c r="N106" s="2" t="s">
        <v>961</v>
      </c>
      <c r="O106" s="4">
        <v>1715</v>
      </c>
      <c r="P106" s="2" t="s">
        <v>962</v>
      </c>
      <c r="Q106" s="2" t="s">
        <v>33</v>
      </c>
      <c r="R106" s="2" t="s">
        <v>963</v>
      </c>
      <c r="S106" s="2" t="s">
        <v>79</v>
      </c>
      <c r="T106" s="5">
        <v>601053680000000</v>
      </c>
      <c r="U106" s="2" t="s">
        <v>79</v>
      </c>
      <c r="V106" s="2" t="s">
        <v>80</v>
      </c>
    </row>
    <row r="107" spans="1:22">
      <c r="A107" s="2" t="s">
        <v>964</v>
      </c>
      <c r="B107" s="2" t="s">
        <v>955</v>
      </c>
      <c r="C107" s="2" t="s">
        <v>956</v>
      </c>
      <c r="D107" s="2">
        <v>2024</v>
      </c>
      <c r="E107" s="3">
        <v>45627</v>
      </c>
      <c r="F107" s="2" t="s">
        <v>957</v>
      </c>
      <c r="G107" s="2">
        <v>602</v>
      </c>
      <c r="H107" s="2">
        <v>23</v>
      </c>
      <c r="I107" s="2" t="s">
        <v>958</v>
      </c>
      <c r="J107" s="2" t="s">
        <v>959</v>
      </c>
      <c r="K107" s="2" t="s">
        <v>119</v>
      </c>
      <c r="L107" s="2" t="s">
        <v>29</v>
      </c>
      <c r="M107" s="2" t="s">
        <v>960</v>
      </c>
      <c r="N107" s="2" t="s">
        <v>961</v>
      </c>
      <c r="O107" s="4">
        <v>1715</v>
      </c>
      <c r="P107" s="2" t="s">
        <v>962</v>
      </c>
      <c r="Q107" s="2" t="s">
        <v>33</v>
      </c>
      <c r="R107" s="2" t="s">
        <v>963</v>
      </c>
      <c r="S107" s="2" t="s">
        <v>79</v>
      </c>
      <c r="T107" s="5">
        <v>601053680000000</v>
      </c>
      <c r="U107" s="2" t="s">
        <v>79</v>
      </c>
      <c r="V107" s="2" t="s">
        <v>80</v>
      </c>
    </row>
    <row r="108" spans="1:22">
      <c r="A108" s="2" t="s">
        <v>965</v>
      </c>
      <c r="B108" s="2" t="s">
        <v>955</v>
      </c>
      <c r="C108" s="2" t="s">
        <v>956</v>
      </c>
      <c r="D108" s="2">
        <v>2024</v>
      </c>
      <c r="E108" s="3">
        <v>45627</v>
      </c>
      <c r="F108" s="2" t="s">
        <v>957</v>
      </c>
      <c r="G108" s="2">
        <v>602</v>
      </c>
      <c r="H108" s="2">
        <v>23</v>
      </c>
      <c r="I108" s="2" t="s">
        <v>958</v>
      </c>
      <c r="J108" s="2" t="s">
        <v>959</v>
      </c>
      <c r="K108" s="2" t="s">
        <v>119</v>
      </c>
      <c r="L108" s="2" t="s">
        <v>29</v>
      </c>
      <c r="M108" s="2" t="s">
        <v>960</v>
      </c>
      <c r="N108" s="2" t="s">
        <v>961</v>
      </c>
      <c r="O108" s="4">
        <v>1715</v>
      </c>
      <c r="P108" s="2" t="s">
        <v>962</v>
      </c>
      <c r="Q108" s="2" t="s">
        <v>33</v>
      </c>
      <c r="R108" s="2" t="s">
        <v>963</v>
      </c>
      <c r="S108" s="2" t="s">
        <v>79</v>
      </c>
      <c r="T108" s="5">
        <v>601053680000000</v>
      </c>
      <c r="U108" s="2" t="s">
        <v>79</v>
      </c>
      <c r="V108" s="2" t="s">
        <v>80</v>
      </c>
    </row>
    <row r="109" spans="1:22">
      <c r="A109" s="2" t="s">
        <v>966</v>
      </c>
      <c r="B109" s="2" t="s">
        <v>955</v>
      </c>
      <c r="C109" s="2" t="s">
        <v>956</v>
      </c>
      <c r="D109" s="2">
        <v>2024</v>
      </c>
      <c r="E109" s="3">
        <v>45627</v>
      </c>
      <c r="F109" s="2" t="s">
        <v>957</v>
      </c>
      <c r="G109" s="2">
        <v>602</v>
      </c>
      <c r="H109" s="2">
        <v>23</v>
      </c>
      <c r="I109" s="2" t="s">
        <v>958</v>
      </c>
      <c r="J109" s="2" t="s">
        <v>959</v>
      </c>
      <c r="K109" s="2" t="s">
        <v>119</v>
      </c>
      <c r="L109" s="2" t="s">
        <v>29</v>
      </c>
      <c r="M109" s="2" t="s">
        <v>960</v>
      </c>
      <c r="N109" s="2" t="s">
        <v>961</v>
      </c>
      <c r="O109" s="4">
        <v>1715</v>
      </c>
      <c r="P109" s="2" t="s">
        <v>962</v>
      </c>
      <c r="Q109" s="2" t="s">
        <v>33</v>
      </c>
      <c r="R109" s="2" t="s">
        <v>963</v>
      </c>
      <c r="S109" s="2" t="s">
        <v>79</v>
      </c>
      <c r="T109" s="5">
        <v>601053680000000</v>
      </c>
      <c r="U109" s="2" t="s">
        <v>79</v>
      </c>
      <c r="V109" s="2" t="s">
        <v>80</v>
      </c>
    </row>
    <row r="110" spans="1:22">
      <c r="A110" s="2" t="s">
        <v>384</v>
      </c>
      <c r="B110" s="2" t="s">
        <v>955</v>
      </c>
      <c r="C110" s="2" t="s">
        <v>956</v>
      </c>
      <c r="D110" s="2">
        <v>2024</v>
      </c>
      <c r="E110" s="3">
        <v>45627</v>
      </c>
      <c r="F110" s="2" t="s">
        <v>957</v>
      </c>
      <c r="G110" s="2">
        <v>602</v>
      </c>
      <c r="H110" s="2">
        <v>23</v>
      </c>
      <c r="I110" s="2" t="s">
        <v>958</v>
      </c>
      <c r="J110" s="2" t="s">
        <v>959</v>
      </c>
      <c r="K110" s="2" t="s">
        <v>119</v>
      </c>
      <c r="L110" s="2" t="s">
        <v>29</v>
      </c>
      <c r="M110" s="2" t="s">
        <v>960</v>
      </c>
      <c r="N110" s="2" t="s">
        <v>961</v>
      </c>
      <c r="O110" s="4">
        <v>1715</v>
      </c>
      <c r="P110" s="2" t="s">
        <v>962</v>
      </c>
      <c r="Q110" s="2" t="s">
        <v>33</v>
      </c>
      <c r="R110" s="2" t="s">
        <v>963</v>
      </c>
      <c r="S110" s="2" t="s">
        <v>79</v>
      </c>
      <c r="T110" s="5">
        <v>601053680000000</v>
      </c>
      <c r="U110" s="2" t="s">
        <v>79</v>
      </c>
      <c r="V110" s="2" t="s">
        <v>80</v>
      </c>
    </row>
    <row r="111" spans="1:22">
      <c r="A111" s="2" t="s">
        <v>385</v>
      </c>
      <c r="B111" s="2" t="s">
        <v>955</v>
      </c>
      <c r="C111" s="2" t="s">
        <v>956</v>
      </c>
      <c r="D111" s="2">
        <v>2024</v>
      </c>
      <c r="E111" s="3">
        <v>45627</v>
      </c>
      <c r="F111" s="2" t="s">
        <v>957</v>
      </c>
      <c r="G111" s="2">
        <v>602</v>
      </c>
      <c r="H111" s="2">
        <v>23</v>
      </c>
      <c r="I111" s="2" t="s">
        <v>958</v>
      </c>
      <c r="J111" s="2" t="s">
        <v>959</v>
      </c>
      <c r="K111" s="2" t="s">
        <v>119</v>
      </c>
      <c r="L111" s="2" t="s">
        <v>29</v>
      </c>
      <c r="M111" s="2" t="s">
        <v>960</v>
      </c>
      <c r="N111" s="2" t="s">
        <v>961</v>
      </c>
      <c r="O111" s="4">
        <v>1715</v>
      </c>
      <c r="P111" s="2" t="s">
        <v>962</v>
      </c>
      <c r="Q111" s="2" t="s">
        <v>33</v>
      </c>
      <c r="R111" s="2" t="s">
        <v>963</v>
      </c>
      <c r="S111" s="2" t="s">
        <v>79</v>
      </c>
      <c r="T111" s="5">
        <v>601053680000000</v>
      </c>
      <c r="U111" s="2" t="s">
        <v>79</v>
      </c>
      <c r="V111" s="2" t="s">
        <v>80</v>
      </c>
    </row>
    <row r="112" spans="1:22">
      <c r="A112" s="2" t="s">
        <v>967</v>
      </c>
      <c r="B112" s="2" t="s">
        <v>968</v>
      </c>
      <c r="C112" s="2" t="s">
        <v>969</v>
      </c>
      <c r="D112" s="2">
        <v>2025</v>
      </c>
      <c r="E112" s="3">
        <v>45870</v>
      </c>
      <c r="F112" s="2" t="s">
        <v>73</v>
      </c>
      <c r="G112" s="2">
        <v>26</v>
      </c>
      <c r="H112" s="2">
        <v>15</v>
      </c>
      <c r="I112" s="2" t="s">
        <v>43</v>
      </c>
      <c r="J112" s="2" t="s">
        <v>74</v>
      </c>
      <c r="K112" s="2" t="s">
        <v>61</v>
      </c>
      <c r="L112" s="2" t="s">
        <v>29</v>
      </c>
      <c r="M112" s="2" t="s">
        <v>76</v>
      </c>
      <c r="N112" s="2" t="s">
        <v>76</v>
      </c>
      <c r="O112" s="4">
        <v>1316</v>
      </c>
      <c r="P112" s="2" t="s">
        <v>970</v>
      </c>
      <c r="Q112" s="2" t="s">
        <v>49</v>
      </c>
      <c r="R112" s="2" t="s">
        <v>971</v>
      </c>
      <c r="S112" s="2" t="s">
        <v>188</v>
      </c>
      <c r="T112" s="2" t="s">
        <v>972</v>
      </c>
      <c r="U112" s="2" t="s">
        <v>973</v>
      </c>
      <c r="V112" s="2" t="s">
        <v>80</v>
      </c>
    </row>
    <row r="113" spans="1:22">
      <c r="A113" s="2" t="s">
        <v>974</v>
      </c>
      <c r="B113" s="2" t="s">
        <v>968</v>
      </c>
      <c r="C113" s="2" t="s">
        <v>969</v>
      </c>
      <c r="D113" s="2">
        <v>2025</v>
      </c>
      <c r="E113" s="3">
        <v>45870</v>
      </c>
      <c r="F113" s="2" t="s">
        <v>73</v>
      </c>
      <c r="G113" s="2">
        <v>26</v>
      </c>
      <c r="H113" s="2">
        <v>15</v>
      </c>
      <c r="I113" s="2" t="s">
        <v>43</v>
      </c>
      <c r="J113" s="2" t="s">
        <v>74</v>
      </c>
      <c r="K113" s="2" t="s">
        <v>61</v>
      </c>
      <c r="L113" s="2" t="s">
        <v>29</v>
      </c>
      <c r="M113" s="2" t="s">
        <v>76</v>
      </c>
      <c r="N113" s="2" t="s">
        <v>76</v>
      </c>
      <c r="O113" s="4">
        <v>1316</v>
      </c>
      <c r="P113" s="2" t="s">
        <v>970</v>
      </c>
      <c r="Q113" s="2" t="s">
        <v>49</v>
      </c>
      <c r="R113" s="2" t="s">
        <v>971</v>
      </c>
      <c r="S113" s="2" t="s">
        <v>188</v>
      </c>
      <c r="T113" s="2" t="s">
        <v>972</v>
      </c>
      <c r="U113" s="2" t="s">
        <v>973</v>
      </c>
      <c r="V113" s="2" t="s">
        <v>80</v>
      </c>
    </row>
    <row r="114" spans="1:22">
      <c r="A114" s="2" t="s">
        <v>975</v>
      </c>
      <c r="B114" s="2" t="s">
        <v>968</v>
      </c>
      <c r="C114" s="2" t="s">
        <v>969</v>
      </c>
      <c r="D114" s="2">
        <v>2025</v>
      </c>
      <c r="E114" s="3">
        <v>45870</v>
      </c>
      <c r="F114" s="2" t="s">
        <v>73</v>
      </c>
      <c r="G114" s="2">
        <v>26</v>
      </c>
      <c r="H114" s="2">
        <v>15</v>
      </c>
      <c r="I114" s="2" t="s">
        <v>43</v>
      </c>
      <c r="J114" s="2" t="s">
        <v>74</v>
      </c>
      <c r="K114" s="2" t="s">
        <v>61</v>
      </c>
      <c r="L114" s="2" t="s">
        <v>29</v>
      </c>
      <c r="M114" s="2" t="s">
        <v>76</v>
      </c>
      <c r="N114" s="2" t="s">
        <v>76</v>
      </c>
      <c r="O114" s="4">
        <v>1316</v>
      </c>
      <c r="P114" s="2" t="s">
        <v>970</v>
      </c>
      <c r="Q114" s="2" t="s">
        <v>49</v>
      </c>
      <c r="R114" s="2" t="s">
        <v>971</v>
      </c>
      <c r="S114" s="2" t="s">
        <v>188</v>
      </c>
      <c r="T114" s="2" t="s">
        <v>972</v>
      </c>
      <c r="U114" s="2" t="s">
        <v>973</v>
      </c>
      <c r="V114" s="2" t="s">
        <v>80</v>
      </c>
    </row>
    <row r="115" spans="1:22" ht="28.8">
      <c r="A115" s="2" t="s">
        <v>276</v>
      </c>
      <c r="B115" s="2" t="s">
        <v>976</v>
      </c>
      <c r="C115" s="2" t="s">
        <v>977</v>
      </c>
      <c r="D115" s="2">
        <v>2024</v>
      </c>
      <c r="E115" s="3">
        <v>45474</v>
      </c>
      <c r="F115" s="2" t="s">
        <v>849</v>
      </c>
      <c r="G115" s="2">
        <v>46</v>
      </c>
      <c r="H115" s="2">
        <v>7</v>
      </c>
      <c r="I115" s="2" t="s">
        <v>978</v>
      </c>
      <c r="J115" s="2" t="s">
        <v>851</v>
      </c>
      <c r="K115" s="2" t="s">
        <v>852</v>
      </c>
      <c r="L115" s="2" t="s">
        <v>29</v>
      </c>
      <c r="M115" s="2" t="s">
        <v>853</v>
      </c>
      <c r="N115" s="2" t="s">
        <v>854</v>
      </c>
      <c r="O115" s="2" t="s">
        <v>855</v>
      </c>
      <c r="P115" s="2" t="s">
        <v>979</v>
      </c>
      <c r="Q115" s="2" t="s">
        <v>33</v>
      </c>
      <c r="R115" s="2" t="s">
        <v>980</v>
      </c>
      <c r="S115" s="2" t="s">
        <v>981</v>
      </c>
      <c r="T115" s="2" t="s">
        <v>982</v>
      </c>
      <c r="U115" s="2" t="s">
        <v>983</v>
      </c>
      <c r="V115" s="2" t="s">
        <v>984</v>
      </c>
    </row>
    <row r="116" spans="1:22">
      <c r="A116" s="2" t="s">
        <v>113</v>
      </c>
      <c r="B116" s="2" t="s">
        <v>985</v>
      </c>
      <c r="C116" s="2" t="s">
        <v>986</v>
      </c>
      <c r="D116" s="2">
        <v>2025</v>
      </c>
      <c r="E116" s="3">
        <v>45658</v>
      </c>
      <c r="F116" s="2" t="s">
        <v>987</v>
      </c>
      <c r="G116" s="2" t="s">
        <v>43</v>
      </c>
      <c r="H116" s="2" t="s">
        <v>43</v>
      </c>
      <c r="I116" s="2" t="s">
        <v>43</v>
      </c>
      <c r="J116" s="2" t="s">
        <v>988</v>
      </c>
      <c r="K116" s="2" t="s">
        <v>119</v>
      </c>
      <c r="L116" s="2" t="s">
        <v>29</v>
      </c>
      <c r="M116" s="2" t="s">
        <v>989</v>
      </c>
      <c r="N116" s="2" t="s">
        <v>105</v>
      </c>
      <c r="O116" s="4">
        <v>4915</v>
      </c>
      <c r="P116" s="2" t="s">
        <v>990</v>
      </c>
      <c r="Q116" s="2" t="s">
        <v>49</v>
      </c>
      <c r="R116" s="2" t="s">
        <v>991</v>
      </c>
      <c r="S116" s="2" t="s">
        <v>992</v>
      </c>
      <c r="T116" s="2" t="s">
        <v>993</v>
      </c>
      <c r="U116" s="2" t="s">
        <v>994</v>
      </c>
      <c r="V116" s="2" t="s">
        <v>995</v>
      </c>
    </row>
    <row r="117" spans="1:22" ht="28.8">
      <c r="A117" s="2" t="s">
        <v>996</v>
      </c>
      <c r="B117" s="2" t="s">
        <v>997</v>
      </c>
      <c r="C117" s="2" t="s">
        <v>998</v>
      </c>
      <c r="D117" s="2">
        <v>2024</v>
      </c>
      <c r="E117" s="3">
        <v>45519</v>
      </c>
      <c r="F117" s="2" t="s">
        <v>999</v>
      </c>
      <c r="G117" s="2">
        <v>351</v>
      </c>
      <c r="H117" s="2" t="s">
        <v>43</v>
      </c>
      <c r="I117" s="2" t="s">
        <v>43</v>
      </c>
      <c r="J117" s="2" t="s">
        <v>1000</v>
      </c>
      <c r="K117" s="2" t="s">
        <v>734</v>
      </c>
      <c r="L117" s="2" t="s">
        <v>29</v>
      </c>
      <c r="M117" s="2" t="s">
        <v>1001</v>
      </c>
      <c r="N117" s="2" t="s">
        <v>105</v>
      </c>
      <c r="O117" s="4">
        <v>1315</v>
      </c>
      <c r="P117" s="2" t="s">
        <v>1002</v>
      </c>
      <c r="Q117" s="2" t="s">
        <v>33</v>
      </c>
      <c r="R117" s="2" t="s">
        <v>1003</v>
      </c>
      <c r="S117" s="2" t="s">
        <v>1004</v>
      </c>
      <c r="T117" s="2" t="s">
        <v>1005</v>
      </c>
      <c r="U117" s="2" t="s">
        <v>1006</v>
      </c>
      <c r="V117" s="2" t="s">
        <v>1007</v>
      </c>
    </row>
    <row r="118" spans="1:22" ht="28.8">
      <c r="A118" s="2" t="s">
        <v>1008</v>
      </c>
      <c r="B118" s="2" t="s">
        <v>997</v>
      </c>
      <c r="C118" s="2" t="s">
        <v>998</v>
      </c>
      <c r="D118" s="2">
        <v>2024</v>
      </c>
      <c r="E118" s="3">
        <v>45519</v>
      </c>
      <c r="F118" s="2" t="s">
        <v>999</v>
      </c>
      <c r="G118" s="2">
        <v>351</v>
      </c>
      <c r="H118" s="2" t="s">
        <v>43</v>
      </c>
      <c r="I118" s="2" t="s">
        <v>43</v>
      </c>
      <c r="J118" s="2" t="s">
        <v>1000</v>
      </c>
      <c r="K118" s="2" t="s">
        <v>734</v>
      </c>
      <c r="L118" s="2" t="s">
        <v>29</v>
      </c>
      <c r="M118" s="2" t="s">
        <v>1001</v>
      </c>
      <c r="N118" s="2" t="s">
        <v>105</v>
      </c>
      <c r="O118" s="4">
        <v>1315</v>
      </c>
      <c r="P118" s="2" t="s">
        <v>1002</v>
      </c>
      <c r="Q118" s="2" t="s">
        <v>33</v>
      </c>
      <c r="R118" s="2" t="s">
        <v>1003</v>
      </c>
      <c r="S118" s="2" t="s">
        <v>1004</v>
      </c>
      <c r="T118" s="2" t="s">
        <v>1005</v>
      </c>
      <c r="U118" s="2" t="s">
        <v>1006</v>
      </c>
      <c r="V118" s="2" t="s">
        <v>1007</v>
      </c>
    </row>
    <row r="119" spans="1:22" ht="28.8">
      <c r="A119" s="2" t="s">
        <v>1009</v>
      </c>
      <c r="B119" s="2" t="s">
        <v>997</v>
      </c>
      <c r="C119" s="2" t="s">
        <v>998</v>
      </c>
      <c r="D119" s="2">
        <v>2024</v>
      </c>
      <c r="E119" s="3">
        <v>45519</v>
      </c>
      <c r="F119" s="2" t="s">
        <v>999</v>
      </c>
      <c r="G119" s="2">
        <v>351</v>
      </c>
      <c r="H119" s="2" t="s">
        <v>43</v>
      </c>
      <c r="I119" s="2" t="s">
        <v>43</v>
      </c>
      <c r="J119" s="2" t="s">
        <v>1000</v>
      </c>
      <c r="K119" s="2" t="s">
        <v>734</v>
      </c>
      <c r="L119" s="2" t="s">
        <v>29</v>
      </c>
      <c r="M119" s="2" t="s">
        <v>1001</v>
      </c>
      <c r="N119" s="2" t="s">
        <v>105</v>
      </c>
      <c r="O119" s="4">
        <v>1315</v>
      </c>
      <c r="P119" s="2" t="s">
        <v>1002</v>
      </c>
      <c r="Q119" s="2" t="s">
        <v>33</v>
      </c>
      <c r="R119" s="2" t="s">
        <v>1003</v>
      </c>
      <c r="S119" s="2" t="s">
        <v>1004</v>
      </c>
      <c r="T119" s="2" t="s">
        <v>1005</v>
      </c>
      <c r="U119" s="2" t="s">
        <v>1006</v>
      </c>
      <c r="V119" s="2" t="s">
        <v>1007</v>
      </c>
    </row>
    <row r="120" spans="1:22" ht="28.8">
      <c r="A120" s="2" t="s">
        <v>1010</v>
      </c>
      <c r="B120" s="2" t="s">
        <v>997</v>
      </c>
      <c r="C120" s="2" t="s">
        <v>998</v>
      </c>
      <c r="D120" s="2">
        <v>2024</v>
      </c>
      <c r="E120" s="3">
        <v>45519</v>
      </c>
      <c r="F120" s="2" t="s">
        <v>999</v>
      </c>
      <c r="G120" s="2">
        <v>351</v>
      </c>
      <c r="H120" s="2" t="s">
        <v>43</v>
      </c>
      <c r="I120" s="2" t="s">
        <v>43</v>
      </c>
      <c r="J120" s="2" t="s">
        <v>1000</v>
      </c>
      <c r="K120" s="2" t="s">
        <v>734</v>
      </c>
      <c r="L120" s="2" t="s">
        <v>29</v>
      </c>
      <c r="M120" s="2" t="s">
        <v>1001</v>
      </c>
      <c r="N120" s="2" t="s">
        <v>105</v>
      </c>
      <c r="O120" s="4">
        <v>1315</v>
      </c>
      <c r="P120" s="2" t="s">
        <v>1002</v>
      </c>
      <c r="Q120" s="2" t="s">
        <v>33</v>
      </c>
      <c r="R120" s="2" t="s">
        <v>1003</v>
      </c>
      <c r="S120" s="2" t="s">
        <v>1004</v>
      </c>
      <c r="T120" s="2" t="s">
        <v>1005</v>
      </c>
      <c r="U120" s="2" t="s">
        <v>1006</v>
      </c>
      <c r="V120" s="2" t="s">
        <v>1007</v>
      </c>
    </row>
    <row r="121" spans="1:22" ht="28.8">
      <c r="A121" s="2" t="s">
        <v>1011</v>
      </c>
      <c r="B121" s="2" t="s">
        <v>997</v>
      </c>
      <c r="C121" s="2" t="s">
        <v>998</v>
      </c>
      <c r="D121" s="2">
        <v>2024</v>
      </c>
      <c r="E121" s="3">
        <v>45519</v>
      </c>
      <c r="F121" s="2" t="s">
        <v>999</v>
      </c>
      <c r="G121" s="2">
        <v>351</v>
      </c>
      <c r="H121" s="2" t="s">
        <v>43</v>
      </c>
      <c r="I121" s="2" t="s">
        <v>43</v>
      </c>
      <c r="J121" s="2" t="s">
        <v>1000</v>
      </c>
      <c r="K121" s="2" t="s">
        <v>734</v>
      </c>
      <c r="L121" s="2" t="s">
        <v>29</v>
      </c>
      <c r="M121" s="2" t="s">
        <v>1001</v>
      </c>
      <c r="N121" s="2" t="s">
        <v>105</v>
      </c>
      <c r="O121" s="4">
        <v>1315</v>
      </c>
      <c r="P121" s="2" t="s">
        <v>1002</v>
      </c>
      <c r="Q121" s="2" t="s">
        <v>33</v>
      </c>
      <c r="R121" s="2" t="s">
        <v>1003</v>
      </c>
      <c r="S121" s="2" t="s">
        <v>1004</v>
      </c>
      <c r="T121" s="2" t="s">
        <v>1005</v>
      </c>
      <c r="U121" s="2" t="s">
        <v>1006</v>
      </c>
      <c r="V121" s="2" t="s">
        <v>1007</v>
      </c>
    </row>
    <row r="122" spans="1:22" ht="28.8">
      <c r="A122" s="2" t="s">
        <v>1012</v>
      </c>
      <c r="B122" s="2" t="s">
        <v>997</v>
      </c>
      <c r="C122" s="2" t="s">
        <v>998</v>
      </c>
      <c r="D122" s="2">
        <v>2024</v>
      </c>
      <c r="E122" s="3">
        <v>45519</v>
      </c>
      <c r="F122" s="2" t="s">
        <v>999</v>
      </c>
      <c r="G122" s="2">
        <v>351</v>
      </c>
      <c r="H122" s="2" t="s">
        <v>43</v>
      </c>
      <c r="I122" s="2" t="s">
        <v>43</v>
      </c>
      <c r="J122" s="2" t="s">
        <v>1000</v>
      </c>
      <c r="K122" s="2" t="s">
        <v>734</v>
      </c>
      <c r="L122" s="2" t="s">
        <v>29</v>
      </c>
      <c r="M122" s="2" t="s">
        <v>1001</v>
      </c>
      <c r="N122" s="2" t="s">
        <v>105</v>
      </c>
      <c r="O122" s="4">
        <v>1315</v>
      </c>
      <c r="P122" s="2" t="s">
        <v>1002</v>
      </c>
      <c r="Q122" s="2" t="s">
        <v>33</v>
      </c>
      <c r="R122" s="2" t="s">
        <v>1003</v>
      </c>
      <c r="S122" s="2" t="s">
        <v>1004</v>
      </c>
      <c r="T122" s="2" t="s">
        <v>1005</v>
      </c>
      <c r="U122" s="2" t="s">
        <v>1006</v>
      </c>
      <c r="V122" s="2" t="s">
        <v>1007</v>
      </c>
    </row>
    <row r="123" spans="1:22" ht="28.8">
      <c r="A123" s="2" t="s">
        <v>921</v>
      </c>
      <c r="B123" s="2" t="s">
        <v>997</v>
      </c>
      <c r="C123" s="2" t="s">
        <v>998</v>
      </c>
      <c r="D123" s="2">
        <v>2024</v>
      </c>
      <c r="E123" s="3">
        <v>45519</v>
      </c>
      <c r="F123" s="2" t="s">
        <v>999</v>
      </c>
      <c r="G123" s="2">
        <v>351</v>
      </c>
      <c r="H123" s="2" t="s">
        <v>43</v>
      </c>
      <c r="I123" s="2" t="s">
        <v>43</v>
      </c>
      <c r="J123" s="2" t="s">
        <v>1000</v>
      </c>
      <c r="K123" s="2" t="s">
        <v>734</v>
      </c>
      <c r="L123" s="2" t="s">
        <v>29</v>
      </c>
      <c r="M123" s="2" t="s">
        <v>1001</v>
      </c>
      <c r="N123" s="2" t="s">
        <v>105</v>
      </c>
      <c r="O123" s="4">
        <v>1315</v>
      </c>
      <c r="P123" s="2" t="s">
        <v>1002</v>
      </c>
      <c r="Q123" s="2" t="s">
        <v>33</v>
      </c>
      <c r="R123" s="2" t="s">
        <v>1003</v>
      </c>
      <c r="S123" s="2" t="s">
        <v>1004</v>
      </c>
      <c r="T123" s="2" t="s">
        <v>1005</v>
      </c>
      <c r="U123" s="2" t="s">
        <v>1006</v>
      </c>
      <c r="V123" s="2" t="s">
        <v>1007</v>
      </c>
    </row>
    <row r="124" spans="1:22" ht="28.8">
      <c r="A124" s="2" t="s">
        <v>1013</v>
      </c>
      <c r="B124" s="2" t="s">
        <v>1014</v>
      </c>
      <c r="C124" s="2" t="s">
        <v>1015</v>
      </c>
      <c r="D124" s="2">
        <v>2025</v>
      </c>
      <c r="E124" s="3">
        <v>45901</v>
      </c>
      <c r="F124" s="2" t="s">
        <v>731</v>
      </c>
      <c r="G124" s="2">
        <v>237</v>
      </c>
      <c r="H124" s="2" t="s">
        <v>43</v>
      </c>
      <c r="I124" s="2" t="s">
        <v>1016</v>
      </c>
      <c r="J124" s="2" t="s">
        <v>733</v>
      </c>
      <c r="K124" s="2" t="s">
        <v>734</v>
      </c>
      <c r="L124" s="2" t="s">
        <v>29</v>
      </c>
      <c r="M124" s="2" t="s">
        <v>1017</v>
      </c>
      <c r="N124" s="2" t="s">
        <v>247</v>
      </c>
      <c r="O124" s="4">
        <v>2105</v>
      </c>
      <c r="P124" s="2" t="s">
        <v>1018</v>
      </c>
      <c r="Q124" s="2" t="s">
        <v>49</v>
      </c>
      <c r="R124" s="2" t="s">
        <v>1019</v>
      </c>
      <c r="S124" s="2" t="s">
        <v>1020</v>
      </c>
      <c r="T124" s="2" t="s">
        <v>1021</v>
      </c>
      <c r="U124" s="2" t="s">
        <v>1022</v>
      </c>
      <c r="V124" s="2" t="s">
        <v>1023</v>
      </c>
    </row>
    <row r="125" spans="1:22" ht="28.8">
      <c r="A125" s="2" t="s">
        <v>1024</v>
      </c>
      <c r="B125" s="2" t="s">
        <v>1014</v>
      </c>
      <c r="C125" s="2" t="s">
        <v>1015</v>
      </c>
      <c r="D125" s="2">
        <v>2025</v>
      </c>
      <c r="E125" s="3">
        <v>45901</v>
      </c>
      <c r="F125" s="2" t="s">
        <v>731</v>
      </c>
      <c r="G125" s="2">
        <v>237</v>
      </c>
      <c r="H125" s="2" t="s">
        <v>43</v>
      </c>
      <c r="I125" s="2" t="s">
        <v>1016</v>
      </c>
      <c r="J125" s="2" t="s">
        <v>733</v>
      </c>
      <c r="K125" s="2" t="s">
        <v>734</v>
      </c>
      <c r="L125" s="2" t="s">
        <v>29</v>
      </c>
      <c r="M125" s="2" t="s">
        <v>1017</v>
      </c>
      <c r="N125" s="2" t="s">
        <v>247</v>
      </c>
      <c r="O125" s="4">
        <v>2105</v>
      </c>
      <c r="P125" s="2" t="s">
        <v>1018</v>
      </c>
      <c r="Q125" s="2" t="s">
        <v>49</v>
      </c>
      <c r="R125" s="2" t="s">
        <v>1019</v>
      </c>
      <c r="S125" s="2" t="s">
        <v>1020</v>
      </c>
      <c r="T125" s="2" t="s">
        <v>1021</v>
      </c>
      <c r="U125" s="2" t="s">
        <v>1022</v>
      </c>
      <c r="V125" s="2" t="s">
        <v>1023</v>
      </c>
    </row>
    <row r="126" spans="1:22">
      <c r="A126" s="2" t="s">
        <v>276</v>
      </c>
      <c r="B126" s="2" t="s">
        <v>1025</v>
      </c>
      <c r="C126" s="2" t="s">
        <v>1026</v>
      </c>
      <c r="D126" s="2">
        <v>2024</v>
      </c>
      <c r="E126" s="3">
        <v>45474</v>
      </c>
      <c r="F126" s="2" t="s">
        <v>651</v>
      </c>
      <c r="G126" s="2">
        <v>13</v>
      </c>
      <c r="H126" s="2">
        <v>13</v>
      </c>
      <c r="I126" s="2" t="s">
        <v>43</v>
      </c>
      <c r="J126" s="2" t="s">
        <v>652</v>
      </c>
      <c r="K126" s="2" t="s">
        <v>61</v>
      </c>
      <c r="L126" s="2" t="s">
        <v>29</v>
      </c>
      <c r="M126" s="2" t="s">
        <v>653</v>
      </c>
      <c r="N126" s="2" t="s">
        <v>476</v>
      </c>
      <c r="O126" s="2" t="s">
        <v>654</v>
      </c>
      <c r="P126" s="2" t="s">
        <v>1027</v>
      </c>
      <c r="Q126" s="2" t="s">
        <v>49</v>
      </c>
      <c r="R126" s="2" t="s">
        <v>1028</v>
      </c>
      <c r="S126" s="2" t="s">
        <v>1029</v>
      </c>
      <c r="T126" s="2" t="s">
        <v>1030</v>
      </c>
      <c r="U126" s="2" t="s">
        <v>1031</v>
      </c>
      <c r="V126" s="2" t="s">
        <v>660</v>
      </c>
    </row>
    <row r="127" spans="1:22">
      <c r="A127" s="2" t="s">
        <v>1032</v>
      </c>
      <c r="B127" s="2" t="s">
        <v>1033</v>
      </c>
      <c r="C127" s="2" t="s">
        <v>1034</v>
      </c>
      <c r="D127" s="2">
        <v>2024</v>
      </c>
      <c r="E127" s="3">
        <v>45292</v>
      </c>
      <c r="F127" s="2" t="s">
        <v>1035</v>
      </c>
      <c r="G127" s="2">
        <v>9</v>
      </c>
      <c r="H127" s="2">
        <v>4</v>
      </c>
      <c r="I127" s="2" t="s">
        <v>1036</v>
      </c>
      <c r="J127" s="2" t="s">
        <v>1037</v>
      </c>
      <c r="K127" s="2" t="s">
        <v>1038</v>
      </c>
      <c r="L127" s="2" t="s">
        <v>29</v>
      </c>
      <c r="M127" s="2" t="s">
        <v>745</v>
      </c>
      <c r="N127" s="2" t="s">
        <v>171</v>
      </c>
      <c r="O127" s="4">
        <v>1776</v>
      </c>
      <c r="P127" s="2" t="s">
        <v>1039</v>
      </c>
      <c r="Q127" s="2" t="s">
        <v>49</v>
      </c>
      <c r="R127" s="2" t="s">
        <v>1040</v>
      </c>
      <c r="S127" s="2" t="s">
        <v>1041</v>
      </c>
      <c r="T127" s="2" t="s">
        <v>1042</v>
      </c>
      <c r="U127" s="2" t="s">
        <v>1043</v>
      </c>
      <c r="V127" s="2" t="s">
        <v>1044</v>
      </c>
    </row>
    <row r="128" spans="1:22">
      <c r="A128" s="2" t="s">
        <v>128</v>
      </c>
      <c r="B128" s="2" t="s">
        <v>1045</v>
      </c>
      <c r="C128" s="2" t="s">
        <v>130</v>
      </c>
      <c r="D128" s="2">
        <v>2024</v>
      </c>
      <c r="E128" s="3">
        <v>45292</v>
      </c>
      <c r="F128" s="2" t="s">
        <v>1046</v>
      </c>
      <c r="G128" s="2" t="s">
        <v>43</v>
      </c>
      <c r="H128" s="2" t="s">
        <v>43</v>
      </c>
      <c r="I128" s="2" t="s">
        <v>43</v>
      </c>
      <c r="J128" s="2" t="s">
        <v>1047</v>
      </c>
      <c r="K128" s="2" t="s">
        <v>718</v>
      </c>
      <c r="L128" s="2" t="s">
        <v>29</v>
      </c>
      <c r="M128" s="2" t="s">
        <v>120</v>
      </c>
      <c r="N128" s="2" t="s">
        <v>476</v>
      </c>
      <c r="O128" s="2" t="s">
        <v>1048</v>
      </c>
      <c r="P128" s="2" t="s">
        <v>1049</v>
      </c>
      <c r="Q128" s="2" t="s">
        <v>33</v>
      </c>
      <c r="R128" s="2" t="s">
        <v>1050</v>
      </c>
      <c r="S128" s="2" t="s">
        <v>138</v>
      </c>
      <c r="T128" s="2" t="s">
        <v>149</v>
      </c>
      <c r="U128" s="2" t="s">
        <v>150</v>
      </c>
      <c r="V128" s="2" t="s">
        <v>141</v>
      </c>
    </row>
    <row r="129" spans="1:22">
      <c r="A129" s="2" t="s">
        <v>1051</v>
      </c>
      <c r="B129" s="2" t="s">
        <v>1052</v>
      </c>
      <c r="C129" s="2" t="s">
        <v>1053</v>
      </c>
      <c r="D129" s="2">
        <v>2024</v>
      </c>
      <c r="E129" s="3">
        <v>45413</v>
      </c>
      <c r="F129" s="2" t="s">
        <v>1054</v>
      </c>
      <c r="G129" s="2">
        <v>191</v>
      </c>
      <c r="H129" s="2" t="s">
        <v>43</v>
      </c>
      <c r="I129" s="2" t="s">
        <v>43</v>
      </c>
      <c r="J129" s="2" t="s">
        <v>1055</v>
      </c>
      <c r="K129" s="2" t="s">
        <v>45</v>
      </c>
      <c r="L129" s="2" t="s">
        <v>29</v>
      </c>
      <c r="M129" s="2" t="s">
        <v>1017</v>
      </c>
      <c r="N129" s="2" t="s">
        <v>171</v>
      </c>
      <c r="O129" s="4">
        <v>1628</v>
      </c>
      <c r="P129" s="2" t="s">
        <v>1056</v>
      </c>
      <c r="Q129" s="2" t="s">
        <v>33</v>
      </c>
      <c r="R129" s="2" t="s">
        <v>1057</v>
      </c>
      <c r="S129" s="2" t="s">
        <v>821</v>
      </c>
      <c r="T129" s="2" t="s">
        <v>1058</v>
      </c>
      <c r="U129" s="2" t="s">
        <v>1059</v>
      </c>
      <c r="V129" s="2" t="s">
        <v>1060</v>
      </c>
    </row>
    <row r="130" spans="1:22" ht="28.8">
      <c r="A130" s="2" t="s">
        <v>1061</v>
      </c>
      <c r="B130" s="2" t="s">
        <v>1062</v>
      </c>
      <c r="C130" s="2" t="s">
        <v>1063</v>
      </c>
      <c r="D130" s="2">
        <v>2024</v>
      </c>
      <c r="E130" s="3">
        <v>45597</v>
      </c>
      <c r="F130" s="2" t="s">
        <v>889</v>
      </c>
      <c r="G130" s="2">
        <v>13</v>
      </c>
      <c r="H130" s="2">
        <v>11</v>
      </c>
      <c r="I130" s="2" t="s">
        <v>43</v>
      </c>
      <c r="J130" s="2" t="s">
        <v>890</v>
      </c>
      <c r="K130" s="2" t="s">
        <v>61</v>
      </c>
      <c r="L130" s="2" t="s">
        <v>29</v>
      </c>
      <c r="M130" s="2" t="s">
        <v>891</v>
      </c>
      <c r="N130" s="2" t="s">
        <v>498</v>
      </c>
      <c r="O130" s="4">
        <v>1484</v>
      </c>
      <c r="P130" s="2" t="s">
        <v>1064</v>
      </c>
      <c r="Q130" s="2" t="s">
        <v>49</v>
      </c>
      <c r="R130" s="2" t="s">
        <v>1065</v>
      </c>
      <c r="S130" s="2" t="s">
        <v>1066</v>
      </c>
      <c r="T130" s="2" t="s">
        <v>1067</v>
      </c>
      <c r="U130" s="2" t="s">
        <v>1068</v>
      </c>
      <c r="V130" s="2" t="s">
        <v>693</v>
      </c>
    </row>
    <row r="131" spans="1:22" ht="28.8">
      <c r="A131" s="2" t="s">
        <v>83</v>
      </c>
      <c r="B131" s="2" t="s">
        <v>1069</v>
      </c>
      <c r="C131" s="2" t="s">
        <v>1070</v>
      </c>
      <c r="D131" s="2">
        <v>2025</v>
      </c>
      <c r="E131" s="3">
        <v>45992</v>
      </c>
      <c r="F131" s="2" t="s">
        <v>167</v>
      </c>
      <c r="G131" s="2">
        <v>23</v>
      </c>
      <c r="H131" s="2">
        <v>1</v>
      </c>
      <c r="I131" s="2" t="s">
        <v>43</v>
      </c>
      <c r="J131" s="2" t="s">
        <v>1071</v>
      </c>
      <c r="K131" s="2" t="s">
        <v>233</v>
      </c>
      <c r="L131" s="2" t="s">
        <v>29</v>
      </c>
      <c r="M131" s="2" t="s">
        <v>1072</v>
      </c>
      <c r="N131" s="2" t="s">
        <v>75</v>
      </c>
      <c r="O131" s="4">
        <v>2898</v>
      </c>
      <c r="P131" s="2" t="s">
        <v>1073</v>
      </c>
      <c r="Q131" s="2" t="s">
        <v>33</v>
      </c>
      <c r="R131" s="2" t="s">
        <v>1074</v>
      </c>
      <c r="S131" s="2" t="s">
        <v>1075</v>
      </c>
      <c r="T131" s="2" t="s">
        <v>1076</v>
      </c>
      <c r="U131" s="2" t="s">
        <v>1077</v>
      </c>
      <c r="V131" s="2" t="s">
        <v>1078</v>
      </c>
    </row>
    <row r="132" spans="1:22" ht="100.8">
      <c r="A132" s="2" t="s">
        <v>1079</v>
      </c>
      <c r="B132" s="2" t="s">
        <v>1080</v>
      </c>
      <c r="C132" s="2" t="s">
        <v>1081</v>
      </c>
      <c r="D132" s="2">
        <v>2025</v>
      </c>
      <c r="E132" s="3">
        <v>45901</v>
      </c>
      <c r="F132" s="2" t="s">
        <v>1082</v>
      </c>
      <c r="G132" s="2">
        <v>137</v>
      </c>
      <c r="H132" s="2">
        <v>9</v>
      </c>
      <c r="I132" s="2" t="s">
        <v>43</v>
      </c>
      <c r="J132" s="2" t="s">
        <v>1083</v>
      </c>
      <c r="K132" s="2" t="s">
        <v>1084</v>
      </c>
      <c r="L132" s="2" t="s">
        <v>29</v>
      </c>
      <c r="M132" s="2" t="s">
        <v>76</v>
      </c>
      <c r="N132" s="2" t="s">
        <v>76</v>
      </c>
      <c r="O132" s="4">
        <v>2492</v>
      </c>
      <c r="P132" s="2" t="s">
        <v>1085</v>
      </c>
      <c r="Q132" s="2" t="s">
        <v>33</v>
      </c>
      <c r="R132" s="2" t="s">
        <v>1086</v>
      </c>
      <c r="S132" s="2" t="s">
        <v>1087</v>
      </c>
      <c r="T132" s="2" t="s">
        <v>1088</v>
      </c>
      <c r="U132" s="2" t="s">
        <v>1089</v>
      </c>
      <c r="V132" s="2" t="s">
        <v>1090</v>
      </c>
    </row>
    <row r="133" spans="1:22">
      <c r="A133" s="2" t="s">
        <v>83</v>
      </c>
      <c r="B133" s="2" t="s">
        <v>1091</v>
      </c>
      <c r="C133" s="2" t="s">
        <v>1092</v>
      </c>
      <c r="D133" s="2">
        <v>2025</v>
      </c>
      <c r="E133" s="3">
        <v>45962</v>
      </c>
      <c r="F133" s="2" t="s">
        <v>889</v>
      </c>
      <c r="G133" s="2">
        <v>14</v>
      </c>
      <c r="H133" s="2">
        <v>11</v>
      </c>
      <c r="I133" s="2" t="s">
        <v>43</v>
      </c>
      <c r="J133" s="2" t="s">
        <v>890</v>
      </c>
      <c r="K133" s="2" t="s">
        <v>61</v>
      </c>
      <c r="L133" s="2" t="s">
        <v>29</v>
      </c>
      <c r="M133" s="2" t="s">
        <v>1093</v>
      </c>
      <c r="N133" s="2" t="s">
        <v>171</v>
      </c>
      <c r="O133" s="4">
        <v>1706</v>
      </c>
      <c r="P133" s="2" t="s">
        <v>1094</v>
      </c>
      <c r="Q133" s="2" t="s">
        <v>49</v>
      </c>
      <c r="R133" s="2" t="s">
        <v>1095</v>
      </c>
      <c r="S133" s="2" t="s">
        <v>1096</v>
      </c>
      <c r="T133" s="2" t="s">
        <v>1097</v>
      </c>
      <c r="U133" s="2" t="s">
        <v>1098</v>
      </c>
      <c r="V133" s="2" t="s">
        <v>1099</v>
      </c>
    </row>
    <row r="134" spans="1:22">
      <c r="A134" s="2" t="s">
        <v>1100</v>
      </c>
      <c r="B134" s="2" t="s">
        <v>1101</v>
      </c>
      <c r="C134" s="2" t="s">
        <v>1102</v>
      </c>
      <c r="D134" s="2">
        <v>2024</v>
      </c>
      <c r="E134" s="3">
        <v>45383</v>
      </c>
      <c r="F134" s="2" t="s">
        <v>638</v>
      </c>
      <c r="G134" s="2">
        <v>209</v>
      </c>
      <c r="H134" s="2">
        <v>7</v>
      </c>
      <c r="I134" s="2" t="s">
        <v>1103</v>
      </c>
      <c r="J134" s="2" t="s">
        <v>640</v>
      </c>
      <c r="K134" s="2" t="s">
        <v>641</v>
      </c>
      <c r="L134" s="2" t="s">
        <v>29</v>
      </c>
      <c r="M134" s="2" t="s">
        <v>642</v>
      </c>
      <c r="N134" s="2" t="s">
        <v>105</v>
      </c>
      <c r="O134" s="4">
        <v>5076</v>
      </c>
      <c r="P134" s="2" t="s">
        <v>1104</v>
      </c>
      <c r="Q134" s="2" t="s">
        <v>644</v>
      </c>
      <c r="R134" s="2" t="s">
        <v>1105</v>
      </c>
      <c r="S134" s="2" t="s">
        <v>1106</v>
      </c>
      <c r="T134" s="2" t="s">
        <v>1107</v>
      </c>
      <c r="U134" s="2" t="s">
        <v>1108</v>
      </c>
      <c r="V134" s="2" t="s">
        <v>80</v>
      </c>
    </row>
    <row r="135" spans="1:22">
      <c r="A135" s="2" t="s">
        <v>1109</v>
      </c>
      <c r="B135" s="2" t="s">
        <v>1110</v>
      </c>
      <c r="C135" s="2" t="s">
        <v>1111</v>
      </c>
      <c r="D135" s="2">
        <v>2025</v>
      </c>
      <c r="E135" s="3">
        <v>45809</v>
      </c>
      <c r="F135" s="2" t="s">
        <v>1112</v>
      </c>
      <c r="G135" s="2">
        <v>79</v>
      </c>
      <c r="H135" s="2" t="s">
        <v>43</v>
      </c>
      <c r="I135" s="2" t="s">
        <v>43</v>
      </c>
      <c r="J135" s="2" t="s">
        <v>1113</v>
      </c>
      <c r="K135" s="2" t="s">
        <v>45</v>
      </c>
      <c r="L135" s="2" t="s">
        <v>29</v>
      </c>
      <c r="M135" s="2" t="s">
        <v>1114</v>
      </c>
      <c r="N135" s="2" t="s">
        <v>75</v>
      </c>
      <c r="O135" s="4">
        <v>1672</v>
      </c>
      <c r="P135" s="2" t="s">
        <v>1115</v>
      </c>
      <c r="Q135" s="2" t="s">
        <v>33</v>
      </c>
      <c r="R135" s="2" t="s">
        <v>1116</v>
      </c>
      <c r="S135" s="2" t="s">
        <v>1117</v>
      </c>
      <c r="T135" s="2" t="s">
        <v>1118</v>
      </c>
      <c r="U135" s="2" t="s">
        <v>1119</v>
      </c>
      <c r="V135" s="2" t="s">
        <v>80</v>
      </c>
    </row>
    <row r="136" spans="1:22">
      <c r="A136" s="2" t="s">
        <v>128</v>
      </c>
      <c r="B136" s="2" t="s">
        <v>1120</v>
      </c>
      <c r="C136" s="2" t="s">
        <v>130</v>
      </c>
      <c r="D136" s="2">
        <v>2024</v>
      </c>
      <c r="E136" s="3">
        <v>45292</v>
      </c>
      <c r="F136" s="2" t="s">
        <v>1121</v>
      </c>
      <c r="G136" s="2" t="s">
        <v>43</v>
      </c>
      <c r="H136" s="2" t="s">
        <v>43</v>
      </c>
      <c r="I136" s="2" t="s">
        <v>1122</v>
      </c>
      <c r="J136" s="2" t="s">
        <v>43</v>
      </c>
      <c r="K136" s="2" t="s">
        <v>1123</v>
      </c>
      <c r="L136" s="2" t="s">
        <v>29</v>
      </c>
      <c r="M136" s="2" t="s">
        <v>43</v>
      </c>
      <c r="N136" s="2" t="s">
        <v>43</v>
      </c>
      <c r="O136" s="2" t="s">
        <v>43</v>
      </c>
      <c r="P136" s="2" t="s">
        <v>1124</v>
      </c>
      <c r="Q136" s="2" t="s">
        <v>1125</v>
      </c>
      <c r="R136" s="2" t="s">
        <v>1126</v>
      </c>
      <c r="S136" s="2" t="s">
        <v>138</v>
      </c>
      <c r="T136" s="2" t="s">
        <v>1127</v>
      </c>
      <c r="U136" s="2" t="s">
        <v>1128</v>
      </c>
      <c r="V136" s="2" t="s">
        <v>141</v>
      </c>
    </row>
    <row r="137" spans="1:22">
      <c r="A137" s="2" t="s">
        <v>1129</v>
      </c>
      <c r="B137" s="2" t="s">
        <v>1130</v>
      </c>
      <c r="C137" s="2" t="s">
        <v>1131</v>
      </c>
      <c r="D137" s="2">
        <v>2024</v>
      </c>
      <c r="E137" s="3">
        <v>45292</v>
      </c>
      <c r="F137" s="2" t="s">
        <v>1132</v>
      </c>
      <c r="G137" s="2">
        <v>11</v>
      </c>
      <c r="H137" s="2">
        <v>1</v>
      </c>
      <c r="I137" s="2" t="s">
        <v>43</v>
      </c>
      <c r="J137" s="2" t="s">
        <v>1133</v>
      </c>
      <c r="K137" s="2" t="s">
        <v>1134</v>
      </c>
      <c r="L137" s="2" t="s">
        <v>29</v>
      </c>
      <c r="M137" s="2" t="s">
        <v>1135</v>
      </c>
      <c r="N137" s="2" t="s">
        <v>1136</v>
      </c>
      <c r="O137" s="2" t="s">
        <v>1137</v>
      </c>
      <c r="P137" s="2" t="s">
        <v>1138</v>
      </c>
      <c r="Q137" s="2" t="s">
        <v>33</v>
      </c>
      <c r="R137" s="2" t="s">
        <v>1139</v>
      </c>
      <c r="S137" s="2" t="s">
        <v>1140</v>
      </c>
      <c r="T137" s="2" t="s">
        <v>1141</v>
      </c>
      <c r="U137" s="2" t="s">
        <v>1142</v>
      </c>
      <c r="V137" s="2" t="s">
        <v>594</v>
      </c>
    </row>
    <row r="138" spans="1:22">
      <c r="A138" s="2" t="s">
        <v>113</v>
      </c>
      <c r="B138" s="2" t="s">
        <v>1143</v>
      </c>
      <c r="C138" s="2" t="s">
        <v>1144</v>
      </c>
      <c r="D138" s="2">
        <v>2025</v>
      </c>
      <c r="E138" s="3">
        <v>45901</v>
      </c>
      <c r="F138" s="2" t="s">
        <v>1145</v>
      </c>
      <c r="G138" s="2">
        <v>15</v>
      </c>
      <c r="H138" s="2">
        <v>9</v>
      </c>
      <c r="I138" s="2" t="s">
        <v>43</v>
      </c>
      <c r="J138" s="2" t="s">
        <v>1146</v>
      </c>
      <c r="K138" s="2" t="s">
        <v>61</v>
      </c>
      <c r="L138" s="2" t="s">
        <v>29</v>
      </c>
      <c r="M138" s="2" t="s">
        <v>567</v>
      </c>
      <c r="N138" s="2" t="s">
        <v>961</v>
      </c>
      <c r="O138" s="2" t="s">
        <v>1147</v>
      </c>
      <c r="P138" s="2" t="s">
        <v>1148</v>
      </c>
      <c r="Q138" s="2" t="s">
        <v>49</v>
      </c>
      <c r="R138" s="2" t="s">
        <v>1149</v>
      </c>
      <c r="S138" s="2" t="s">
        <v>1150</v>
      </c>
      <c r="T138" s="2" t="s">
        <v>1151</v>
      </c>
      <c r="U138" s="2" t="s">
        <v>1152</v>
      </c>
      <c r="V138" s="2" t="s">
        <v>1153</v>
      </c>
    </row>
    <row r="139" spans="1:22">
      <c r="A139" s="2" t="s">
        <v>1154</v>
      </c>
      <c r="B139" s="2" t="s">
        <v>1155</v>
      </c>
      <c r="C139" s="2" t="s">
        <v>1156</v>
      </c>
      <c r="D139" s="2">
        <v>2024</v>
      </c>
      <c r="E139" s="3">
        <v>45566</v>
      </c>
      <c r="F139" s="2" t="s">
        <v>1157</v>
      </c>
      <c r="G139" s="2">
        <v>227</v>
      </c>
      <c r="H139" s="2">
        <v>19</v>
      </c>
      <c r="I139" s="2" t="s">
        <v>43</v>
      </c>
      <c r="J139" s="2" t="s">
        <v>1158</v>
      </c>
      <c r="K139" s="2" t="s">
        <v>1159</v>
      </c>
      <c r="L139" s="2" t="s">
        <v>29</v>
      </c>
      <c r="M139" s="2" t="s">
        <v>144</v>
      </c>
      <c r="N139" s="2" t="s">
        <v>75</v>
      </c>
      <c r="O139" s="2" t="s">
        <v>1160</v>
      </c>
      <c r="P139" s="2" t="s">
        <v>1161</v>
      </c>
      <c r="Q139" s="2" t="s">
        <v>33</v>
      </c>
      <c r="R139" s="2" t="s">
        <v>1162</v>
      </c>
      <c r="S139" s="2" t="s">
        <v>1163</v>
      </c>
      <c r="T139" s="2" t="s">
        <v>1164</v>
      </c>
      <c r="U139" s="2" t="s">
        <v>1165</v>
      </c>
      <c r="V139" s="2" t="s">
        <v>1166</v>
      </c>
    </row>
    <row r="140" spans="1:22">
      <c r="A140" s="2" t="s">
        <v>1167</v>
      </c>
      <c r="B140" s="2" t="s">
        <v>1155</v>
      </c>
      <c r="C140" s="2" t="s">
        <v>1156</v>
      </c>
      <c r="D140" s="2">
        <v>2024</v>
      </c>
      <c r="E140" s="3">
        <v>45566</v>
      </c>
      <c r="F140" s="2" t="s">
        <v>1157</v>
      </c>
      <c r="G140" s="2">
        <v>227</v>
      </c>
      <c r="H140" s="2">
        <v>19</v>
      </c>
      <c r="I140" s="2" t="s">
        <v>43</v>
      </c>
      <c r="J140" s="2" t="s">
        <v>1158</v>
      </c>
      <c r="K140" s="2" t="s">
        <v>1159</v>
      </c>
      <c r="L140" s="2" t="s">
        <v>29</v>
      </c>
      <c r="M140" s="2" t="s">
        <v>144</v>
      </c>
      <c r="N140" s="2" t="s">
        <v>75</v>
      </c>
      <c r="O140" s="2" t="s">
        <v>1160</v>
      </c>
      <c r="P140" s="2" t="s">
        <v>1161</v>
      </c>
      <c r="Q140" s="2" t="s">
        <v>33</v>
      </c>
      <c r="R140" s="2" t="s">
        <v>1162</v>
      </c>
      <c r="S140" s="2" t="s">
        <v>1163</v>
      </c>
      <c r="T140" s="2" t="s">
        <v>1164</v>
      </c>
      <c r="U140" s="2" t="s">
        <v>1165</v>
      </c>
      <c r="V140" s="2" t="s">
        <v>1166</v>
      </c>
    </row>
    <row r="141" spans="1:22" ht="28.8">
      <c r="A141" s="2" t="s">
        <v>1168</v>
      </c>
      <c r="B141" s="2" t="s">
        <v>1169</v>
      </c>
      <c r="C141" s="2" t="s">
        <v>1170</v>
      </c>
      <c r="D141" s="2">
        <v>2025</v>
      </c>
      <c r="E141" s="3">
        <v>45717</v>
      </c>
      <c r="F141" s="2" t="s">
        <v>889</v>
      </c>
      <c r="G141" s="2">
        <v>14</v>
      </c>
      <c r="H141" s="2">
        <v>3</v>
      </c>
      <c r="I141" s="2" t="s">
        <v>43</v>
      </c>
      <c r="J141" s="2" t="s">
        <v>890</v>
      </c>
      <c r="K141" s="2" t="s">
        <v>61</v>
      </c>
      <c r="L141" s="2" t="s">
        <v>29</v>
      </c>
      <c r="M141" s="2" t="s">
        <v>1093</v>
      </c>
      <c r="N141" s="2" t="s">
        <v>171</v>
      </c>
      <c r="O141" s="4">
        <v>1706</v>
      </c>
      <c r="P141" s="2" t="s">
        <v>1171</v>
      </c>
      <c r="Q141" s="2" t="s">
        <v>33</v>
      </c>
      <c r="R141" s="2" t="s">
        <v>1172</v>
      </c>
      <c r="S141" s="2" t="s">
        <v>1173</v>
      </c>
      <c r="T141" s="2" t="s">
        <v>1174</v>
      </c>
      <c r="U141" s="2" t="s">
        <v>1175</v>
      </c>
      <c r="V141" s="2" t="s">
        <v>594</v>
      </c>
    </row>
    <row r="142" spans="1:22" ht="28.8">
      <c r="A142" s="2" t="s">
        <v>1176</v>
      </c>
      <c r="B142" s="2" t="s">
        <v>1169</v>
      </c>
      <c r="C142" s="2" t="s">
        <v>1170</v>
      </c>
      <c r="D142" s="2">
        <v>2025</v>
      </c>
      <c r="E142" s="3">
        <v>45717</v>
      </c>
      <c r="F142" s="2" t="s">
        <v>889</v>
      </c>
      <c r="G142" s="2">
        <v>14</v>
      </c>
      <c r="H142" s="2">
        <v>3</v>
      </c>
      <c r="I142" s="2" t="s">
        <v>43</v>
      </c>
      <c r="J142" s="2" t="s">
        <v>890</v>
      </c>
      <c r="K142" s="2" t="s">
        <v>61</v>
      </c>
      <c r="L142" s="2" t="s">
        <v>29</v>
      </c>
      <c r="M142" s="2" t="s">
        <v>1093</v>
      </c>
      <c r="N142" s="2" t="s">
        <v>171</v>
      </c>
      <c r="O142" s="4">
        <v>1706</v>
      </c>
      <c r="P142" s="2" t="s">
        <v>1171</v>
      </c>
      <c r="Q142" s="2" t="s">
        <v>33</v>
      </c>
      <c r="R142" s="2" t="s">
        <v>1172</v>
      </c>
      <c r="S142" s="2" t="s">
        <v>1173</v>
      </c>
      <c r="T142" s="2" t="s">
        <v>1174</v>
      </c>
      <c r="U142" s="2" t="s">
        <v>1175</v>
      </c>
      <c r="V142" s="2" t="s">
        <v>594</v>
      </c>
    </row>
    <row r="143" spans="1:22" ht="28.8">
      <c r="A143" s="2" t="s">
        <v>265</v>
      </c>
      <c r="B143" s="2" t="s">
        <v>1169</v>
      </c>
      <c r="C143" s="2" t="s">
        <v>1170</v>
      </c>
      <c r="D143" s="2">
        <v>2025</v>
      </c>
      <c r="E143" s="3">
        <v>45717</v>
      </c>
      <c r="F143" s="2" t="s">
        <v>889</v>
      </c>
      <c r="G143" s="2">
        <v>14</v>
      </c>
      <c r="H143" s="2">
        <v>3</v>
      </c>
      <c r="I143" s="2" t="s">
        <v>43</v>
      </c>
      <c r="J143" s="2" t="s">
        <v>890</v>
      </c>
      <c r="K143" s="2" t="s">
        <v>61</v>
      </c>
      <c r="L143" s="2" t="s">
        <v>29</v>
      </c>
      <c r="M143" s="2" t="s">
        <v>1093</v>
      </c>
      <c r="N143" s="2" t="s">
        <v>171</v>
      </c>
      <c r="O143" s="4">
        <v>1706</v>
      </c>
      <c r="P143" s="2" t="s">
        <v>1171</v>
      </c>
      <c r="Q143" s="2" t="s">
        <v>33</v>
      </c>
      <c r="R143" s="2" t="s">
        <v>1172</v>
      </c>
      <c r="S143" s="2" t="s">
        <v>1173</v>
      </c>
      <c r="T143" s="2" t="s">
        <v>1174</v>
      </c>
      <c r="U143" s="2" t="s">
        <v>1175</v>
      </c>
      <c r="V143" s="2" t="s">
        <v>594</v>
      </c>
    </row>
    <row r="144" spans="1:22">
      <c r="A144" s="2" t="s">
        <v>822</v>
      </c>
      <c r="B144" s="2" t="s">
        <v>1177</v>
      </c>
      <c r="C144" s="2" t="s">
        <v>1178</v>
      </c>
      <c r="D144" s="2">
        <v>2024</v>
      </c>
      <c r="E144" s="3">
        <v>45292</v>
      </c>
      <c r="F144" s="2" t="s">
        <v>1179</v>
      </c>
      <c r="G144" s="2">
        <v>8</v>
      </c>
      <c r="H144" s="2" t="s">
        <v>43</v>
      </c>
      <c r="I144" s="2" t="s">
        <v>43</v>
      </c>
      <c r="J144" s="2" t="s">
        <v>1180</v>
      </c>
      <c r="K144" s="2" t="s">
        <v>1181</v>
      </c>
      <c r="L144" s="2" t="s">
        <v>29</v>
      </c>
      <c r="M144" s="2" t="s">
        <v>1182</v>
      </c>
      <c r="N144" s="2" t="s">
        <v>1183</v>
      </c>
      <c r="O144" s="2" t="s">
        <v>1184</v>
      </c>
      <c r="P144" s="2" t="s">
        <v>1185</v>
      </c>
      <c r="Q144" s="2" t="s">
        <v>33</v>
      </c>
      <c r="R144" s="2" t="s">
        <v>1186</v>
      </c>
      <c r="S144" s="2" t="s">
        <v>1187</v>
      </c>
      <c r="T144" s="2" t="s">
        <v>1188</v>
      </c>
      <c r="U144" s="2" t="s">
        <v>1189</v>
      </c>
      <c r="V144" s="2" t="s">
        <v>1190</v>
      </c>
    </row>
    <row r="145" spans="1:22" ht="28.8">
      <c r="A145" s="2" t="s">
        <v>276</v>
      </c>
      <c r="B145" s="2" t="s">
        <v>1191</v>
      </c>
      <c r="C145" s="2" t="s">
        <v>1192</v>
      </c>
      <c r="D145" s="2">
        <v>2025</v>
      </c>
      <c r="E145" s="3">
        <v>45809</v>
      </c>
      <c r="F145" s="2" t="s">
        <v>1193</v>
      </c>
      <c r="G145" s="2">
        <v>18</v>
      </c>
      <c r="H145" s="2">
        <v>6</v>
      </c>
      <c r="I145" s="2" t="s">
        <v>43</v>
      </c>
      <c r="J145" s="2" t="s">
        <v>1194</v>
      </c>
      <c r="K145" s="2" t="s">
        <v>61</v>
      </c>
      <c r="L145" s="2" t="s">
        <v>29</v>
      </c>
      <c r="M145" s="2" t="s">
        <v>75</v>
      </c>
      <c r="N145" s="2" t="s">
        <v>961</v>
      </c>
      <c r="O145" s="2" t="s">
        <v>1195</v>
      </c>
      <c r="P145" s="2" t="s">
        <v>1196</v>
      </c>
      <c r="Q145" s="2" t="s">
        <v>49</v>
      </c>
      <c r="R145" s="2" t="s">
        <v>1197</v>
      </c>
      <c r="S145" s="2" t="s">
        <v>1198</v>
      </c>
      <c r="T145" s="2" t="s">
        <v>1199</v>
      </c>
      <c r="U145" s="2" t="s">
        <v>1200</v>
      </c>
      <c r="V145" s="2" t="s">
        <v>660</v>
      </c>
    </row>
    <row r="146" spans="1:22">
      <c r="A146" s="2" t="s">
        <v>1201</v>
      </c>
      <c r="B146" s="2" t="s">
        <v>1202</v>
      </c>
      <c r="C146" s="2" t="s">
        <v>1203</v>
      </c>
      <c r="D146" s="2">
        <v>2025</v>
      </c>
      <c r="E146" s="3">
        <v>45962</v>
      </c>
      <c r="F146" s="2" t="s">
        <v>1204</v>
      </c>
      <c r="G146" s="2">
        <v>134</v>
      </c>
      <c r="H146" s="2">
        <v>5</v>
      </c>
      <c r="I146" s="2" t="s">
        <v>1205</v>
      </c>
      <c r="J146" s="2" t="s">
        <v>1206</v>
      </c>
      <c r="K146" s="2" t="s">
        <v>734</v>
      </c>
      <c r="L146" s="2" t="s">
        <v>29</v>
      </c>
      <c r="M146" s="2" t="s">
        <v>1207</v>
      </c>
      <c r="N146" s="2" t="s">
        <v>31</v>
      </c>
      <c r="O146" s="4">
        <v>1291</v>
      </c>
      <c r="P146" s="2" t="s">
        <v>1208</v>
      </c>
      <c r="Q146" s="2" t="s">
        <v>49</v>
      </c>
      <c r="R146" s="2" t="s">
        <v>1209</v>
      </c>
      <c r="S146" s="2" t="s">
        <v>1210</v>
      </c>
      <c r="T146" s="2" t="s">
        <v>1211</v>
      </c>
      <c r="U146" s="2" t="s">
        <v>1212</v>
      </c>
      <c r="V146" s="2" t="s">
        <v>1213</v>
      </c>
    </row>
    <row r="147" spans="1:22">
      <c r="A147" s="2" t="s">
        <v>1214</v>
      </c>
      <c r="B147" s="2" t="s">
        <v>1215</v>
      </c>
      <c r="C147" s="2" t="s">
        <v>1216</v>
      </c>
      <c r="D147" s="2">
        <v>2024</v>
      </c>
      <c r="E147" s="3">
        <v>45536</v>
      </c>
      <c r="F147" s="2" t="s">
        <v>1217</v>
      </c>
      <c r="G147" s="2">
        <v>36</v>
      </c>
      <c r="H147" s="2">
        <v>9</v>
      </c>
      <c r="I147" s="2" t="s">
        <v>1218</v>
      </c>
      <c r="J147" s="2" t="s">
        <v>1219</v>
      </c>
      <c r="K147" s="2" t="s">
        <v>119</v>
      </c>
      <c r="L147" s="2" t="s">
        <v>29</v>
      </c>
      <c r="M147" s="2" t="s">
        <v>330</v>
      </c>
      <c r="N147" s="2" t="s">
        <v>121</v>
      </c>
      <c r="O147" s="4">
        <v>1437</v>
      </c>
      <c r="P147" s="2" t="s">
        <v>1220</v>
      </c>
      <c r="Q147" s="2" t="s">
        <v>33</v>
      </c>
      <c r="R147" s="2" t="s">
        <v>1221</v>
      </c>
      <c r="S147" s="2" t="s">
        <v>1222</v>
      </c>
      <c r="T147" s="2" t="s">
        <v>1223</v>
      </c>
      <c r="U147" s="2" t="s">
        <v>1224</v>
      </c>
      <c r="V147" s="2" t="s">
        <v>1225</v>
      </c>
    </row>
    <row r="148" spans="1:22">
      <c r="A148" s="2" t="s">
        <v>164</v>
      </c>
      <c r="B148" s="2" t="s">
        <v>1226</v>
      </c>
      <c r="C148" s="2" t="s">
        <v>1227</v>
      </c>
      <c r="D148" s="2">
        <v>2024</v>
      </c>
      <c r="E148" s="3">
        <v>45536</v>
      </c>
      <c r="F148" s="2" t="s">
        <v>1228</v>
      </c>
      <c r="G148" s="2">
        <v>598</v>
      </c>
      <c r="H148" s="2">
        <v>17</v>
      </c>
      <c r="I148" s="2" t="s">
        <v>1229</v>
      </c>
      <c r="J148" s="2" t="s">
        <v>1230</v>
      </c>
      <c r="K148" s="2" t="s">
        <v>119</v>
      </c>
      <c r="L148" s="2" t="s">
        <v>29</v>
      </c>
      <c r="M148" s="2" t="s">
        <v>667</v>
      </c>
      <c r="N148" s="2" t="s">
        <v>840</v>
      </c>
      <c r="O148" s="4">
        <v>1222</v>
      </c>
      <c r="P148" s="2" t="s">
        <v>1231</v>
      </c>
      <c r="Q148" s="2" t="s">
        <v>49</v>
      </c>
      <c r="R148" s="2" t="s">
        <v>1232</v>
      </c>
      <c r="S148" s="2" t="s">
        <v>174</v>
      </c>
      <c r="T148" s="2" t="s">
        <v>175</v>
      </c>
      <c r="U148" s="2" t="s">
        <v>176</v>
      </c>
      <c r="V148" s="2" t="s">
        <v>177</v>
      </c>
    </row>
    <row r="149" spans="1:22" ht="28.8">
      <c r="A149" s="2" t="s">
        <v>265</v>
      </c>
      <c r="B149" s="2" t="s">
        <v>1233</v>
      </c>
      <c r="C149" s="2" t="s">
        <v>1234</v>
      </c>
      <c r="D149" s="2">
        <v>2024</v>
      </c>
      <c r="E149" s="3">
        <v>45444</v>
      </c>
      <c r="F149" s="2" t="s">
        <v>889</v>
      </c>
      <c r="G149" s="2">
        <v>13</v>
      </c>
      <c r="H149" s="2">
        <v>6</v>
      </c>
      <c r="I149" s="2" t="s">
        <v>43</v>
      </c>
      <c r="J149" s="2" t="s">
        <v>890</v>
      </c>
      <c r="K149" s="2" t="s">
        <v>61</v>
      </c>
      <c r="L149" s="2" t="s">
        <v>29</v>
      </c>
      <c r="M149" s="2" t="s">
        <v>891</v>
      </c>
      <c r="N149" s="2" t="s">
        <v>498</v>
      </c>
      <c r="O149" s="4">
        <v>1484</v>
      </c>
      <c r="P149" s="2" t="s">
        <v>1235</v>
      </c>
      <c r="Q149" s="2" t="s">
        <v>33</v>
      </c>
      <c r="R149" s="2" t="s">
        <v>1236</v>
      </c>
      <c r="S149" s="2" t="s">
        <v>1237</v>
      </c>
      <c r="T149" s="2" t="s">
        <v>1238</v>
      </c>
      <c r="U149" s="2" t="s">
        <v>1239</v>
      </c>
      <c r="V149" s="2" t="s">
        <v>594</v>
      </c>
    </row>
    <row r="150" spans="1:22">
      <c r="A150" s="2" t="s">
        <v>82</v>
      </c>
      <c r="B150" s="2" t="s">
        <v>1240</v>
      </c>
      <c r="C150" s="2" t="s">
        <v>1241</v>
      </c>
      <c r="D150" s="2">
        <v>2025</v>
      </c>
      <c r="E150" s="3">
        <v>45658</v>
      </c>
      <c r="F150" s="2" t="s">
        <v>1242</v>
      </c>
      <c r="G150" s="2">
        <v>12</v>
      </c>
      <c r="H150" s="2" t="s">
        <v>43</v>
      </c>
      <c r="I150" s="2" t="s">
        <v>43</v>
      </c>
      <c r="J150" s="2" t="s">
        <v>1243</v>
      </c>
      <c r="K150" s="2" t="s">
        <v>183</v>
      </c>
      <c r="L150" s="2" t="s">
        <v>29</v>
      </c>
      <c r="M150" s="2" t="s">
        <v>1244</v>
      </c>
      <c r="N150" s="2" t="s">
        <v>374</v>
      </c>
      <c r="O150" s="4">
        <v>1177</v>
      </c>
      <c r="P150" s="2" t="s">
        <v>1245</v>
      </c>
      <c r="Q150" s="2" t="s">
        <v>33</v>
      </c>
      <c r="R150" s="2" t="s">
        <v>1246</v>
      </c>
      <c r="S150" s="2" t="s">
        <v>1247</v>
      </c>
      <c r="T150" s="2" t="s">
        <v>1248</v>
      </c>
      <c r="U150" s="2" t="s">
        <v>1247</v>
      </c>
      <c r="V150" s="2" t="s">
        <v>1249</v>
      </c>
    </row>
    <row r="151" spans="1:22">
      <c r="A151" s="2" t="s">
        <v>1250</v>
      </c>
      <c r="B151" s="2" t="s">
        <v>1240</v>
      </c>
      <c r="C151" s="2" t="s">
        <v>1241</v>
      </c>
      <c r="D151" s="2">
        <v>2025</v>
      </c>
      <c r="E151" s="3">
        <v>45658</v>
      </c>
      <c r="F151" s="2" t="s">
        <v>1242</v>
      </c>
      <c r="G151" s="2">
        <v>12</v>
      </c>
      <c r="H151" s="2" t="s">
        <v>43</v>
      </c>
      <c r="I151" s="2" t="s">
        <v>43</v>
      </c>
      <c r="J151" s="2" t="s">
        <v>1243</v>
      </c>
      <c r="K151" s="2" t="s">
        <v>183</v>
      </c>
      <c r="L151" s="2" t="s">
        <v>29</v>
      </c>
      <c r="M151" s="2" t="s">
        <v>1244</v>
      </c>
      <c r="N151" s="2" t="s">
        <v>374</v>
      </c>
      <c r="O151" s="4">
        <v>1177</v>
      </c>
      <c r="P151" s="2" t="s">
        <v>1245</v>
      </c>
      <c r="Q151" s="2" t="s">
        <v>33</v>
      </c>
      <c r="R151" s="2" t="s">
        <v>1246</v>
      </c>
      <c r="S151" s="2" t="s">
        <v>1247</v>
      </c>
      <c r="T151" s="2" t="s">
        <v>1248</v>
      </c>
      <c r="U151" s="2" t="s">
        <v>1247</v>
      </c>
      <c r="V151" s="2" t="s">
        <v>1249</v>
      </c>
    </row>
    <row r="152" spans="1:22">
      <c r="A152" s="2" t="s">
        <v>1251</v>
      </c>
      <c r="B152" s="2" t="s">
        <v>1240</v>
      </c>
      <c r="C152" s="2" t="s">
        <v>1241</v>
      </c>
      <c r="D152" s="2">
        <v>2025</v>
      </c>
      <c r="E152" s="3">
        <v>45658</v>
      </c>
      <c r="F152" s="2" t="s">
        <v>1242</v>
      </c>
      <c r="G152" s="2">
        <v>12</v>
      </c>
      <c r="H152" s="2" t="s">
        <v>43</v>
      </c>
      <c r="I152" s="2" t="s">
        <v>43</v>
      </c>
      <c r="J152" s="2" t="s">
        <v>1243</v>
      </c>
      <c r="K152" s="2" t="s">
        <v>183</v>
      </c>
      <c r="L152" s="2" t="s">
        <v>29</v>
      </c>
      <c r="M152" s="2" t="s">
        <v>1244</v>
      </c>
      <c r="N152" s="2" t="s">
        <v>374</v>
      </c>
      <c r="O152" s="4">
        <v>1177</v>
      </c>
      <c r="P152" s="2" t="s">
        <v>1245</v>
      </c>
      <c r="Q152" s="2" t="s">
        <v>33</v>
      </c>
      <c r="R152" s="2" t="s">
        <v>1246</v>
      </c>
      <c r="S152" s="2" t="s">
        <v>1247</v>
      </c>
      <c r="T152" s="2" t="s">
        <v>1248</v>
      </c>
      <c r="U152" s="2" t="s">
        <v>1247</v>
      </c>
      <c r="V152" s="2" t="s">
        <v>1249</v>
      </c>
    </row>
    <row r="153" spans="1:22">
      <c r="A153" s="2" t="s">
        <v>83</v>
      </c>
      <c r="B153" s="2" t="s">
        <v>1240</v>
      </c>
      <c r="C153" s="2" t="s">
        <v>1241</v>
      </c>
      <c r="D153" s="2">
        <v>2025</v>
      </c>
      <c r="E153" s="3">
        <v>45658</v>
      </c>
      <c r="F153" s="2" t="s">
        <v>1242</v>
      </c>
      <c r="G153" s="2">
        <v>12</v>
      </c>
      <c r="H153" s="2" t="s">
        <v>43</v>
      </c>
      <c r="I153" s="2" t="s">
        <v>43</v>
      </c>
      <c r="J153" s="2" t="s">
        <v>1243</v>
      </c>
      <c r="K153" s="2" t="s">
        <v>183</v>
      </c>
      <c r="L153" s="2" t="s">
        <v>29</v>
      </c>
      <c r="M153" s="2" t="s">
        <v>1244</v>
      </c>
      <c r="N153" s="2" t="s">
        <v>374</v>
      </c>
      <c r="O153" s="4">
        <v>1177</v>
      </c>
      <c r="P153" s="2" t="s">
        <v>1245</v>
      </c>
      <c r="Q153" s="2" t="s">
        <v>33</v>
      </c>
      <c r="R153" s="2" t="s">
        <v>1246</v>
      </c>
      <c r="S153" s="2" t="s">
        <v>1247</v>
      </c>
      <c r="T153" s="2" t="s">
        <v>1248</v>
      </c>
      <c r="U153" s="2" t="s">
        <v>1247</v>
      </c>
      <c r="V153" s="2" t="s">
        <v>1249</v>
      </c>
    </row>
    <row r="154" spans="1:22">
      <c r="A154" s="2" t="s">
        <v>1252</v>
      </c>
      <c r="B154" s="2" t="s">
        <v>1253</v>
      </c>
      <c r="C154" s="2" t="s">
        <v>1254</v>
      </c>
      <c r="D154" s="2">
        <v>2024</v>
      </c>
      <c r="E154" s="3">
        <v>45566</v>
      </c>
      <c r="F154" s="2" t="s">
        <v>1255</v>
      </c>
      <c r="G154" s="2">
        <v>43</v>
      </c>
      <c r="H154" s="2">
        <v>10</v>
      </c>
      <c r="I154" s="2" t="s">
        <v>1256</v>
      </c>
      <c r="J154" s="2" t="s">
        <v>1257</v>
      </c>
      <c r="K154" s="2" t="s">
        <v>1258</v>
      </c>
      <c r="L154" s="2" t="s">
        <v>29</v>
      </c>
      <c r="M154" s="2" t="s">
        <v>464</v>
      </c>
      <c r="N154" s="2" t="s">
        <v>440</v>
      </c>
      <c r="O154" s="2" t="s">
        <v>1259</v>
      </c>
      <c r="P154" s="2" t="s">
        <v>1260</v>
      </c>
      <c r="Q154" s="2" t="s">
        <v>33</v>
      </c>
      <c r="R154" s="2" t="s">
        <v>1261</v>
      </c>
      <c r="S154" s="2" t="s">
        <v>511</v>
      </c>
      <c r="T154" s="2" t="s">
        <v>1262</v>
      </c>
      <c r="U154" s="2" t="s">
        <v>1263</v>
      </c>
      <c r="V154" s="2" t="s">
        <v>80</v>
      </c>
    </row>
    <row r="155" spans="1:22">
      <c r="A155" s="2" t="s">
        <v>1264</v>
      </c>
      <c r="B155" s="2" t="s">
        <v>1253</v>
      </c>
      <c r="C155" s="2" t="s">
        <v>1254</v>
      </c>
      <c r="D155" s="2">
        <v>2024</v>
      </c>
      <c r="E155" s="3">
        <v>45566</v>
      </c>
      <c r="F155" s="2" t="s">
        <v>1255</v>
      </c>
      <c r="G155" s="2">
        <v>43</v>
      </c>
      <c r="H155" s="2">
        <v>10</v>
      </c>
      <c r="I155" s="2" t="s">
        <v>1256</v>
      </c>
      <c r="J155" s="2" t="s">
        <v>1257</v>
      </c>
      <c r="K155" s="2" t="s">
        <v>1258</v>
      </c>
      <c r="L155" s="2" t="s">
        <v>29</v>
      </c>
      <c r="M155" s="2" t="s">
        <v>464</v>
      </c>
      <c r="N155" s="2" t="s">
        <v>440</v>
      </c>
      <c r="O155" s="2" t="s">
        <v>1259</v>
      </c>
      <c r="P155" s="2" t="s">
        <v>1260</v>
      </c>
      <c r="Q155" s="2" t="s">
        <v>33</v>
      </c>
      <c r="R155" s="2" t="s">
        <v>1261</v>
      </c>
      <c r="S155" s="2" t="s">
        <v>511</v>
      </c>
      <c r="T155" s="2" t="s">
        <v>1262</v>
      </c>
      <c r="U155" s="2" t="s">
        <v>1263</v>
      </c>
      <c r="V155" s="2" t="s">
        <v>80</v>
      </c>
    </row>
    <row r="156" spans="1:22">
      <c r="A156" s="2" t="s">
        <v>1032</v>
      </c>
      <c r="B156" s="2" t="s">
        <v>1265</v>
      </c>
      <c r="C156" s="2" t="s">
        <v>1266</v>
      </c>
      <c r="D156" s="2">
        <v>2024</v>
      </c>
      <c r="E156" s="3">
        <v>45292</v>
      </c>
      <c r="F156" s="2" t="s">
        <v>1035</v>
      </c>
      <c r="G156" s="2">
        <v>9</v>
      </c>
      <c r="H156" s="2">
        <v>10</v>
      </c>
      <c r="I156" s="2" t="s">
        <v>1267</v>
      </c>
      <c r="J156" s="2" t="s">
        <v>1037</v>
      </c>
      <c r="K156" s="2" t="s">
        <v>1038</v>
      </c>
      <c r="L156" s="2" t="s">
        <v>29</v>
      </c>
      <c r="M156" s="2" t="s">
        <v>745</v>
      </c>
      <c r="N156" s="2" t="s">
        <v>171</v>
      </c>
      <c r="O156" s="4">
        <v>1776</v>
      </c>
      <c r="P156" s="2" t="s">
        <v>1268</v>
      </c>
      <c r="Q156" s="2" t="s">
        <v>33</v>
      </c>
      <c r="R156" s="2" t="s">
        <v>1269</v>
      </c>
      <c r="S156" s="2" t="s">
        <v>1041</v>
      </c>
      <c r="T156" s="2" t="s">
        <v>1042</v>
      </c>
      <c r="U156" s="2" t="s">
        <v>1043</v>
      </c>
      <c r="V156" s="2" t="s">
        <v>1044</v>
      </c>
    </row>
    <row r="157" spans="1:22">
      <c r="A157" s="2" t="s">
        <v>1270</v>
      </c>
      <c r="B157" s="2" t="s">
        <v>1265</v>
      </c>
      <c r="C157" s="2" t="s">
        <v>1266</v>
      </c>
      <c r="D157" s="2">
        <v>2024</v>
      </c>
      <c r="E157" s="3">
        <v>45292</v>
      </c>
      <c r="F157" s="2" t="s">
        <v>1035</v>
      </c>
      <c r="G157" s="2">
        <v>9</v>
      </c>
      <c r="H157" s="2">
        <v>10</v>
      </c>
      <c r="I157" s="2" t="s">
        <v>1267</v>
      </c>
      <c r="J157" s="2" t="s">
        <v>1037</v>
      </c>
      <c r="K157" s="2" t="s">
        <v>1038</v>
      </c>
      <c r="L157" s="2" t="s">
        <v>29</v>
      </c>
      <c r="M157" s="2" t="s">
        <v>745</v>
      </c>
      <c r="N157" s="2" t="s">
        <v>171</v>
      </c>
      <c r="O157" s="4">
        <v>1776</v>
      </c>
      <c r="P157" s="2" t="s">
        <v>1268</v>
      </c>
      <c r="Q157" s="2" t="s">
        <v>33</v>
      </c>
      <c r="R157" s="2" t="s">
        <v>1269</v>
      </c>
      <c r="S157" s="2" t="s">
        <v>1041</v>
      </c>
      <c r="T157" s="2" t="s">
        <v>1042</v>
      </c>
      <c r="U157" s="2" t="s">
        <v>1043</v>
      </c>
      <c r="V157" s="2" t="s">
        <v>1044</v>
      </c>
    </row>
    <row r="158" spans="1:22">
      <c r="A158" s="2" t="s">
        <v>790</v>
      </c>
      <c r="B158" s="2" t="s">
        <v>1271</v>
      </c>
      <c r="C158" s="2" t="s">
        <v>1272</v>
      </c>
      <c r="D158" s="2">
        <v>2025</v>
      </c>
      <c r="E158" s="3">
        <v>45658</v>
      </c>
      <c r="F158" s="2" t="s">
        <v>1273</v>
      </c>
      <c r="G158" s="2" t="s">
        <v>43</v>
      </c>
      <c r="H158" s="2" t="s">
        <v>43</v>
      </c>
      <c r="I158" s="2" t="s">
        <v>43</v>
      </c>
      <c r="J158" s="2" t="s">
        <v>1274</v>
      </c>
      <c r="K158" s="2" t="s">
        <v>666</v>
      </c>
      <c r="L158" s="2" t="s">
        <v>29</v>
      </c>
      <c r="M158" s="2" t="s">
        <v>1275</v>
      </c>
      <c r="N158" s="2" t="s">
        <v>171</v>
      </c>
      <c r="O158" s="2" t="s">
        <v>1276</v>
      </c>
      <c r="P158" s="2" t="s">
        <v>1277</v>
      </c>
      <c r="Q158" s="2" t="s">
        <v>33</v>
      </c>
      <c r="R158" s="2" t="s">
        <v>1278</v>
      </c>
      <c r="S158" s="2" t="s">
        <v>1279</v>
      </c>
      <c r="T158" s="2" t="s">
        <v>1280</v>
      </c>
      <c r="U158" s="2" t="s">
        <v>1281</v>
      </c>
      <c r="V158" s="2" t="s">
        <v>80</v>
      </c>
    </row>
    <row r="159" spans="1:22">
      <c r="A159" s="2" t="s">
        <v>1282</v>
      </c>
      <c r="B159" s="2" t="s">
        <v>1283</v>
      </c>
      <c r="C159" s="2" t="s">
        <v>1284</v>
      </c>
      <c r="D159" s="2">
        <v>2025</v>
      </c>
      <c r="E159" s="3">
        <v>45658</v>
      </c>
      <c r="F159" s="2" t="s">
        <v>167</v>
      </c>
      <c r="G159" s="2">
        <v>17</v>
      </c>
      <c r="H159" s="2">
        <v>1</v>
      </c>
      <c r="I159" s="2" t="s">
        <v>43</v>
      </c>
      <c r="J159" s="2" t="s">
        <v>279</v>
      </c>
      <c r="K159" s="2" t="s">
        <v>61</v>
      </c>
      <c r="L159" s="2" t="s">
        <v>29</v>
      </c>
      <c r="M159" s="2" t="s">
        <v>1285</v>
      </c>
      <c r="N159" s="2" t="s">
        <v>247</v>
      </c>
      <c r="O159" s="4">
        <v>1499</v>
      </c>
      <c r="P159" s="2" t="s">
        <v>1286</v>
      </c>
      <c r="Q159" s="2" t="s">
        <v>49</v>
      </c>
      <c r="R159" s="2" t="s">
        <v>1287</v>
      </c>
      <c r="S159" s="2" t="s">
        <v>1288</v>
      </c>
      <c r="T159" s="2" t="s">
        <v>1289</v>
      </c>
      <c r="U159" s="2" t="s">
        <v>1290</v>
      </c>
      <c r="V159" s="2" t="s">
        <v>80</v>
      </c>
    </row>
    <row r="160" spans="1:22" ht="28.8">
      <c r="A160" s="2" t="s">
        <v>996</v>
      </c>
      <c r="B160" s="2" t="s">
        <v>1291</v>
      </c>
      <c r="C160" s="2" t="s">
        <v>1292</v>
      </c>
      <c r="D160" s="2">
        <v>2024</v>
      </c>
      <c r="E160" s="3">
        <v>45627</v>
      </c>
      <c r="F160" s="2" t="s">
        <v>1293</v>
      </c>
      <c r="G160" s="2">
        <v>14</v>
      </c>
      <c r="H160" s="2">
        <v>1</v>
      </c>
      <c r="I160" s="2" t="s">
        <v>43</v>
      </c>
      <c r="J160" s="2" t="s">
        <v>1294</v>
      </c>
      <c r="K160" s="2" t="s">
        <v>220</v>
      </c>
      <c r="L160" s="2" t="s">
        <v>29</v>
      </c>
      <c r="M160" s="2" t="s">
        <v>614</v>
      </c>
      <c r="N160" s="2" t="s">
        <v>374</v>
      </c>
      <c r="O160" s="2" t="s">
        <v>1295</v>
      </c>
      <c r="P160" s="2" t="s">
        <v>1296</v>
      </c>
      <c r="Q160" s="2" t="s">
        <v>33</v>
      </c>
      <c r="R160" s="2" t="s">
        <v>1297</v>
      </c>
      <c r="S160" s="2" t="s">
        <v>1298</v>
      </c>
      <c r="T160" s="2" t="s">
        <v>1299</v>
      </c>
      <c r="U160" s="2" t="s">
        <v>1300</v>
      </c>
      <c r="V160" s="2" t="s">
        <v>933</v>
      </c>
    </row>
    <row r="161" spans="1:22" ht="28.8">
      <c r="A161" s="2" t="s">
        <v>1301</v>
      </c>
      <c r="B161" s="2" t="s">
        <v>1291</v>
      </c>
      <c r="C161" s="2" t="s">
        <v>1292</v>
      </c>
      <c r="D161" s="2">
        <v>2024</v>
      </c>
      <c r="E161" s="3">
        <v>45627</v>
      </c>
      <c r="F161" s="2" t="s">
        <v>1293</v>
      </c>
      <c r="G161" s="2">
        <v>14</v>
      </c>
      <c r="H161" s="2">
        <v>1</v>
      </c>
      <c r="I161" s="2" t="s">
        <v>43</v>
      </c>
      <c r="J161" s="2" t="s">
        <v>1294</v>
      </c>
      <c r="K161" s="2" t="s">
        <v>220</v>
      </c>
      <c r="L161" s="2" t="s">
        <v>29</v>
      </c>
      <c r="M161" s="2" t="s">
        <v>614</v>
      </c>
      <c r="N161" s="2" t="s">
        <v>374</v>
      </c>
      <c r="O161" s="2" t="s">
        <v>1295</v>
      </c>
      <c r="P161" s="2" t="s">
        <v>1296</v>
      </c>
      <c r="Q161" s="2" t="s">
        <v>33</v>
      </c>
      <c r="R161" s="2" t="s">
        <v>1297</v>
      </c>
      <c r="S161" s="2" t="s">
        <v>1298</v>
      </c>
      <c r="T161" s="2" t="s">
        <v>1299</v>
      </c>
      <c r="U161" s="2" t="s">
        <v>1300</v>
      </c>
      <c r="V161" s="2" t="s">
        <v>933</v>
      </c>
    </row>
    <row r="162" spans="1:22">
      <c r="A162" s="2" t="s">
        <v>1012</v>
      </c>
      <c r="B162" s="2" t="s">
        <v>1302</v>
      </c>
      <c r="C162" s="2" t="s">
        <v>1303</v>
      </c>
      <c r="D162" s="2">
        <v>2024</v>
      </c>
      <c r="E162" s="3">
        <v>45292</v>
      </c>
      <c r="F162" s="2" t="s">
        <v>1304</v>
      </c>
      <c r="G162" s="2">
        <v>15</v>
      </c>
      <c r="H162" s="2" t="s">
        <v>43</v>
      </c>
      <c r="I162" s="2" t="s">
        <v>43</v>
      </c>
      <c r="J162" s="2" t="s">
        <v>1305</v>
      </c>
      <c r="K162" s="2" t="s">
        <v>183</v>
      </c>
      <c r="L162" s="2" t="s">
        <v>29</v>
      </c>
      <c r="M162" s="2" t="s">
        <v>1306</v>
      </c>
      <c r="N162" s="2" t="s">
        <v>374</v>
      </c>
      <c r="O162" s="2" t="s">
        <v>1307</v>
      </c>
      <c r="P162" s="2" t="s">
        <v>1308</v>
      </c>
      <c r="Q162" s="2" t="s">
        <v>49</v>
      </c>
      <c r="R162" s="2" t="s">
        <v>1309</v>
      </c>
      <c r="S162" s="2" t="s">
        <v>511</v>
      </c>
      <c r="T162" s="2" t="s">
        <v>512</v>
      </c>
      <c r="U162" s="2" t="s">
        <v>511</v>
      </c>
      <c r="V162" s="2" t="s">
        <v>80</v>
      </c>
    </row>
    <row r="163" spans="1:22">
      <c r="A163" s="2" t="s">
        <v>1310</v>
      </c>
      <c r="B163" s="2" t="s">
        <v>1302</v>
      </c>
      <c r="C163" s="2" t="s">
        <v>1303</v>
      </c>
      <c r="D163" s="2">
        <v>2024</v>
      </c>
      <c r="E163" s="3">
        <v>45292</v>
      </c>
      <c r="F163" s="2" t="s">
        <v>1304</v>
      </c>
      <c r="G163" s="2">
        <v>15</v>
      </c>
      <c r="H163" s="2" t="s">
        <v>43</v>
      </c>
      <c r="I163" s="2" t="s">
        <v>43</v>
      </c>
      <c r="J163" s="2" t="s">
        <v>1305</v>
      </c>
      <c r="K163" s="2" t="s">
        <v>183</v>
      </c>
      <c r="L163" s="2" t="s">
        <v>29</v>
      </c>
      <c r="M163" s="2" t="s">
        <v>1306</v>
      </c>
      <c r="N163" s="2" t="s">
        <v>374</v>
      </c>
      <c r="O163" s="2" t="s">
        <v>1307</v>
      </c>
      <c r="P163" s="2" t="s">
        <v>1308</v>
      </c>
      <c r="Q163" s="2" t="s">
        <v>49</v>
      </c>
      <c r="R163" s="2" t="s">
        <v>1309</v>
      </c>
      <c r="S163" s="2" t="s">
        <v>511</v>
      </c>
      <c r="T163" s="2" t="s">
        <v>512</v>
      </c>
      <c r="U163" s="2" t="s">
        <v>511</v>
      </c>
      <c r="V163" s="2" t="s">
        <v>80</v>
      </c>
    </row>
    <row r="164" spans="1:22">
      <c r="A164" s="2" t="s">
        <v>1311</v>
      </c>
      <c r="B164" s="2" t="s">
        <v>1302</v>
      </c>
      <c r="C164" s="2" t="s">
        <v>1303</v>
      </c>
      <c r="D164" s="2">
        <v>2024</v>
      </c>
      <c r="E164" s="3">
        <v>45292</v>
      </c>
      <c r="F164" s="2" t="s">
        <v>1304</v>
      </c>
      <c r="G164" s="2">
        <v>15</v>
      </c>
      <c r="H164" s="2" t="s">
        <v>43</v>
      </c>
      <c r="I164" s="2" t="s">
        <v>43</v>
      </c>
      <c r="J164" s="2" t="s">
        <v>1305</v>
      </c>
      <c r="K164" s="2" t="s">
        <v>183</v>
      </c>
      <c r="L164" s="2" t="s">
        <v>29</v>
      </c>
      <c r="M164" s="2" t="s">
        <v>1306</v>
      </c>
      <c r="N164" s="2" t="s">
        <v>374</v>
      </c>
      <c r="O164" s="2" t="s">
        <v>1307</v>
      </c>
      <c r="P164" s="2" t="s">
        <v>1308</v>
      </c>
      <c r="Q164" s="2" t="s">
        <v>49</v>
      </c>
      <c r="R164" s="2" t="s">
        <v>1309</v>
      </c>
      <c r="S164" s="2" t="s">
        <v>511</v>
      </c>
      <c r="T164" s="2" t="s">
        <v>512</v>
      </c>
      <c r="U164" s="2" t="s">
        <v>511</v>
      </c>
      <c r="V164" s="2" t="s">
        <v>80</v>
      </c>
    </row>
    <row r="165" spans="1:22">
      <c r="A165" s="2" t="s">
        <v>996</v>
      </c>
      <c r="B165" s="2" t="s">
        <v>1302</v>
      </c>
      <c r="C165" s="2" t="s">
        <v>1303</v>
      </c>
      <c r="D165" s="2">
        <v>2024</v>
      </c>
      <c r="E165" s="3">
        <v>45292</v>
      </c>
      <c r="F165" s="2" t="s">
        <v>1304</v>
      </c>
      <c r="G165" s="2">
        <v>15</v>
      </c>
      <c r="H165" s="2" t="s">
        <v>43</v>
      </c>
      <c r="I165" s="2" t="s">
        <v>43</v>
      </c>
      <c r="J165" s="2" t="s">
        <v>1305</v>
      </c>
      <c r="K165" s="2" t="s">
        <v>183</v>
      </c>
      <c r="L165" s="2" t="s">
        <v>29</v>
      </c>
      <c r="M165" s="2" t="s">
        <v>1306</v>
      </c>
      <c r="N165" s="2" t="s">
        <v>374</v>
      </c>
      <c r="O165" s="2" t="s">
        <v>1307</v>
      </c>
      <c r="P165" s="2" t="s">
        <v>1308</v>
      </c>
      <c r="Q165" s="2" t="s">
        <v>49</v>
      </c>
      <c r="R165" s="2" t="s">
        <v>1309</v>
      </c>
      <c r="S165" s="2" t="s">
        <v>511</v>
      </c>
      <c r="T165" s="2" t="s">
        <v>512</v>
      </c>
      <c r="U165" s="2" t="s">
        <v>511</v>
      </c>
      <c r="V165" s="2" t="s">
        <v>80</v>
      </c>
    </row>
    <row r="166" spans="1:22">
      <c r="A166" s="2" t="s">
        <v>1024</v>
      </c>
      <c r="B166" s="2" t="s">
        <v>1312</v>
      </c>
      <c r="C166" s="2" t="s">
        <v>1313</v>
      </c>
      <c r="D166" s="2">
        <v>2024</v>
      </c>
      <c r="E166" s="3">
        <v>45566</v>
      </c>
      <c r="F166" s="2" t="s">
        <v>167</v>
      </c>
      <c r="G166" s="2">
        <v>16</v>
      </c>
      <c r="H166" s="2">
        <v>20</v>
      </c>
      <c r="I166" s="2" t="s">
        <v>43</v>
      </c>
      <c r="J166" s="2" t="s">
        <v>279</v>
      </c>
      <c r="K166" s="2" t="s">
        <v>61</v>
      </c>
      <c r="L166" s="2" t="s">
        <v>29</v>
      </c>
      <c r="M166" s="2" t="s">
        <v>280</v>
      </c>
      <c r="N166" s="2" t="s">
        <v>281</v>
      </c>
      <c r="O166" s="4">
        <v>1473</v>
      </c>
      <c r="P166" s="2" t="s">
        <v>1314</v>
      </c>
      <c r="Q166" s="2" t="s">
        <v>33</v>
      </c>
      <c r="R166" s="2" t="s">
        <v>1315</v>
      </c>
      <c r="S166" s="2" t="s">
        <v>1316</v>
      </c>
      <c r="T166" s="2" t="s">
        <v>1317</v>
      </c>
      <c r="U166" s="2" t="s">
        <v>1318</v>
      </c>
      <c r="V166" s="2" t="s">
        <v>594</v>
      </c>
    </row>
    <row r="167" spans="1:22">
      <c r="A167" s="2" t="s">
        <v>1319</v>
      </c>
      <c r="B167" s="2" t="s">
        <v>1312</v>
      </c>
      <c r="C167" s="2" t="s">
        <v>1313</v>
      </c>
      <c r="D167" s="2">
        <v>2024</v>
      </c>
      <c r="E167" s="3">
        <v>45566</v>
      </c>
      <c r="F167" s="2" t="s">
        <v>167</v>
      </c>
      <c r="G167" s="2">
        <v>16</v>
      </c>
      <c r="H167" s="2">
        <v>20</v>
      </c>
      <c r="I167" s="2" t="s">
        <v>43</v>
      </c>
      <c r="J167" s="2" t="s">
        <v>279</v>
      </c>
      <c r="K167" s="2" t="s">
        <v>61</v>
      </c>
      <c r="L167" s="2" t="s">
        <v>29</v>
      </c>
      <c r="M167" s="2" t="s">
        <v>280</v>
      </c>
      <c r="N167" s="2" t="s">
        <v>281</v>
      </c>
      <c r="O167" s="4">
        <v>1473</v>
      </c>
      <c r="P167" s="2" t="s">
        <v>1314</v>
      </c>
      <c r="Q167" s="2" t="s">
        <v>33</v>
      </c>
      <c r="R167" s="2" t="s">
        <v>1315</v>
      </c>
      <c r="S167" s="2" t="s">
        <v>1316</v>
      </c>
      <c r="T167" s="2" t="s">
        <v>1317</v>
      </c>
      <c r="U167" s="2" t="s">
        <v>1318</v>
      </c>
      <c r="V167" s="2" t="s">
        <v>594</v>
      </c>
    </row>
    <row r="168" spans="1:22">
      <c r="A168" s="2" t="s">
        <v>265</v>
      </c>
      <c r="B168" s="2" t="s">
        <v>1312</v>
      </c>
      <c r="C168" s="2" t="s">
        <v>1313</v>
      </c>
      <c r="D168" s="2">
        <v>2024</v>
      </c>
      <c r="E168" s="3">
        <v>45566</v>
      </c>
      <c r="F168" s="2" t="s">
        <v>167</v>
      </c>
      <c r="G168" s="2">
        <v>16</v>
      </c>
      <c r="H168" s="2">
        <v>20</v>
      </c>
      <c r="I168" s="2" t="s">
        <v>43</v>
      </c>
      <c r="J168" s="2" t="s">
        <v>279</v>
      </c>
      <c r="K168" s="2" t="s">
        <v>61</v>
      </c>
      <c r="L168" s="2" t="s">
        <v>29</v>
      </c>
      <c r="M168" s="2" t="s">
        <v>280</v>
      </c>
      <c r="N168" s="2" t="s">
        <v>281</v>
      </c>
      <c r="O168" s="4">
        <v>1473</v>
      </c>
      <c r="P168" s="2" t="s">
        <v>1314</v>
      </c>
      <c r="Q168" s="2" t="s">
        <v>33</v>
      </c>
      <c r="R168" s="2" t="s">
        <v>1315</v>
      </c>
      <c r="S168" s="2" t="s">
        <v>1316</v>
      </c>
      <c r="T168" s="2" t="s">
        <v>1317</v>
      </c>
      <c r="U168" s="2" t="s">
        <v>1318</v>
      </c>
      <c r="V168" s="2" t="s">
        <v>594</v>
      </c>
    </row>
    <row r="169" spans="1:22" ht="57.6">
      <c r="A169" s="2" t="s">
        <v>1320</v>
      </c>
      <c r="B169" s="2" t="s">
        <v>1321</v>
      </c>
      <c r="C169" s="2" t="s">
        <v>1322</v>
      </c>
      <c r="D169" s="2">
        <v>2024</v>
      </c>
      <c r="E169" s="3">
        <v>45505</v>
      </c>
      <c r="F169" s="2" t="s">
        <v>1323</v>
      </c>
      <c r="G169" s="2">
        <v>77</v>
      </c>
      <c r="H169" s="2">
        <v>8</v>
      </c>
      <c r="I169" s="2" t="s">
        <v>1324</v>
      </c>
      <c r="J169" s="2" t="s">
        <v>1325</v>
      </c>
      <c r="K169" s="2" t="s">
        <v>772</v>
      </c>
      <c r="L169" s="2" t="s">
        <v>773</v>
      </c>
      <c r="M169" s="2" t="s">
        <v>1326</v>
      </c>
      <c r="N169" s="2" t="s">
        <v>1327</v>
      </c>
      <c r="O169" s="2" t="s">
        <v>1328</v>
      </c>
      <c r="P169" s="2" t="s">
        <v>1329</v>
      </c>
      <c r="Q169" s="2" t="s">
        <v>33</v>
      </c>
      <c r="R169" s="2" t="s">
        <v>1330</v>
      </c>
      <c r="S169" s="2" t="s">
        <v>1331</v>
      </c>
      <c r="T169" s="2" t="s">
        <v>1332</v>
      </c>
      <c r="U169" s="2" t="s">
        <v>1333</v>
      </c>
      <c r="V169" s="2" t="s">
        <v>1334</v>
      </c>
    </row>
    <row r="170" spans="1:22">
      <c r="A170" s="2" t="s">
        <v>228</v>
      </c>
      <c r="B170" s="2" t="s">
        <v>1335</v>
      </c>
      <c r="C170" s="2" t="s">
        <v>1336</v>
      </c>
      <c r="D170" s="2">
        <v>2024</v>
      </c>
      <c r="E170" s="3">
        <v>45627</v>
      </c>
      <c r="F170" s="2" t="s">
        <v>231</v>
      </c>
      <c r="G170" s="2">
        <v>28</v>
      </c>
      <c r="H170" s="2">
        <v>1</v>
      </c>
      <c r="I170" s="2" t="s">
        <v>43</v>
      </c>
      <c r="J170" s="2" t="s">
        <v>232</v>
      </c>
      <c r="K170" s="2" t="s">
        <v>233</v>
      </c>
      <c r="L170" s="2" t="s">
        <v>29</v>
      </c>
      <c r="M170" s="2" t="s">
        <v>1337</v>
      </c>
      <c r="N170" s="2" t="s">
        <v>31</v>
      </c>
      <c r="O170" s="4">
        <v>2738</v>
      </c>
      <c r="P170" s="2" t="s">
        <v>1338</v>
      </c>
      <c r="Q170" s="2" t="s">
        <v>33</v>
      </c>
      <c r="R170" s="2" t="s">
        <v>1339</v>
      </c>
      <c r="S170" s="2" t="s">
        <v>1340</v>
      </c>
      <c r="T170" s="2" t="s">
        <v>1341</v>
      </c>
      <c r="U170" s="2" t="s">
        <v>1342</v>
      </c>
      <c r="V170" s="2" t="s">
        <v>1343</v>
      </c>
    </row>
    <row r="171" spans="1:22">
      <c r="A171" s="2" t="s">
        <v>1344</v>
      </c>
      <c r="B171" s="2" t="s">
        <v>1335</v>
      </c>
      <c r="C171" s="2" t="s">
        <v>1336</v>
      </c>
      <c r="D171" s="2">
        <v>2024</v>
      </c>
      <c r="E171" s="3">
        <v>45627</v>
      </c>
      <c r="F171" s="2" t="s">
        <v>231</v>
      </c>
      <c r="G171" s="2">
        <v>28</v>
      </c>
      <c r="H171" s="2">
        <v>1</v>
      </c>
      <c r="I171" s="2" t="s">
        <v>43</v>
      </c>
      <c r="J171" s="2" t="s">
        <v>232</v>
      </c>
      <c r="K171" s="2" t="s">
        <v>233</v>
      </c>
      <c r="L171" s="2" t="s">
        <v>29</v>
      </c>
      <c r="M171" s="2" t="s">
        <v>1337</v>
      </c>
      <c r="N171" s="2" t="s">
        <v>31</v>
      </c>
      <c r="O171" s="4">
        <v>2738</v>
      </c>
      <c r="P171" s="2" t="s">
        <v>1338</v>
      </c>
      <c r="Q171" s="2" t="s">
        <v>33</v>
      </c>
      <c r="R171" s="2" t="s">
        <v>1339</v>
      </c>
      <c r="S171" s="2" t="s">
        <v>1340</v>
      </c>
      <c r="T171" s="2" t="s">
        <v>1341</v>
      </c>
      <c r="U171" s="2" t="s">
        <v>1342</v>
      </c>
      <c r="V171" s="2" t="s">
        <v>1343</v>
      </c>
    </row>
    <row r="172" spans="1:22">
      <c r="A172" s="2" t="s">
        <v>433</v>
      </c>
      <c r="B172" s="2" t="s">
        <v>1335</v>
      </c>
      <c r="C172" s="2" t="s">
        <v>1336</v>
      </c>
      <c r="D172" s="2">
        <v>2024</v>
      </c>
      <c r="E172" s="3">
        <v>45627</v>
      </c>
      <c r="F172" s="2" t="s">
        <v>231</v>
      </c>
      <c r="G172" s="2">
        <v>28</v>
      </c>
      <c r="H172" s="2">
        <v>1</v>
      </c>
      <c r="I172" s="2" t="s">
        <v>43</v>
      </c>
      <c r="J172" s="2" t="s">
        <v>232</v>
      </c>
      <c r="K172" s="2" t="s">
        <v>233</v>
      </c>
      <c r="L172" s="2" t="s">
        <v>29</v>
      </c>
      <c r="M172" s="2" t="s">
        <v>1337</v>
      </c>
      <c r="N172" s="2" t="s">
        <v>31</v>
      </c>
      <c r="O172" s="4">
        <v>2738</v>
      </c>
      <c r="P172" s="2" t="s">
        <v>1338</v>
      </c>
      <c r="Q172" s="2" t="s">
        <v>33</v>
      </c>
      <c r="R172" s="2" t="s">
        <v>1339</v>
      </c>
      <c r="S172" s="2" t="s">
        <v>1340</v>
      </c>
      <c r="T172" s="2" t="s">
        <v>1341</v>
      </c>
      <c r="U172" s="2" t="s">
        <v>1342</v>
      </c>
      <c r="V172" s="2" t="s">
        <v>1343</v>
      </c>
    </row>
    <row r="173" spans="1:22">
      <c r="A173" s="2" t="s">
        <v>1345</v>
      </c>
      <c r="B173" s="2" t="s">
        <v>1346</v>
      </c>
      <c r="C173" s="2" t="s">
        <v>1347</v>
      </c>
      <c r="D173" s="2">
        <v>2025</v>
      </c>
      <c r="E173" s="3">
        <v>45689</v>
      </c>
      <c r="F173" s="2" t="s">
        <v>167</v>
      </c>
      <c r="G173" s="2">
        <v>17</v>
      </c>
      <c r="H173" s="2">
        <v>3</v>
      </c>
      <c r="I173" s="2" t="s">
        <v>43</v>
      </c>
      <c r="J173" s="2" t="s">
        <v>279</v>
      </c>
      <c r="K173" s="2" t="s">
        <v>61</v>
      </c>
      <c r="L173" s="2" t="s">
        <v>29</v>
      </c>
      <c r="M173" s="2" t="s">
        <v>1285</v>
      </c>
      <c r="N173" s="2" t="s">
        <v>247</v>
      </c>
      <c r="O173" s="4">
        <v>1499</v>
      </c>
      <c r="P173" s="2" t="s">
        <v>1348</v>
      </c>
      <c r="Q173" s="2" t="s">
        <v>49</v>
      </c>
      <c r="R173" s="2" t="s">
        <v>1349</v>
      </c>
      <c r="S173" s="2" t="s">
        <v>1350</v>
      </c>
      <c r="T173" s="2" t="s">
        <v>1351</v>
      </c>
      <c r="U173" s="2" t="s">
        <v>1352</v>
      </c>
      <c r="V173" s="2" t="s">
        <v>275</v>
      </c>
    </row>
    <row r="174" spans="1:22">
      <c r="A174" s="2" t="s">
        <v>1353</v>
      </c>
      <c r="B174" s="2" t="s">
        <v>1346</v>
      </c>
      <c r="C174" s="2" t="s">
        <v>1347</v>
      </c>
      <c r="D174" s="2">
        <v>2025</v>
      </c>
      <c r="E174" s="3">
        <v>45689</v>
      </c>
      <c r="F174" s="2" t="s">
        <v>167</v>
      </c>
      <c r="G174" s="2">
        <v>17</v>
      </c>
      <c r="H174" s="2">
        <v>3</v>
      </c>
      <c r="I174" s="2" t="s">
        <v>43</v>
      </c>
      <c r="J174" s="2" t="s">
        <v>279</v>
      </c>
      <c r="K174" s="2" t="s">
        <v>61</v>
      </c>
      <c r="L174" s="2" t="s">
        <v>29</v>
      </c>
      <c r="M174" s="2" t="s">
        <v>1285</v>
      </c>
      <c r="N174" s="2" t="s">
        <v>247</v>
      </c>
      <c r="O174" s="4">
        <v>1499</v>
      </c>
      <c r="P174" s="2" t="s">
        <v>1348</v>
      </c>
      <c r="Q174" s="2" t="s">
        <v>49</v>
      </c>
      <c r="R174" s="2" t="s">
        <v>1349</v>
      </c>
      <c r="S174" s="2" t="s">
        <v>1350</v>
      </c>
      <c r="T174" s="2" t="s">
        <v>1351</v>
      </c>
      <c r="U174" s="2" t="s">
        <v>1352</v>
      </c>
      <c r="V174" s="2" t="s">
        <v>275</v>
      </c>
    </row>
    <row r="175" spans="1:22">
      <c r="A175" s="2" t="s">
        <v>1354</v>
      </c>
      <c r="B175" s="2" t="s">
        <v>1346</v>
      </c>
      <c r="C175" s="2" t="s">
        <v>1347</v>
      </c>
      <c r="D175" s="2">
        <v>2025</v>
      </c>
      <c r="E175" s="3">
        <v>45689</v>
      </c>
      <c r="F175" s="2" t="s">
        <v>167</v>
      </c>
      <c r="G175" s="2">
        <v>17</v>
      </c>
      <c r="H175" s="2">
        <v>3</v>
      </c>
      <c r="I175" s="2" t="s">
        <v>43</v>
      </c>
      <c r="J175" s="2" t="s">
        <v>279</v>
      </c>
      <c r="K175" s="2" t="s">
        <v>61</v>
      </c>
      <c r="L175" s="2" t="s">
        <v>29</v>
      </c>
      <c r="M175" s="2" t="s">
        <v>1285</v>
      </c>
      <c r="N175" s="2" t="s">
        <v>247</v>
      </c>
      <c r="O175" s="4">
        <v>1499</v>
      </c>
      <c r="P175" s="2" t="s">
        <v>1348</v>
      </c>
      <c r="Q175" s="2" t="s">
        <v>49</v>
      </c>
      <c r="R175" s="2" t="s">
        <v>1349</v>
      </c>
      <c r="S175" s="2" t="s">
        <v>1350</v>
      </c>
      <c r="T175" s="2" t="s">
        <v>1351</v>
      </c>
      <c r="U175" s="2" t="s">
        <v>1352</v>
      </c>
      <c r="V175" s="2" t="s">
        <v>275</v>
      </c>
    </row>
    <row r="176" spans="1:22">
      <c r="A176" s="2" t="s">
        <v>1355</v>
      </c>
      <c r="B176" s="2" t="s">
        <v>1356</v>
      </c>
      <c r="C176" s="2" t="s">
        <v>1357</v>
      </c>
      <c r="D176" s="2">
        <v>2024</v>
      </c>
      <c r="E176" s="3">
        <v>45292</v>
      </c>
      <c r="F176" s="2" t="s">
        <v>1358</v>
      </c>
      <c r="G176" s="2">
        <v>17</v>
      </c>
      <c r="H176" s="2">
        <v>1</v>
      </c>
      <c r="I176" s="2" t="s">
        <v>1359</v>
      </c>
      <c r="J176" s="2" t="s">
        <v>1360</v>
      </c>
      <c r="K176" s="2" t="s">
        <v>1361</v>
      </c>
      <c r="L176" s="2" t="s">
        <v>29</v>
      </c>
      <c r="M176" s="2" t="s">
        <v>1362</v>
      </c>
      <c r="N176" s="2" t="s">
        <v>196</v>
      </c>
      <c r="O176" s="2" t="s">
        <v>1363</v>
      </c>
      <c r="P176" s="2" t="s">
        <v>1364</v>
      </c>
      <c r="Q176" s="2" t="s">
        <v>33</v>
      </c>
      <c r="R176" s="2" t="s">
        <v>1365</v>
      </c>
      <c r="S176" s="2" t="s">
        <v>1366</v>
      </c>
      <c r="T176" s="2" t="s">
        <v>1367</v>
      </c>
      <c r="U176" s="2" t="s">
        <v>1368</v>
      </c>
      <c r="V176" s="2" t="s">
        <v>80</v>
      </c>
    </row>
    <row r="177" spans="1:22" ht="72">
      <c r="A177" s="2" t="s">
        <v>1369</v>
      </c>
      <c r="B177" s="2" t="s">
        <v>1370</v>
      </c>
      <c r="C177" s="2" t="s">
        <v>1371</v>
      </c>
      <c r="D177" s="2">
        <v>2024</v>
      </c>
      <c r="E177" s="3">
        <v>45292</v>
      </c>
      <c r="F177" s="2" t="s">
        <v>1372</v>
      </c>
      <c r="G177" s="2">
        <v>12</v>
      </c>
      <c r="H177" s="2" t="s">
        <v>43</v>
      </c>
      <c r="I177" s="2" t="s">
        <v>43</v>
      </c>
      <c r="J177" s="2" t="s">
        <v>1373</v>
      </c>
      <c r="K177" s="2" t="s">
        <v>183</v>
      </c>
      <c r="L177" s="2" t="s">
        <v>29</v>
      </c>
      <c r="M177" s="2" t="s">
        <v>1326</v>
      </c>
      <c r="N177" s="2" t="s">
        <v>827</v>
      </c>
      <c r="O177" s="2" t="s">
        <v>1374</v>
      </c>
      <c r="P177" s="2" t="s">
        <v>1375</v>
      </c>
      <c r="Q177" s="2" t="s">
        <v>33</v>
      </c>
      <c r="R177" s="2" t="s">
        <v>1376</v>
      </c>
      <c r="S177" s="2" t="s">
        <v>1377</v>
      </c>
      <c r="T177" s="2" t="s">
        <v>1378</v>
      </c>
      <c r="U177" s="2" t="s">
        <v>1379</v>
      </c>
      <c r="V177" s="2" t="s">
        <v>1380</v>
      </c>
    </row>
    <row r="178" spans="1:22" ht="72">
      <c r="A178" s="2" t="s">
        <v>1381</v>
      </c>
      <c r="B178" s="2" t="s">
        <v>1370</v>
      </c>
      <c r="C178" s="2" t="s">
        <v>1371</v>
      </c>
      <c r="D178" s="2">
        <v>2024</v>
      </c>
      <c r="E178" s="3">
        <v>45292</v>
      </c>
      <c r="F178" s="2" t="s">
        <v>1372</v>
      </c>
      <c r="G178" s="2">
        <v>12</v>
      </c>
      <c r="H178" s="2" t="s">
        <v>43</v>
      </c>
      <c r="I178" s="2" t="s">
        <v>43</v>
      </c>
      <c r="J178" s="2" t="s">
        <v>1373</v>
      </c>
      <c r="K178" s="2" t="s">
        <v>183</v>
      </c>
      <c r="L178" s="2" t="s">
        <v>29</v>
      </c>
      <c r="M178" s="2" t="s">
        <v>1326</v>
      </c>
      <c r="N178" s="2" t="s">
        <v>827</v>
      </c>
      <c r="O178" s="2" t="s">
        <v>1374</v>
      </c>
      <c r="P178" s="2" t="s">
        <v>1375</v>
      </c>
      <c r="Q178" s="2" t="s">
        <v>33</v>
      </c>
      <c r="R178" s="2" t="s">
        <v>1376</v>
      </c>
      <c r="S178" s="2" t="s">
        <v>1377</v>
      </c>
      <c r="T178" s="2" t="s">
        <v>1378</v>
      </c>
      <c r="U178" s="2" t="s">
        <v>1379</v>
      </c>
      <c r="V178" s="2" t="s">
        <v>1380</v>
      </c>
    </row>
    <row r="179" spans="1:22" ht="28.8">
      <c r="A179" s="2" t="s">
        <v>265</v>
      </c>
      <c r="B179" s="2" t="s">
        <v>1382</v>
      </c>
      <c r="C179" s="2" t="s">
        <v>1383</v>
      </c>
      <c r="D179" s="2">
        <v>2025</v>
      </c>
      <c r="E179" s="3">
        <v>45809</v>
      </c>
      <c r="F179" s="2" t="s">
        <v>1384</v>
      </c>
      <c r="G179" s="2">
        <v>102</v>
      </c>
      <c r="H179" s="2" t="s">
        <v>43</v>
      </c>
      <c r="I179" s="2" t="s">
        <v>43</v>
      </c>
      <c r="J179" s="2" t="s">
        <v>1385</v>
      </c>
      <c r="K179" s="2" t="s">
        <v>45</v>
      </c>
      <c r="L179" s="2" t="s">
        <v>29</v>
      </c>
      <c r="M179" s="2" t="s">
        <v>281</v>
      </c>
      <c r="N179" s="2" t="s">
        <v>121</v>
      </c>
      <c r="O179" s="4">
        <v>1305</v>
      </c>
      <c r="P179" s="2" t="s">
        <v>1386</v>
      </c>
      <c r="Q179" s="2" t="s">
        <v>33</v>
      </c>
      <c r="R179" s="2" t="s">
        <v>1387</v>
      </c>
      <c r="S179" s="2" t="s">
        <v>1388</v>
      </c>
      <c r="T179" s="2" t="s">
        <v>1389</v>
      </c>
      <c r="U179" s="2" t="s">
        <v>1390</v>
      </c>
      <c r="V179" s="2" t="s">
        <v>594</v>
      </c>
    </row>
    <row r="180" spans="1:22">
      <c r="A180" s="2" t="s">
        <v>1391</v>
      </c>
      <c r="B180" s="2" t="s">
        <v>1392</v>
      </c>
      <c r="C180" s="2" t="s">
        <v>1393</v>
      </c>
      <c r="D180" s="2">
        <v>2025</v>
      </c>
      <c r="E180" s="3">
        <v>45748</v>
      </c>
      <c r="F180" s="2" t="s">
        <v>889</v>
      </c>
      <c r="G180" s="2">
        <v>14</v>
      </c>
      <c r="H180" s="2">
        <v>4</v>
      </c>
      <c r="I180" s="2" t="s">
        <v>43</v>
      </c>
      <c r="J180" s="2" t="s">
        <v>890</v>
      </c>
      <c r="K180" s="2" t="s">
        <v>61</v>
      </c>
      <c r="L180" s="2" t="s">
        <v>29</v>
      </c>
      <c r="M180" s="2" t="s">
        <v>1093</v>
      </c>
      <c r="N180" s="2" t="s">
        <v>171</v>
      </c>
      <c r="O180" s="4">
        <v>1706</v>
      </c>
      <c r="P180" s="2" t="s">
        <v>1394</v>
      </c>
      <c r="Q180" s="2" t="s">
        <v>49</v>
      </c>
      <c r="R180" s="2" t="s">
        <v>1395</v>
      </c>
      <c r="S180" s="2" t="s">
        <v>79</v>
      </c>
      <c r="T180" s="5">
        <v>601053680000000</v>
      </c>
      <c r="U180" s="2" t="s">
        <v>79</v>
      </c>
      <c r="V180" s="2" t="s">
        <v>80</v>
      </c>
    </row>
    <row r="181" spans="1:22">
      <c r="A181" s="2" t="s">
        <v>1396</v>
      </c>
      <c r="B181" s="2" t="s">
        <v>1392</v>
      </c>
      <c r="C181" s="2" t="s">
        <v>1393</v>
      </c>
      <c r="D181" s="2">
        <v>2025</v>
      </c>
      <c r="E181" s="3">
        <v>45748</v>
      </c>
      <c r="F181" s="2" t="s">
        <v>889</v>
      </c>
      <c r="G181" s="2">
        <v>14</v>
      </c>
      <c r="H181" s="2">
        <v>4</v>
      </c>
      <c r="I181" s="2" t="s">
        <v>43</v>
      </c>
      <c r="J181" s="2" t="s">
        <v>890</v>
      </c>
      <c r="K181" s="2" t="s">
        <v>61</v>
      </c>
      <c r="L181" s="2" t="s">
        <v>29</v>
      </c>
      <c r="M181" s="2" t="s">
        <v>1093</v>
      </c>
      <c r="N181" s="2" t="s">
        <v>171</v>
      </c>
      <c r="O181" s="4">
        <v>1706</v>
      </c>
      <c r="P181" s="2" t="s">
        <v>1394</v>
      </c>
      <c r="Q181" s="2" t="s">
        <v>49</v>
      </c>
      <c r="R181" s="2" t="s">
        <v>1395</v>
      </c>
      <c r="S181" s="2" t="s">
        <v>79</v>
      </c>
      <c r="T181" s="5">
        <v>601053680000000</v>
      </c>
      <c r="U181" s="2" t="s">
        <v>79</v>
      </c>
      <c r="V181" s="2" t="s">
        <v>80</v>
      </c>
    </row>
    <row r="182" spans="1:22">
      <c r="A182" s="2" t="s">
        <v>82</v>
      </c>
      <c r="B182" s="2" t="s">
        <v>1392</v>
      </c>
      <c r="C182" s="2" t="s">
        <v>1393</v>
      </c>
      <c r="D182" s="2">
        <v>2025</v>
      </c>
      <c r="E182" s="3">
        <v>45748</v>
      </c>
      <c r="F182" s="2" t="s">
        <v>889</v>
      </c>
      <c r="G182" s="2">
        <v>14</v>
      </c>
      <c r="H182" s="2">
        <v>4</v>
      </c>
      <c r="I182" s="2" t="s">
        <v>43</v>
      </c>
      <c r="J182" s="2" t="s">
        <v>890</v>
      </c>
      <c r="K182" s="2" t="s">
        <v>61</v>
      </c>
      <c r="L182" s="2" t="s">
        <v>29</v>
      </c>
      <c r="M182" s="2" t="s">
        <v>1093</v>
      </c>
      <c r="N182" s="2" t="s">
        <v>171</v>
      </c>
      <c r="O182" s="4">
        <v>1706</v>
      </c>
      <c r="P182" s="2" t="s">
        <v>1394</v>
      </c>
      <c r="Q182" s="2" t="s">
        <v>49</v>
      </c>
      <c r="R182" s="2" t="s">
        <v>1395</v>
      </c>
      <c r="S182" s="2" t="s">
        <v>79</v>
      </c>
      <c r="T182" s="5">
        <v>601053680000000</v>
      </c>
      <c r="U182" s="2" t="s">
        <v>79</v>
      </c>
      <c r="V182" s="2" t="s">
        <v>80</v>
      </c>
    </row>
    <row r="183" spans="1:22">
      <c r="A183" s="2" t="s">
        <v>83</v>
      </c>
      <c r="B183" s="2" t="s">
        <v>1392</v>
      </c>
      <c r="C183" s="2" t="s">
        <v>1393</v>
      </c>
      <c r="D183" s="2">
        <v>2025</v>
      </c>
      <c r="E183" s="3">
        <v>45748</v>
      </c>
      <c r="F183" s="2" t="s">
        <v>889</v>
      </c>
      <c r="G183" s="2">
        <v>14</v>
      </c>
      <c r="H183" s="2">
        <v>4</v>
      </c>
      <c r="I183" s="2" t="s">
        <v>43</v>
      </c>
      <c r="J183" s="2" t="s">
        <v>890</v>
      </c>
      <c r="K183" s="2" t="s">
        <v>61</v>
      </c>
      <c r="L183" s="2" t="s">
        <v>29</v>
      </c>
      <c r="M183" s="2" t="s">
        <v>1093</v>
      </c>
      <c r="N183" s="2" t="s">
        <v>171</v>
      </c>
      <c r="O183" s="4">
        <v>1706</v>
      </c>
      <c r="P183" s="2" t="s">
        <v>1394</v>
      </c>
      <c r="Q183" s="2" t="s">
        <v>49</v>
      </c>
      <c r="R183" s="2" t="s">
        <v>1395</v>
      </c>
      <c r="S183" s="2" t="s">
        <v>79</v>
      </c>
      <c r="T183" s="5">
        <v>601053680000000</v>
      </c>
      <c r="U183" s="2" t="s">
        <v>79</v>
      </c>
      <c r="V183" s="2" t="s">
        <v>80</v>
      </c>
    </row>
    <row r="184" spans="1:22">
      <c r="A184" s="2" t="s">
        <v>22</v>
      </c>
      <c r="B184" s="2" t="s">
        <v>1397</v>
      </c>
      <c r="C184" s="2" t="s">
        <v>1398</v>
      </c>
      <c r="D184" s="2">
        <v>2024</v>
      </c>
      <c r="E184" s="3">
        <v>45597</v>
      </c>
      <c r="F184" s="2" t="s">
        <v>1399</v>
      </c>
      <c r="G184" s="2">
        <v>124</v>
      </c>
      <c r="H184" s="2">
        <v>11</v>
      </c>
      <c r="I184" s="2" t="s">
        <v>1400</v>
      </c>
      <c r="J184" s="2" t="s">
        <v>1401</v>
      </c>
      <c r="K184" s="2" t="s">
        <v>718</v>
      </c>
      <c r="L184" s="2" t="s">
        <v>29</v>
      </c>
      <c r="M184" s="2" t="s">
        <v>498</v>
      </c>
      <c r="N184" s="2" t="s">
        <v>476</v>
      </c>
      <c r="O184" s="2" t="s">
        <v>1402</v>
      </c>
      <c r="P184" s="2" t="s">
        <v>1403</v>
      </c>
      <c r="Q184" s="2" t="s">
        <v>33</v>
      </c>
      <c r="R184" s="2" t="s">
        <v>1404</v>
      </c>
      <c r="S184" s="2" t="s">
        <v>1405</v>
      </c>
      <c r="T184" s="2" t="s">
        <v>1406</v>
      </c>
      <c r="U184" s="2" t="s">
        <v>1407</v>
      </c>
      <c r="V184" s="2" t="s">
        <v>1408</v>
      </c>
    </row>
    <row r="185" spans="1:22">
      <c r="A185" s="2" t="s">
        <v>113</v>
      </c>
      <c r="B185" s="2" t="s">
        <v>1409</v>
      </c>
      <c r="C185" s="2" t="s">
        <v>1410</v>
      </c>
      <c r="D185" s="2">
        <v>2024</v>
      </c>
      <c r="E185" s="3">
        <v>45566</v>
      </c>
      <c r="F185" s="2" t="s">
        <v>1411</v>
      </c>
      <c r="G185" s="2">
        <v>149</v>
      </c>
      <c r="H185" s="2" t="s">
        <v>43</v>
      </c>
      <c r="I185" s="2" t="s">
        <v>43</v>
      </c>
      <c r="J185" s="2" t="s">
        <v>1412</v>
      </c>
      <c r="K185" s="2" t="s">
        <v>45</v>
      </c>
      <c r="L185" s="2" t="s">
        <v>29</v>
      </c>
      <c r="M185" s="2" t="s">
        <v>361</v>
      </c>
      <c r="N185" s="2" t="s">
        <v>247</v>
      </c>
      <c r="O185" s="2" t="s">
        <v>1413</v>
      </c>
      <c r="P185" s="2" t="s">
        <v>1414</v>
      </c>
      <c r="Q185" s="2" t="s">
        <v>33</v>
      </c>
      <c r="R185" s="2" t="s">
        <v>1415</v>
      </c>
      <c r="S185" s="2" t="s">
        <v>1416</v>
      </c>
      <c r="T185" s="2" t="s">
        <v>1417</v>
      </c>
      <c r="U185" s="2" t="s">
        <v>1418</v>
      </c>
      <c r="V185" s="2" t="s">
        <v>1419</v>
      </c>
    </row>
    <row r="186" spans="1:22">
      <c r="A186" s="2" t="s">
        <v>128</v>
      </c>
      <c r="B186" s="2" t="s">
        <v>1420</v>
      </c>
      <c r="C186" s="2" t="s">
        <v>130</v>
      </c>
      <c r="D186" s="2">
        <v>2024</v>
      </c>
      <c r="E186" s="3">
        <v>45292</v>
      </c>
      <c r="F186" s="2" t="s">
        <v>1421</v>
      </c>
      <c r="G186" s="2" t="s">
        <v>43</v>
      </c>
      <c r="H186" s="2" t="s">
        <v>43</v>
      </c>
      <c r="I186" s="2" t="s">
        <v>1422</v>
      </c>
      <c r="J186" s="2" t="s">
        <v>43</v>
      </c>
      <c r="K186" s="2" t="s">
        <v>1423</v>
      </c>
      <c r="L186" s="2" t="s">
        <v>29</v>
      </c>
      <c r="M186" s="2" t="s">
        <v>43</v>
      </c>
      <c r="N186" s="2" t="s">
        <v>43</v>
      </c>
      <c r="O186" s="2" t="s">
        <v>43</v>
      </c>
      <c r="P186" s="2" t="s">
        <v>43</v>
      </c>
      <c r="Q186" s="2" t="s">
        <v>1125</v>
      </c>
      <c r="R186" s="2" t="s">
        <v>1424</v>
      </c>
      <c r="S186" s="2" t="s">
        <v>1425</v>
      </c>
      <c r="T186" s="2" t="s">
        <v>1426</v>
      </c>
      <c r="U186" s="2" t="s">
        <v>1427</v>
      </c>
      <c r="V186" s="2" t="s">
        <v>141</v>
      </c>
    </row>
    <row r="187" spans="1:22">
      <c r="A187" s="2" t="s">
        <v>1214</v>
      </c>
      <c r="B187" s="2" t="s">
        <v>1428</v>
      </c>
      <c r="C187" s="2" t="s">
        <v>1429</v>
      </c>
      <c r="D187" s="2">
        <v>2025</v>
      </c>
      <c r="E187" s="3">
        <v>45717</v>
      </c>
      <c r="F187" s="2" t="s">
        <v>1430</v>
      </c>
      <c r="G187" s="2">
        <v>96</v>
      </c>
      <c r="H187" s="2">
        <v>3</v>
      </c>
      <c r="I187" s="2" t="s">
        <v>1431</v>
      </c>
      <c r="J187" s="2" t="s">
        <v>1432</v>
      </c>
      <c r="K187" s="2" t="s">
        <v>119</v>
      </c>
      <c r="L187" s="2" t="s">
        <v>29</v>
      </c>
      <c r="M187" s="2" t="s">
        <v>1433</v>
      </c>
      <c r="N187" s="2" t="s">
        <v>121</v>
      </c>
      <c r="O187" s="4">
        <v>1437</v>
      </c>
      <c r="P187" s="2" t="s">
        <v>1434</v>
      </c>
      <c r="Q187" s="2" t="s">
        <v>33</v>
      </c>
      <c r="R187" s="2" t="s">
        <v>1435</v>
      </c>
      <c r="S187" s="2" t="s">
        <v>1436</v>
      </c>
      <c r="T187" s="2" t="s">
        <v>1437</v>
      </c>
      <c r="U187" s="2" t="s">
        <v>1438</v>
      </c>
      <c r="V187" s="2" t="s">
        <v>1213</v>
      </c>
    </row>
    <row r="188" spans="1:22">
      <c r="A188" s="2" t="s">
        <v>1439</v>
      </c>
      <c r="B188" s="2" t="s">
        <v>1440</v>
      </c>
      <c r="C188" s="2" t="s">
        <v>1441</v>
      </c>
      <c r="D188" s="2">
        <v>2024</v>
      </c>
      <c r="E188" s="3">
        <v>45345</v>
      </c>
      <c r="F188" s="2" t="s">
        <v>1442</v>
      </c>
      <c r="G188" s="2">
        <v>103</v>
      </c>
      <c r="H188" s="2">
        <v>8</v>
      </c>
      <c r="I188" s="2" t="s">
        <v>43</v>
      </c>
      <c r="J188" s="2" t="s">
        <v>1443</v>
      </c>
      <c r="K188" s="2" t="s">
        <v>566</v>
      </c>
      <c r="L188" s="2" t="s">
        <v>29</v>
      </c>
      <c r="M188" s="2" t="s">
        <v>393</v>
      </c>
      <c r="N188" s="2" t="s">
        <v>1444</v>
      </c>
      <c r="O188" s="2" t="s">
        <v>1445</v>
      </c>
      <c r="P188" s="2" t="s">
        <v>1446</v>
      </c>
      <c r="Q188" s="2" t="s">
        <v>33</v>
      </c>
      <c r="R188" s="2" t="s">
        <v>1447</v>
      </c>
      <c r="S188" s="2" t="s">
        <v>1448</v>
      </c>
      <c r="T188" s="2" t="s">
        <v>1449</v>
      </c>
      <c r="U188" s="2" t="s">
        <v>1450</v>
      </c>
      <c r="V188" s="2" t="s">
        <v>80</v>
      </c>
    </row>
    <row r="189" spans="1:22" ht="28.8">
      <c r="A189" s="2" t="s">
        <v>276</v>
      </c>
      <c r="B189" s="2" t="s">
        <v>1451</v>
      </c>
      <c r="C189" s="2" t="s">
        <v>1452</v>
      </c>
      <c r="D189" s="2">
        <v>2025</v>
      </c>
      <c r="E189" s="3">
        <v>45901</v>
      </c>
      <c r="F189" s="2" t="s">
        <v>167</v>
      </c>
      <c r="G189" s="2">
        <v>17</v>
      </c>
      <c r="H189" s="2">
        <v>18</v>
      </c>
      <c r="I189" s="2" t="s">
        <v>43</v>
      </c>
      <c r="J189" s="2" t="s">
        <v>279</v>
      </c>
      <c r="K189" s="2" t="s">
        <v>61</v>
      </c>
      <c r="L189" s="2" t="s">
        <v>29</v>
      </c>
      <c r="M189" s="2" t="s">
        <v>1285</v>
      </c>
      <c r="N189" s="2" t="s">
        <v>247</v>
      </c>
      <c r="O189" s="4">
        <v>1499</v>
      </c>
      <c r="P189" s="2" t="s">
        <v>1453</v>
      </c>
      <c r="Q189" s="2" t="s">
        <v>49</v>
      </c>
      <c r="R189" s="2" t="s">
        <v>1454</v>
      </c>
      <c r="S189" s="2" t="s">
        <v>1455</v>
      </c>
      <c r="T189" s="2" t="s">
        <v>1456</v>
      </c>
      <c r="U189" s="2" t="s">
        <v>1457</v>
      </c>
      <c r="V189" s="2" t="s">
        <v>1044</v>
      </c>
    </row>
    <row r="190" spans="1:22">
      <c r="A190" s="2" t="s">
        <v>897</v>
      </c>
      <c r="B190" s="2" t="s">
        <v>1458</v>
      </c>
      <c r="C190" s="2" t="s">
        <v>1459</v>
      </c>
      <c r="D190" s="2">
        <v>2025</v>
      </c>
      <c r="E190" s="3">
        <v>45717</v>
      </c>
      <c r="F190" s="2" t="s">
        <v>1460</v>
      </c>
      <c r="G190" s="2">
        <v>40</v>
      </c>
      <c r="H190" s="2">
        <v>1</v>
      </c>
      <c r="I190" s="2" t="s">
        <v>43</v>
      </c>
      <c r="J190" s="2" t="s">
        <v>1461</v>
      </c>
      <c r="K190" s="2" t="s">
        <v>1462</v>
      </c>
      <c r="L190" s="2" t="s">
        <v>29</v>
      </c>
      <c r="M190" s="2" t="s">
        <v>1463</v>
      </c>
      <c r="N190" s="2" t="s">
        <v>476</v>
      </c>
      <c r="O190" s="4">
        <v>1217</v>
      </c>
      <c r="P190" s="2" t="s">
        <v>1464</v>
      </c>
      <c r="Q190" s="2" t="s">
        <v>33</v>
      </c>
      <c r="R190" s="2" t="s">
        <v>1465</v>
      </c>
      <c r="S190" s="2" t="s">
        <v>908</v>
      </c>
      <c r="T190" s="2" t="s">
        <v>1466</v>
      </c>
      <c r="U190" s="2" t="s">
        <v>1467</v>
      </c>
      <c r="V190" s="2" t="s">
        <v>911</v>
      </c>
    </row>
    <row r="191" spans="1:22" ht="28.8">
      <c r="A191" s="2" t="s">
        <v>276</v>
      </c>
      <c r="B191" s="2" t="s">
        <v>1468</v>
      </c>
      <c r="C191" s="2" t="s">
        <v>1469</v>
      </c>
      <c r="D191" s="2">
        <v>2024</v>
      </c>
      <c r="E191" s="3">
        <v>45444</v>
      </c>
      <c r="F191" s="2" t="s">
        <v>1470</v>
      </c>
      <c r="G191" s="2">
        <v>14</v>
      </c>
      <c r="H191" s="2">
        <v>12</v>
      </c>
      <c r="I191" s="2" t="s">
        <v>43</v>
      </c>
      <c r="J191" s="2" t="s">
        <v>1471</v>
      </c>
      <c r="K191" s="2" t="s">
        <v>61</v>
      </c>
      <c r="L191" s="2" t="s">
        <v>29</v>
      </c>
      <c r="M191" s="2" t="s">
        <v>1472</v>
      </c>
      <c r="N191" s="2" t="s">
        <v>1473</v>
      </c>
      <c r="O191" s="2" t="s">
        <v>1474</v>
      </c>
      <c r="P191" s="2" t="s">
        <v>1475</v>
      </c>
      <c r="Q191" s="2" t="s">
        <v>33</v>
      </c>
      <c r="R191" s="2" t="s">
        <v>1476</v>
      </c>
      <c r="S191" s="2" t="s">
        <v>1477</v>
      </c>
      <c r="T191" s="2" t="s">
        <v>1478</v>
      </c>
      <c r="U191" s="2" t="s">
        <v>1479</v>
      </c>
      <c r="V191" s="2" t="s">
        <v>594</v>
      </c>
    </row>
    <row r="192" spans="1:22" ht="100.8">
      <c r="A192" s="2" t="s">
        <v>1480</v>
      </c>
      <c r="B192" s="2" t="s">
        <v>1481</v>
      </c>
      <c r="C192" s="2" t="s">
        <v>1482</v>
      </c>
      <c r="D192" s="2">
        <v>2024</v>
      </c>
      <c r="E192" s="3">
        <v>45536</v>
      </c>
      <c r="F192" s="2" t="s">
        <v>1483</v>
      </c>
      <c r="G192" s="2">
        <v>55</v>
      </c>
      <c r="H192" s="2" t="s">
        <v>43</v>
      </c>
      <c r="I192" s="2" t="s">
        <v>1484</v>
      </c>
      <c r="J192" s="2" t="s">
        <v>1485</v>
      </c>
      <c r="K192" s="2" t="s">
        <v>1486</v>
      </c>
      <c r="L192" s="2" t="s">
        <v>29</v>
      </c>
      <c r="M192" s="2" t="s">
        <v>1487</v>
      </c>
      <c r="N192" s="2" t="s">
        <v>1488</v>
      </c>
      <c r="O192" s="2" t="s">
        <v>1489</v>
      </c>
      <c r="P192" s="2" t="s">
        <v>1490</v>
      </c>
      <c r="Q192" s="2" t="s">
        <v>33</v>
      </c>
      <c r="R192" s="2" t="s">
        <v>1491</v>
      </c>
      <c r="S192" s="2" t="s">
        <v>1492</v>
      </c>
      <c r="T192" s="2" t="s">
        <v>1493</v>
      </c>
      <c r="U192" s="2" t="s">
        <v>1494</v>
      </c>
      <c r="V192" s="2" t="s">
        <v>1495</v>
      </c>
    </row>
    <row r="193" spans="1:22">
      <c r="A193" s="2" t="s">
        <v>39</v>
      </c>
      <c r="B193" s="2" t="s">
        <v>1496</v>
      </c>
      <c r="C193" s="2" t="s">
        <v>1497</v>
      </c>
      <c r="D193" s="2">
        <v>2025</v>
      </c>
      <c r="E193" s="3">
        <v>45962</v>
      </c>
      <c r="F193" s="2" t="s">
        <v>1498</v>
      </c>
      <c r="G193" s="2">
        <v>21</v>
      </c>
      <c r="H193" s="2">
        <v>11</v>
      </c>
      <c r="I193" s="2" t="s">
        <v>1499</v>
      </c>
      <c r="J193" s="2" t="s">
        <v>1500</v>
      </c>
      <c r="K193" s="2" t="s">
        <v>220</v>
      </c>
      <c r="L193" s="2" t="s">
        <v>29</v>
      </c>
      <c r="M193" s="2" t="s">
        <v>1501</v>
      </c>
      <c r="N193" s="2" t="s">
        <v>47</v>
      </c>
      <c r="O193" s="4">
        <v>9087</v>
      </c>
      <c r="P193" s="2" t="s">
        <v>1502</v>
      </c>
      <c r="Q193" s="2" t="s">
        <v>49</v>
      </c>
      <c r="R193" s="2" t="s">
        <v>1503</v>
      </c>
      <c r="S193" s="2" t="s">
        <v>1504</v>
      </c>
      <c r="T193" s="2" t="s">
        <v>1505</v>
      </c>
      <c r="U193" s="2" t="s">
        <v>1506</v>
      </c>
      <c r="V193" s="2" t="s">
        <v>621</v>
      </c>
    </row>
    <row r="194" spans="1:22">
      <c r="A194" s="2" t="s">
        <v>974</v>
      </c>
      <c r="B194" s="2" t="s">
        <v>1507</v>
      </c>
      <c r="C194" s="2" t="s">
        <v>1508</v>
      </c>
      <c r="D194" s="2">
        <v>2025</v>
      </c>
      <c r="E194" s="3">
        <v>45717</v>
      </c>
      <c r="F194" s="2" t="s">
        <v>167</v>
      </c>
      <c r="G194" s="2">
        <v>17</v>
      </c>
      <c r="H194" s="2">
        <v>6</v>
      </c>
      <c r="I194" s="2" t="s">
        <v>43</v>
      </c>
      <c r="J194" s="2" t="s">
        <v>279</v>
      </c>
      <c r="K194" s="2" t="s">
        <v>61</v>
      </c>
      <c r="L194" s="2" t="s">
        <v>29</v>
      </c>
      <c r="M194" s="2" t="s">
        <v>1285</v>
      </c>
      <c r="N194" s="2" t="s">
        <v>247</v>
      </c>
      <c r="O194" s="4">
        <v>1499</v>
      </c>
      <c r="P194" s="2" t="s">
        <v>1509</v>
      </c>
      <c r="Q194" s="2" t="s">
        <v>49</v>
      </c>
      <c r="R194" s="2" t="s">
        <v>1510</v>
      </c>
      <c r="S194" s="2" t="s">
        <v>79</v>
      </c>
      <c r="T194" s="2" t="s">
        <v>1511</v>
      </c>
      <c r="U194" s="2" t="s">
        <v>1512</v>
      </c>
      <c r="V194" s="2" t="s">
        <v>80</v>
      </c>
    </row>
    <row r="195" spans="1:22">
      <c r="A195" s="2" t="s">
        <v>1513</v>
      </c>
      <c r="B195" s="2" t="s">
        <v>1507</v>
      </c>
      <c r="C195" s="2" t="s">
        <v>1508</v>
      </c>
      <c r="D195" s="2">
        <v>2025</v>
      </c>
      <c r="E195" s="3">
        <v>45717</v>
      </c>
      <c r="F195" s="2" t="s">
        <v>167</v>
      </c>
      <c r="G195" s="2">
        <v>17</v>
      </c>
      <c r="H195" s="2">
        <v>6</v>
      </c>
      <c r="I195" s="2" t="s">
        <v>43</v>
      </c>
      <c r="J195" s="2" t="s">
        <v>279</v>
      </c>
      <c r="K195" s="2" t="s">
        <v>61</v>
      </c>
      <c r="L195" s="2" t="s">
        <v>29</v>
      </c>
      <c r="M195" s="2" t="s">
        <v>1285</v>
      </c>
      <c r="N195" s="2" t="s">
        <v>247</v>
      </c>
      <c r="O195" s="4">
        <v>1499</v>
      </c>
      <c r="P195" s="2" t="s">
        <v>1509</v>
      </c>
      <c r="Q195" s="2" t="s">
        <v>49</v>
      </c>
      <c r="R195" s="2" t="s">
        <v>1510</v>
      </c>
      <c r="S195" s="2" t="s">
        <v>79</v>
      </c>
      <c r="T195" s="2" t="s">
        <v>1511</v>
      </c>
      <c r="U195" s="2" t="s">
        <v>1512</v>
      </c>
      <c r="V195" s="2" t="s">
        <v>80</v>
      </c>
    </row>
    <row r="196" spans="1:22">
      <c r="A196" s="2" t="s">
        <v>1514</v>
      </c>
      <c r="B196" s="2" t="s">
        <v>1507</v>
      </c>
      <c r="C196" s="2" t="s">
        <v>1508</v>
      </c>
      <c r="D196" s="2">
        <v>2025</v>
      </c>
      <c r="E196" s="3">
        <v>45717</v>
      </c>
      <c r="F196" s="2" t="s">
        <v>167</v>
      </c>
      <c r="G196" s="2">
        <v>17</v>
      </c>
      <c r="H196" s="2">
        <v>6</v>
      </c>
      <c r="I196" s="2" t="s">
        <v>43</v>
      </c>
      <c r="J196" s="2" t="s">
        <v>279</v>
      </c>
      <c r="K196" s="2" t="s">
        <v>61</v>
      </c>
      <c r="L196" s="2" t="s">
        <v>29</v>
      </c>
      <c r="M196" s="2" t="s">
        <v>1285</v>
      </c>
      <c r="N196" s="2" t="s">
        <v>247</v>
      </c>
      <c r="O196" s="4">
        <v>1499</v>
      </c>
      <c r="P196" s="2" t="s">
        <v>1509</v>
      </c>
      <c r="Q196" s="2" t="s">
        <v>49</v>
      </c>
      <c r="R196" s="2" t="s">
        <v>1510</v>
      </c>
      <c r="S196" s="2" t="s">
        <v>79</v>
      </c>
      <c r="T196" s="2" t="s">
        <v>1511</v>
      </c>
      <c r="U196" s="2" t="s">
        <v>1512</v>
      </c>
      <c r="V196" s="2" t="s">
        <v>80</v>
      </c>
    </row>
    <row r="197" spans="1:22">
      <c r="A197" s="2" t="s">
        <v>975</v>
      </c>
      <c r="B197" s="2" t="s">
        <v>1507</v>
      </c>
      <c r="C197" s="2" t="s">
        <v>1508</v>
      </c>
      <c r="D197" s="2">
        <v>2025</v>
      </c>
      <c r="E197" s="3">
        <v>45717</v>
      </c>
      <c r="F197" s="2" t="s">
        <v>167</v>
      </c>
      <c r="G197" s="2">
        <v>17</v>
      </c>
      <c r="H197" s="2">
        <v>6</v>
      </c>
      <c r="I197" s="2" t="s">
        <v>43</v>
      </c>
      <c r="J197" s="2" t="s">
        <v>279</v>
      </c>
      <c r="K197" s="2" t="s">
        <v>61</v>
      </c>
      <c r="L197" s="2" t="s">
        <v>29</v>
      </c>
      <c r="M197" s="2" t="s">
        <v>1285</v>
      </c>
      <c r="N197" s="2" t="s">
        <v>247</v>
      </c>
      <c r="O197" s="4">
        <v>1499</v>
      </c>
      <c r="P197" s="2" t="s">
        <v>1509</v>
      </c>
      <c r="Q197" s="2" t="s">
        <v>49</v>
      </c>
      <c r="R197" s="2" t="s">
        <v>1510</v>
      </c>
      <c r="S197" s="2" t="s">
        <v>79</v>
      </c>
      <c r="T197" s="2" t="s">
        <v>1511</v>
      </c>
      <c r="U197" s="2" t="s">
        <v>1512</v>
      </c>
      <c r="V197" s="2" t="s">
        <v>80</v>
      </c>
    </row>
    <row r="198" spans="1:22">
      <c r="A198" s="2" t="s">
        <v>1515</v>
      </c>
      <c r="B198" s="2" t="s">
        <v>1507</v>
      </c>
      <c r="C198" s="2" t="s">
        <v>1508</v>
      </c>
      <c r="D198" s="2">
        <v>2025</v>
      </c>
      <c r="E198" s="3">
        <v>45717</v>
      </c>
      <c r="F198" s="2" t="s">
        <v>167</v>
      </c>
      <c r="G198" s="2">
        <v>17</v>
      </c>
      <c r="H198" s="2">
        <v>6</v>
      </c>
      <c r="I198" s="2" t="s">
        <v>43</v>
      </c>
      <c r="J198" s="2" t="s">
        <v>279</v>
      </c>
      <c r="K198" s="2" t="s">
        <v>61</v>
      </c>
      <c r="L198" s="2" t="s">
        <v>29</v>
      </c>
      <c r="M198" s="2" t="s">
        <v>1285</v>
      </c>
      <c r="N198" s="2" t="s">
        <v>247</v>
      </c>
      <c r="O198" s="4">
        <v>1499</v>
      </c>
      <c r="P198" s="2" t="s">
        <v>1509</v>
      </c>
      <c r="Q198" s="2" t="s">
        <v>49</v>
      </c>
      <c r="R198" s="2" t="s">
        <v>1510</v>
      </c>
      <c r="S198" s="2" t="s">
        <v>79</v>
      </c>
      <c r="T198" s="2" t="s">
        <v>1511</v>
      </c>
      <c r="U198" s="2" t="s">
        <v>1512</v>
      </c>
      <c r="V198" s="2" t="s">
        <v>80</v>
      </c>
    </row>
    <row r="199" spans="1:22">
      <c r="A199" s="2" t="s">
        <v>22</v>
      </c>
      <c r="B199" s="2" t="s">
        <v>1516</v>
      </c>
      <c r="C199" s="2" t="s">
        <v>1517</v>
      </c>
      <c r="D199" s="2">
        <v>2025</v>
      </c>
      <c r="E199" s="3">
        <v>45658</v>
      </c>
      <c r="F199" s="2" t="s">
        <v>1518</v>
      </c>
      <c r="G199" s="2">
        <v>43</v>
      </c>
      <c r="H199" s="2">
        <v>9</v>
      </c>
      <c r="I199" s="2" t="s">
        <v>390</v>
      </c>
      <c r="J199" s="2" t="s">
        <v>1519</v>
      </c>
      <c r="K199" s="2" t="s">
        <v>666</v>
      </c>
      <c r="L199" s="2" t="s">
        <v>29</v>
      </c>
      <c r="M199" s="2" t="s">
        <v>839</v>
      </c>
      <c r="N199" s="2" t="s">
        <v>1520</v>
      </c>
      <c r="O199" s="4">
        <v>1018</v>
      </c>
      <c r="P199" s="2" t="s">
        <v>1521</v>
      </c>
      <c r="Q199" s="2" t="s">
        <v>33</v>
      </c>
      <c r="R199" s="2" t="s">
        <v>1522</v>
      </c>
      <c r="S199" s="2" t="s">
        <v>1523</v>
      </c>
      <c r="T199" s="2" t="s">
        <v>1524</v>
      </c>
      <c r="U199" s="2" t="s">
        <v>1525</v>
      </c>
      <c r="V199" s="2" t="s">
        <v>1526</v>
      </c>
    </row>
    <row r="200" spans="1:22">
      <c r="A200" s="2" t="s">
        <v>1527</v>
      </c>
      <c r="B200" s="2" t="s">
        <v>1528</v>
      </c>
      <c r="C200" s="2" t="s">
        <v>1529</v>
      </c>
      <c r="D200" s="2">
        <v>2024</v>
      </c>
      <c r="E200" s="3">
        <v>45292</v>
      </c>
      <c r="F200" s="2" t="s">
        <v>1530</v>
      </c>
      <c r="G200" s="2">
        <v>30</v>
      </c>
      <c r="H200" s="2">
        <v>5</v>
      </c>
      <c r="I200" s="2" t="s">
        <v>1531</v>
      </c>
      <c r="J200" s="2" t="s">
        <v>1532</v>
      </c>
      <c r="K200" s="2" t="s">
        <v>666</v>
      </c>
      <c r="L200" s="2" t="s">
        <v>29</v>
      </c>
      <c r="M200" s="2" t="s">
        <v>304</v>
      </c>
      <c r="N200" s="2" t="s">
        <v>374</v>
      </c>
      <c r="O200" s="2" t="s">
        <v>1533</v>
      </c>
      <c r="P200" s="2" t="s">
        <v>1534</v>
      </c>
      <c r="Q200" s="2" t="s">
        <v>33</v>
      </c>
      <c r="R200" s="2" t="s">
        <v>1535</v>
      </c>
      <c r="S200" s="2" t="s">
        <v>1536</v>
      </c>
      <c r="T200" s="2" t="s">
        <v>1537</v>
      </c>
      <c r="U200" s="2" t="s">
        <v>1538</v>
      </c>
      <c r="V200" s="2" t="s">
        <v>80</v>
      </c>
    </row>
    <row r="201" spans="1:22">
      <c r="A201" s="2" t="s">
        <v>790</v>
      </c>
      <c r="B201" s="2" t="s">
        <v>1539</v>
      </c>
      <c r="C201" s="2" t="s">
        <v>1540</v>
      </c>
      <c r="D201" s="2">
        <v>2025</v>
      </c>
      <c r="E201" s="3">
        <v>45658</v>
      </c>
      <c r="F201" s="2" t="s">
        <v>1541</v>
      </c>
      <c r="G201" s="2">
        <v>34</v>
      </c>
      <c r="H201" s="2">
        <v>4</v>
      </c>
      <c r="I201" s="2" t="s">
        <v>1542</v>
      </c>
      <c r="J201" s="2" t="s">
        <v>1543</v>
      </c>
      <c r="K201" s="2" t="s">
        <v>666</v>
      </c>
      <c r="L201" s="2" t="s">
        <v>29</v>
      </c>
      <c r="M201" s="2" t="s">
        <v>870</v>
      </c>
      <c r="N201" s="2" t="s">
        <v>1544</v>
      </c>
      <c r="O201" s="2" t="s">
        <v>1545</v>
      </c>
      <c r="P201" s="2" t="s">
        <v>1546</v>
      </c>
      <c r="Q201" s="2" t="s">
        <v>33</v>
      </c>
      <c r="R201" s="2" t="s">
        <v>1547</v>
      </c>
      <c r="S201" s="2" t="s">
        <v>1548</v>
      </c>
      <c r="T201" s="2" t="s">
        <v>1549</v>
      </c>
      <c r="U201" s="2" t="s">
        <v>1550</v>
      </c>
      <c r="V201" s="2" t="s">
        <v>766</v>
      </c>
    </row>
    <row r="202" spans="1:22">
      <c r="A202" s="2" t="s">
        <v>1551</v>
      </c>
      <c r="B202" s="2" t="s">
        <v>1552</v>
      </c>
      <c r="C202" s="2" t="s">
        <v>1553</v>
      </c>
      <c r="D202" s="2">
        <v>2024</v>
      </c>
      <c r="E202" s="3">
        <v>45292</v>
      </c>
      <c r="F202" s="2" t="s">
        <v>203</v>
      </c>
      <c r="G202" s="2">
        <v>15</v>
      </c>
      <c r="H202" s="2" t="s">
        <v>43</v>
      </c>
      <c r="I202" s="2" t="s">
        <v>43</v>
      </c>
      <c r="J202" s="2" t="s">
        <v>204</v>
      </c>
      <c r="K202" s="2" t="s">
        <v>183</v>
      </c>
      <c r="L202" s="2" t="s">
        <v>29</v>
      </c>
      <c r="M202" s="2" t="s">
        <v>205</v>
      </c>
      <c r="N202" s="2" t="s">
        <v>63</v>
      </c>
      <c r="O202" s="2" t="s">
        <v>206</v>
      </c>
      <c r="P202" s="2" t="s">
        <v>1554</v>
      </c>
      <c r="Q202" s="2" t="s">
        <v>33</v>
      </c>
      <c r="R202" s="2" t="s">
        <v>1555</v>
      </c>
      <c r="S202" s="2" t="s">
        <v>1556</v>
      </c>
      <c r="T202" s="2" t="s">
        <v>1557</v>
      </c>
      <c r="U202" s="2" t="s">
        <v>1558</v>
      </c>
      <c r="V202" s="2" t="s">
        <v>80</v>
      </c>
    </row>
    <row r="203" spans="1:22">
      <c r="A203" s="2" t="s">
        <v>1559</v>
      </c>
      <c r="B203" s="2" t="s">
        <v>1552</v>
      </c>
      <c r="C203" s="2" t="s">
        <v>1553</v>
      </c>
      <c r="D203" s="2">
        <v>2024</v>
      </c>
      <c r="E203" s="3">
        <v>45292</v>
      </c>
      <c r="F203" s="2" t="s">
        <v>203</v>
      </c>
      <c r="G203" s="2">
        <v>15</v>
      </c>
      <c r="H203" s="2" t="s">
        <v>43</v>
      </c>
      <c r="I203" s="2" t="s">
        <v>43</v>
      </c>
      <c r="J203" s="2" t="s">
        <v>204</v>
      </c>
      <c r="K203" s="2" t="s">
        <v>183</v>
      </c>
      <c r="L203" s="2" t="s">
        <v>29</v>
      </c>
      <c r="M203" s="2" t="s">
        <v>205</v>
      </c>
      <c r="N203" s="2" t="s">
        <v>63</v>
      </c>
      <c r="O203" s="2" t="s">
        <v>206</v>
      </c>
      <c r="P203" s="2" t="s">
        <v>1554</v>
      </c>
      <c r="Q203" s="2" t="s">
        <v>33</v>
      </c>
      <c r="R203" s="2" t="s">
        <v>1555</v>
      </c>
      <c r="S203" s="2" t="s">
        <v>1556</v>
      </c>
      <c r="T203" s="2" t="s">
        <v>1557</v>
      </c>
      <c r="U203" s="2" t="s">
        <v>1558</v>
      </c>
      <c r="V203" s="2" t="s">
        <v>80</v>
      </c>
    </row>
    <row r="204" spans="1:22" ht="28.8">
      <c r="A204" s="2" t="s">
        <v>113</v>
      </c>
      <c r="B204" s="2" t="s">
        <v>1560</v>
      </c>
      <c r="C204" s="2" t="s">
        <v>1561</v>
      </c>
      <c r="D204" s="2">
        <v>2024</v>
      </c>
      <c r="E204" s="3">
        <v>45566</v>
      </c>
      <c r="F204" s="2" t="s">
        <v>576</v>
      </c>
      <c r="G204" s="2">
        <v>35</v>
      </c>
      <c r="H204" s="2">
        <v>10</v>
      </c>
      <c r="I204" s="2" t="s">
        <v>1562</v>
      </c>
      <c r="J204" s="2" t="s">
        <v>578</v>
      </c>
      <c r="K204" s="2" t="s">
        <v>119</v>
      </c>
      <c r="L204" s="2" t="s">
        <v>29</v>
      </c>
      <c r="M204" s="2" t="s">
        <v>579</v>
      </c>
      <c r="N204" s="2" t="s">
        <v>47</v>
      </c>
      <c r="O204" s="4">
        <v>1839</v>
      </c>
      <c r="P204" s="2" t="s">
        <v>1563</v>
      </c>
      <c r="Q204" s="2" t="s">
        <v>33</v>
      </c>
      <c r="R204" s="2" t="s">
        <v>1564</v>
      </c>
      <c r="S204" s="2" t="s">
        <v>1436</v>
      </c>
      <c r="T204" s="2" t="s">
        <v>1565</v>
      </c>
      <c r="U204" s="2" t="s">
        <v>1566</v>
      </c>
      <c r="V204" s="2" t="s">
        <v>1567</v>
      </c>
    </row>
    <row r="205" spans="1:22" ht="43.2">
      <c r="A205" s="2" t="s">
        <v>493</v>
      </c>
      <c r="B205" s="2" t="s">
        <v>1568</v>
      </c>
      <c r="C205" s="2" t="s">
        <v>1569</v>
      </c>
      <c r="D205" s="2">
        <v>2025</v>
      </c>
      <c r="E205" s="3">
        <v>45748</v>
      </c>
      <c r="F205" s="2" t="s">
        <v>1570</v>
      </c>
      <c r="G205" s="2">
        <v>77</v>
      </c>
      <c r="H205" s="2" t="s">
        <v>43</v>
      </c>
      <c r="I205" s="2" t="s">
        <v>43</v>
      </c>
      <c r="J205" s="2" t="s">
        <v>1571</v>
      </c>
      <c r="K205" s="2" t="s">
        <v>1572</v>
      </c>
      <c r="L205" s="2" t="s">
        <v>29</v>
      </c>
      <c r="M205" s="2" t="s">
        <v>234</v>
      </c>
      <c r="N205" s="2" t="s">
        <v>31</v>
      </c>
      <c r="O205" s="4">
        <v>2626</v>
      </c>
      <c r="P205" s="2" t="s">
        <v>1573</v>
      </c>
      <c r="Q205" s="2" t="s">
        <v>49</v>
      </c>
      <c r="R205" s="2" t="s">
        <v>1574</v>
      </c>
      <c r="S205" s="2" t="s">
        <v>1575</v>
      </c>
      <c r="T205" s="2" t="s">
        <v>1576</v>
      </c>
      <c r="U205" s="2" t="s">
        <v>1577</v>
      </c>
      <c r="V205" s="2" t="s">
        <v>1578</v>
      </c>
    </row>
    <row r="206" spans="1:22">
      <c r="A206" s="2" t="s">
        <v>276</v>
      </c>
      <c r="B206" s="2" t="s">
        <v>1579</v>
      </c>
      <c r="C206" s="2" t="s">
        <v>1580</v>
      </c>
      <c r="D206" s="2">
        <v>2024</v>
      </c>
      <c r="E206" s="3">
        <v>45536</v>
      </c>
      <c r="F206" s="2" t="s">
        <v>1193</v>
      </c>
      <c r="G206" s="2">
        <v>17</v>
      </c>
      <c r="H206" s="2">
        <v>9</v>
      </c>
      <c r="I206" s="2" t="s">
        <v>43</v>
      </c>
      <c r="J206" s="2" t="s">
        <v>1194</v>
      </c>
      <c r="K206" s="2" t="s">
        <v>61</v>
      </c>
      <c r="L206" s="2" t="s">
        <v>29</v>
      </c>
      <c r="M206" s="2" t="s">
        <v>330</v>
      </c>
      <c r="N206" s="2" t="s">
        <v>1581</v>
      </c>
      <c r="O206" s="4">
        <v>1019</v>
      </c>
      <c r="P206" s="2" t="s">
        <v>1582</v>
      </c>
      <c r="Q206" s="2" t="s">
        <v>49</v>
      </c>
      <c r="R206" s="2" t="s">
        <v>1583</v>
      </c>
      <c r="S206" s="2" t="s">
        <v>1584</v>
      </c>
      <c r="T206" s="2" t="s">
        <v>1585</v>
      </c>
      <c r="U206" s="2" t="s">
        <v>1586</v>
      </c>
      <c r="V206" s="2" t="s">
        <v>80</v>
      </c>
    </row>
    <row r="207" spans="1:22">
      <c r="A207" s="2" t="s">
        <v>83</v>
      </c>
      <c r="B207" s="2" t="s">
        <v>1587</v>
      </c>
      <c r="C207" s="2" t="s">
        <v>1588</v>
      </c>
      <c r="D207" s="2">
        <v>2025</v>
      </c>
      <c r="E207" s="3">
        <v>45870</v>
      </c>
      <c r="F207" s="2" t="s">
        <v>676</v>
      </c>
      <c r="G207" s="2">
        <v>189</v>
      </c>
      <c r="H207" s="2" t="s">
        <v>43</v>
      </c>
      <c r="I207" s="2" t="s">
        <v>43</v>
      </c>
      <c r="J207" s="2" t="s">
        <v>677</v>
      </c>
      <c r="K207" s="2" t="s">
        <v>678</v>
      </c>
      <c r="L207" s="2" t="s">
        <v>29</v>
      </c>
      <c r="M207" s="2" t="s">
        <v>1589</v>
      </c>
      <c r="N207" s="2" t="s">
        <v>464</v>
      </c>
      <c r="O207" s="4">
        <v>2074</v>
      </c>
      <c r="P207" s="2" t="s">
        <v>1590</v>
      </c>
      <c r="Q207" s="2" t="s">
        <v>33</v>
      </c>
      <c r="R207" s="2" t="s">
        <v>1591</v>
      </c>
      <c r="S207" s="2" t="s">
        <v>1592</v>
      </c>
      <c r="T207" s="2" t="s">
        <v>1593</v>
      </c>
      <c r="U207" s="2" t="s">
        <v>1594</v>
      </c>
      <c r="V207" s="2" t="s">
        <v>80</v>
      </c>
    </row>
    <row r="208" spans="1:22">
      <c r="A208" s="2" t="s">
        <v>82</v>
      </c>
      <c r="B208" s="2" t="s">
        <v>1587</v>
      </c>
      <c r="C208" s="2" t="s">
        <v>1588</v>
      </c>
      <c r="D208" s="2">
        <v>2025</v>
      </c>
      <c r="E208" s="3">
        <v>45870</v>
      </c>
      <c r="F208" s="2" t="s">
        <v>676</v>
      </c>
      <c r="G208" s="2">
        <v>189</v>
      </c>
      <c r="H208" s="2" t="s">
        <v>43</v>
      </c>
      <c r="I208" s="2" t="s">
        <v>43</v>
      </c>
      <c r="J208" s="2" t="s">
        <v>677</v>
      </c>
      <c r="K208" s="2" t="s">
        <v>678</v>
      </c>
      <c r="L208" s="2" t="s">
        <v>29</v>
      </c>
      <c r="M208" s="2" t="s">
        <v>1589</v>
      </c>
      <c r="N208" s="2" t="s">
        <v>464</v>
      </c>
      <c r="O208" s="4">
        <v>2074</v>
      </c>
      <c r="P208" s="2" t="s">
        <v>1590</v>
      </c>
      <c r="Q208" s="2" t="s">
        <v>33</v>
      </c>
      <c r="R208" s="2" t="s">
        <v>1591</v>
      </c>
      <c r="S208" s="2" t="s">
        <v>1592</v>
      </c>
      <c r="T208" s="2" t="s">
        <v>1593</v>
      </c>
      <c r="U208" s="2" t="s">
        <v>1594</v>
      </c>
      <c r="V208" s="2" t="s">
        <v>80</v>
      </c>
    </row>
    <row r="209" spans="1:22" ht="28.8">
      <c r="A209" s="2" t="s">
        <v>276</v>
      </c>
      <c r="B209" s="2" t="s">
        <v>1595</v>
      </c>
      <c r="C209" s="2" t="s">
        <v>1596</v>
      </c>
      <c r="D209" s="2">
        <v>2024</v>
      </c>
      <c r="E209" s="3">
        <v>45474</v>
      </c>
      <c r="F209" s="2" t="s">
        <v>1470</v>
      </c>
      <c r="G209" s="2">
        <v>14</v>
      </c>
      <c r="H209" s="2">
        <v>13</v>
      </c>
      <c r="I209" s="2" t="s">
        <v>43</v>
      </c>
      <c r="J209" s="2" t="s">
        <v>1471</v>
      </c>
      <c r="K209" s="2" t="s">
        <v>61</v>
      </c>
      <c r="L209" s="2" t="s">
        <v>29</v>
      </c>
      <c r="M209" s="2" t="s">
        <v>1472</v>
      </c>
      <c r="N209" s="2" t="s">
        <v>1473</v>
      </c>
      <c r="O209" s="2" t="s">
        <v>1474</v>
      </c>
      <c r="P209" s="2" t="s">
        <v>1597</v>
      </c>
      <c r="Q209" s="2" t="s">
        <v>49</v>
      </c>
      <c r="R209" s="2" t="s">
        <v>1598</v>
      </c>
      <c r="S209" s="2" t="s">
        <v>1599</v>
      </c>
      <c r="T209" s="2" t="s">
        <v>1600</v>
      </c>
      <c r="U209" s="2" t="s">
        <v>1601</v>
      </c>
      <c r="V209" s="2" t="s">
        <v>1602</v>
      </c>
    </row>
    <row r="210" spans="1:22">
      <c r="A210" s="2" t="s">
        <v>128</v>
      </c>
      <c r="B210" s="2" t="s">
        <v>1603</v>
      </c>
      <c r="C210" s="2" t="s">
        <v>130</v>
      </c>
      <c r="D210" s="2">
        <v>2025</v>
      </c>
      <c r="E210" s="3">
        <v>45992</v>
      </c>
      <c r="F210" s="2" t="s">
        <v>804</v>
      </c>
      <c r="G210" s="2">
        <v>107</v>
      </c>
      <c r="H210" s="2">
        <v>12</v>
      </c>
      <c r="I210" s="2" t="s">
        <v>1604</v>
      </c>
      <c r="J210" s="2" t="s">
        <v>806</v>
      </c>
      <c r="K210" s="2" t="s">
        <v>718</v>
      </c>
      <c r="L210" s="2" t="s">
        <v>29</v>
      </c>
      <c r="M210" s="2" t="s">
        <v>719</v>
      </c>
      <c r="N210" s="2" t="s">
        <v>807</v>
      </c>
      <c r="O210" s="2" t="s">
        <v>808</v>
      </c>
      <c r="P210" s="2" t="s">
        <v>1605</v>
      </c>
      <c r="Q210" s="2" t="s">
        <v>33</v>
      </c>
      <c r="R210" s="2" t="s">
        <v>1606</v>
      </c>
      <c r="S210" s="2" t="s">
        <v>138</v>
      </c>
      <c r="T210" s="2" t="s">
        <v>340</v>
      </c>
      <c r="U210" s="2" t="s">
        <v>341</v>
      </c>
      <c r="V210" s="2" t="s">
        <v>141</v>
      </c>
    </row>
    <row r="211" spans="1:22">
      <c r="A211" s="2" t="s">
        <v>128</v>
      </c>
      <c r="B211" s="2" t="s">
        <v>1607</v>
      </c>
      <c r="C211" s="2" t="s">
        <v>130</v>
      </c>
      <c r="D211" s="2">
        <v>2024</v>
      </c>
      <c r="E211" s="3">
        <v>45292</v>
      </c>
      <c r="F211" s="2" t="s">
        <v>1608</v>
      </c>
      <c r="G211" s="2" t="s">
        <v>43</v>
      </c>
      <c r="H211" s="2" t="s">
        <v>43</v>
      </c>
      <c r="I211" s="2" t="s">
        <v>1609</v>
      </c>
      <c r="J211" s="2" t="s">
        <v>43</v>
      </c>
      <c r="K211" s="2" t="s">
        <v>1423</v>
      </c>
      <c r="L211" s="2" t="s">
        <v>29</v>
      </c>
      <c r="M211" s="2" t="s">
        <v>43</v>
      </c>
      <c r="N211" s="2" t="s">
        <v>43</v>
      </c>
      <c r="O211" s="2" t="s">
        <v>43</v>
      </c>
      <c r="P211" s="2" t="s">
        <v>43</v>
      </c>
      <c r="Q211" s="2" t="s">
        <v>1125</v>
      </c>
      <c r="R211" s="2" t="s">
        <v>1610</v>
      </c>
      <c r="S211" s="2" t="s">
        <v>138</v>
      </c>
      <c r="T211" s="2" t="s">
        <v>340</v>
      </c>
      <c r="U211" s="2" t="s">
        <v>341</v>
      </c>
      <c r="V211" s="2" t="s">
        <v>141</v>
      </c>
    </row>
    <row r="212" spans="1:22" ht="28.8">
      <c r="A212" s="2" t="s">
        <v>276</v>
      </c>
      <c r="B212" s="2" t="s">
        <v>1611</v>
      </c>
      <c r="C212" s="2" t="s">
        <v>1612</v>
      </c>
      <c r="D212" s="2">
        <v>2024</v>
      </c>
      <c r="E212" s="3">
        <v>45627</v>
      </c>
      <c r="F212" s="2" t="s">
        <v>1470</v>
      </c>
      <c r="G212" s="2">
        <v>14</v>
      </c>
      <c r="H212" s="2">
        <v>23</v>
      </c>
      <c r="I212" s="2" t="s">
        <v>43</v>
      </c>
      <c r="J212" s="2" t="s">
        <v>1471</v>
      </c>
      <c r="K212" s="2" t="s">
        <v>61</v>
      </c>
      <c r="L212" s="2" t="s">
        <v>29</v>
      </c>
      <c r="M212" s="2" t="s">
        <v>1472</v>
      </c>
      <c r="N212" s="2" t="s">
        <v>1473</v>
      </c>
      <c r="O212" s="2" t="s">
        <v>1474</v>
      </c>
      <c r="P212" s="2" t="s">
        <v>1613</v>
      </c>
      <c r="Q212" s="2" t="s">
        <v>49</v>
      </c>
      <c r="R212" s="2" t="s">
        <v>1614</v>
      </c>
      <c r="S212" s="2" t="s">
        <v>1615</v>
      </c>
      <c r="T212" s="2" t="s">
        <v>1616</v>
      </c>
      <c r="U212" s="2" t="s">
        <v>1617</v>
      </c>
      <c r="V212" s="2" t="s">
        <v>1618</v>
      </c>
    </row>
    <row r="213" spans="1:22">
      <c r="A213" s="2" t="s">
        <v>1619</v>
      </c>
      <c r="B213" s="2" t="s">
        <v>1620</v>
      </c>
      <c r="C213" s="2" t="s">
        <v>1621</v>
      </c>
      <c r="D213" s="2">
        <v>2024</v>
      </c>
      <c r="E213" s="3">
        <v>45505</v>
      </c>
      <c r="F213" s="2" t="s">
        <v>1622</v>
      </c>
      <c r="G213" s="2">
        <v>5</v>
      </c>
      <c r="H213" s="2">
        <v>6</v>
      </c>
      <c r="I213" s="2" t="s">
        <v>43</v>
      </c>
      <c r="J213" s="2" t="s">
        <v>1623</v>
      </c>
      <c r="K213" s="2" t="s">
        <v>1624</v>
      </c>
      <c r="L213" s="2" t="s">
        <v>29</v>
      </c>
      <c r="M213" s="2" t="s">
        <v>1625</v>
      </c>
      <c r="N213" s="2" t="s">
        <v>1544</v>
      </c>
      <c r="O213" s="2" t="s">
        <v>1626</v>
      </c>
      <c r="P213" s="2" t="s">
        <v>1627</v>
      </c>
      <c r="Q213" s="2" t="s">
        <v>49</v>
      </c>
      <c r="R213" s="2" t="s">
        <v>1628</v>
      </c>
      <c r="S213" s="2" t="s">
        <v>1629</v>
      </c>
      <c r="T213" s="2" t="s">
        <v>1630</v>
      </c>
      <c r="U213" s="2" t="s">
        <v>1631</v>
      </c>
      <c r="V213" s="2" t="s">
        <v>594</v>
      </c>
    </row>
    <row r="214" spans="1:22" ht="28.8">
      <c r="A214" s="2" t="s">
        <v>514</v>
      </c>
      <c r="B214" s="2" t="s">
        <v>1632</v>
      </c>
      <c r="C214" s="2" t="s">
        <v>1633</v>
      </c>
      <c r="D214" s="2">
        <v>2024</v>
      </c>
      <c r="E214" s="3">
        <v>45597</v>
      </c>
      <c r="F214" s="2" t="s">
        <v>1634</v>
      </c>
      <c r="G214" s="2">
        <v>40</v>
      </c>
      <c r="H214" s="2">
        <v>4</v>
      </c>
      <c r="I214" s="2" t="s">
        <v>1635</v>
      </c>
      <c r="J214" s="2" t="s">
        <v>1636</v>
      </c>
      <c r="K214" s="2" t="s">
        <v>796</v>
      </c>
      <c r="L214" s="2" t="s">
        <v>29</v>
      </c>
      <c r="M214" s="2" t="s">
        <v>1637</v>
      </c>
      <c r="N214" s="2" t="s">
        <v>75</v>
      </c>
      <c r="O214" s="2" t="s">
        <v>1638</v>
      </c>
      <c r="P214" s="2" t="s">
        <v>1639</v>
      </c>
      <c r="Q214" s="2" t="s">
        <v>33</v>
      </c>
      <c r="R214" s="2" t="s">
        <v>1640</v>
      </c>
      <c r="S214" s="2" t="s">
        <v>1641</v>
      </c>
      <c r="T214" s="2" t="s">
        <v>1642</v>
      </c>
      <c r="U214" s="2" t="s">
        <v>1643</v>
      </c>
      <c r="V214" s="2" t="s">
        <v>621</v>
      </c>
    </row>
    <row r="215" spans="1:22">
      <c r="A215" s="2" t="s">
        <v>1644</v>
      </c>
      <c r="B215" s="2" t="s">
        <v>1645</v>
      </c>
      <c r="C215" s="2" t="s">
        <v>1646</v>
      </c>
      <c r="D215" s="2">
        <v>2024</v>
      </c>
      <c r="E215" s="3">
        <v>45627</v>
      </c>
      <c r="F215" s="2" t="s">
        <v>1647</v>
      </c>
      <c r="G215" s="2">
        <v>13</v>
      </c>
      <c r="H215" s="2">
        <v>1</v>
      </c>
      <c r="I215" s="2" t="s">
        <v>43</v>
      </c>
      <c r="J215" s="2" t="s">
        <v>1648</v>
      </c>
      <c r="K215" s="2" t="s">
        <v>718</v>
      </c>
      <c r="L215" s="2" t="s">
        <v>29</v>
      </c>
      <c r="M215" s="2" t="s">
        <v>1463</v>
      </c>
      <c r="N215" s="2" t="s">
        <v>348</v>
      </c>
      <c r="O215" s="2" t="s">
        <v>1649</v>
      </c>
      <c r="P215" s="2" t="s">
        <v>1650</v>
      </c>
      <c r="Q215" s="2" t="s">
        <v>33</v>
      </c>
      <c r="R215" s="2" t="s">
        <v>1651</v>
      </c>
      <c r="S215" s="2" t="s">
        <v>1652</v>
      </c>
      <c r="T215" s="2" t="s">
        <v>1653</v>
      </c>
      <c r="U215" s="2" t="s">
        <v>1654</v>
      </c>
      <c r="V215" s="2" t="s">
        <v>1655</v>
      </c>
    </row>
    <row r="216" spans="1:22">
      <c r="A216" s="2" t="s">
        <v>178</v>
      </c>
      <c r="B216" s="2" t="s">
        <v>1656</v>
      </c>
      <c r="C216" s="2" t="s">
        <v>1657</v>
      </c>
      <c r="D216" s="2">
        <v>2025</v>
      </c>
      <c r="E216" s="3">
        <v>45658</v>
      </c>
      <c r="F216" s="2" t="s">
        <v>1132</v>
      </c>
      <c r="G216" s="2">
        <v>12</v>
      </c>
      <c r="H216" s="2">
        <v>1</v>
      </c>
      <c r="I216" s="2" t="s">
        <v>43</v>
      </c>
      <c r="J216" s="2" t="s">
        <v>1133</v>
      </c>
      <c r="K216" s="2" t="s">
        <v>1134</v>
      </c>
      <c r="L216" s="2" t="s">
        <v>29</v>
      </c>
      <c r="M216" s="2" t="s">
        <v>839</v>
      </c>
      <c r="N216" s="2" t="s">
        <v>1520</v>
      </c>
      <c r="O216" s="2" t="s">
        <v>1658</v>
      </c>
      <c r="P216" s="2" t="s">
        <v>1659</v>
      </c>
      <c r="Q216" s="2" t="s">
        <v>33</v>
      </c>
      <c r="R216" s="2" t="s">
        <v>1660</v>
      </c>
      <c r="S216" s="2" t="s">
        <v>819</v>
      </c>
      <c r="T216" s="2" t="s">
        <v>1661</v>
      </c>
      <c r="U216" s="2" t="s">
        <v>1662</v>
      </c>
      <c r="V216" s="2" t="s">
        <v>80</v>
      </c>
    </row>
    <row r="217" spans="1:22">
      <c r="A217" s="2" t="s">
        <v>897</v>
      </c>
      <c r="B217" s="2" t="s">
        <v>1663</v>
      </c>
      <c r="C217" s="2" t="s">
        <v>1664</v>
      </c>
      <c r="D217" s="2">
        <v>2024</v>
      </c>
      <c r="E217" s="3">
        <v>45383</v>
      </c>
      <c r="F217" s="2" t="s">
        <v>1665</v>
      </c>
      <c r="G217" s="2">
        <v>88</v>
      </c>
      <c r="H217" s="2">
        <v>3</v>
      </c>
      <c r="I217" s="2" t="s">
        <v>1666</v>
      </c>
      <c r="J217" s="2" t="s">
        <v>1667</v>
      </c>
      <c r="K217" s="2" t="s">
        <v>718</v>
      </c>
      <c r="L217" s="2" t="s">
        <v>29</v>
      </c>
      <c r="M217" s="2" t="s">
        <v>144</v>
      </c>
      <c r="N217" s="2" t="s">
        <v>75</v>
      </c>
      <c r="O217" s="4">
        <v>1034</v>
      </c>
      <c r="P217" s="2" t="s">
        <v>1668</v>
      </c>
      <c r="Q217" s="2" t="s">
        <v>33</v>
      </c>
      <c r="R217" s="2" t="s">
        <v>1669</v>
      </c>
      <c r="S217" s="2" t="s">
        <v>1670</v>
      </c>
      <c r="T217" s="2" t="s">
        <v>1671</v>
      </c>
      <c r="U217" s="2" t="s">
        <v>1672</v>
      </c>
      <c r="V217" s="2" t="s">
        <v>911</v>
      </c>
    </row>
    <row r="218" spans="1:22">
      <c r="A218" s="2" t="s">
        <v>1673</v>
      </c>
      <c r="B218" s="2" t="s">
        <v>1674</v>
      </c>
      <c r="C218" s="2" t="s">
        <v>1675</v>
      </c>
      <c r="D218" s="2">
        <v>2024</v>
      </c>
      <c r="E218" s="3">
        <v>45444</v>
      </c>
      <c r="F218" s="2" t="s">
        <v>1676</v>
      </c>
      <c r="G218" s="2">
        <v>34</v>
      </c>
      <c r="H218" s="2">
        <v>6</v>
      </c>
      <c r="I218" s="2" t="s">
        <v>1677</v>
      </c>
      <c r="J218" s="2" t="s">
        <v>1678</v>
      </c>
      <c r="K218" s="2" t="s">
        <v>1624</v>
      </c>
      <c r="L218" s="2" t="s">
        <v>29</v>
      </c>
      <c r="M218" s="2" t="s">
        <v>1472</v>
      </c>
      <c r="N218" s="2" t="s">
        <v>247</v>
      </c>
      <c r="O218" s="4">
        <v>1148</v>
      </c>
      <c r="P218" s="2" t="s">
        <v>1679</v>
      </c>
      <c r="Q218" s="2" t="s">
        <v>33</v>
      </c>
      <c r="R218" s="2" t="s">
        <v>1680</v>
      </c>
      <c r="S218" s="2" t="s">
        <v>1681</v>
      </c>
      <c r="T218" s="2" t="s">
        <v>1682</v>
      </c>
      <c r="U218" s="2" t="s">
        <v>1683</v>
      </c>
      <c r="V218" s="2" t="s">
        <v>80</v>
      </c>
    </row>
    <row r="219" spans="1:22">
      <c r="A219" s="2" t="s">
        <v>1684</v>
      </c>
      <c r="B219" s="2" t="s">
        <v>1674</v>
      </c>
      <c r="C219" s="2" t="s">
        <v>1675</v>
      </c>
      <c r="D219" s="2">
        <v>2024</v>
      </c>
      <c r="E219" s="3">
        <v>45444</v>
      </c>
      <c r="F219" s="2" t="s">
        <v>1676</v>
      </c>
      <c r="G219" s="2">
        <v>34</v>
      </c>
      <c r="H219" s="2">
        <v>6</v>
      </c>
      <c r="I219" s="2" t="s">
        <v>1677</v>
      </c>
      <c r="J219" s="2" t="s">
        <v>1678</v>
      </c>
      <c r="K219" s="2" t="s">
        <v>1624</v>
      </c>
      <c r="L219" s="2" t="s">
        <v>29</v>
      </c>
      <c r="M219" s="2" t="s">
        <v>1472</v>
      </c>
      <c r="N219" s="2" t="s">
        <v>247</v>
      </c>
      <c r="O219" s="4">
        <v>1148</v>
      </c>
      <c r="P219" s="2" t="s">
        <v>1679</v>
      </c>
      <c r="Q219" s="2" t="s">
        <v>33</v>
      </c>
      <c r="R219" s="2" t="s">
        <v>1680</v>
      </c>
      <c r="S219" s="2" t="s">
        <v>1681</v>
      </c>
      <c r="T219" s="2" t="s">
        <v>1682</v>
      </c>
      <c r="U219" s="2" t="s">
        <v>1683</v>
      </c>
      <c r="V219" s="2" t="s">
        <v>80</v>
      </c>
    </row>
    <row r="220" spans="1:22">
      <c r="A220" s="2" t="s">
        <v>1282</v>
      </c>
      <c r="B220" s="2" t="s">
        <v>1674</v>
      </c>
      <c r="C220" s="2" t="s">
        <v>1675</v>
      </c>
      <c r="D220" s="2">
        <v>2024</v>
      </c>
      <c r="E220" s="3">
        <v>45444</v>
      </c>
      <c r="F220" s="2" t="s">
        <v>1676</v>
      </c>
      <c r="G220" s="2">
        <v>34</v>
      </c>
      <c r="H220" s="2">
        <v>6</v>
      </c>
      <c r="I220" s="2" t="s">
        <v>1677</v>
      </c>
      <c r="J220" s="2" t="s">
        <v>1678</v>
      </c>
      <c r="K220" s="2" t="s">
        <v>1624</v>
      </c>
      <c r="L220" s="2" t="s">
        <v>29</v>
      </c>
      <c r="M220" s="2" t="s">
        <v>1472</v>
      </c>
      <c r="N220" s="2" t="s">
        <v>247</v>
      </c>
      <c r="O220" s="4">
        <v>1148</v>
      </c>
      <c r="P220" s="2" t="s">
        <v>1679</v>
      </c>
      <c r="Q220" s="2" t="s">
        <v>33</v>
      </c>
      <c r="R220" s="2" t="s">
        <v>1680</v>
      </c>
      <c r="S220" s="2" t="s">
        <v>1681</v>
      </c>
      <c r="T220" s="2" t="s">
        <v>1682</v>
      </c>
      <c r="U220" s="2" t="s">
        <v>1683</v>
      </c>
      <c r="V220" s="2" t="s">
        <v>80</v>
      </c>
    </row>
    <row r="221" spans="1:22">
      <c r="A221" s="2" t="s">
        <v>996</v>
      </c>
      <c r="B221" s="2" t="s">
        <v>1685</v>
      </c>
      <c r="C221" s="2" t="s">
        <v>1686</v>
      </c>
      <c r="D221" s="2">
        <v>2025</v>
      </c>
      <c r="E221" s="3">
        <v>45658</v>
      </c>
      <c r="F221" s="2" t="s">
        <v>1687</v>
      </c>
      <c r="G221" s="2">
        <v>90</v>
      </c>
      <c r="H221" s="2">
        <v>1</v>
      </c>
      <c r="I221" s="2" t="s">
        <v>1688</v>
      </c>
      <c r="J221" s="2" t="s">
        <v>1689</v>
      </c>
      <c r="K221" s="2" t="s">
        <v>1690</v>
      </c>
      <c r="L221" s="2" t="s">
        <v>773</v>
      </c>
      <c r="M221" s="2" t="s">
        <v>1691</v>
      </c>
      <c r="N221" s="2" t="s">
        <v>428</v>
      </c>
      <c r="O221" s="2" t="s">
        <v>1692</v>
      </c>
      <c r="P221" s="2" t="s">
        <v>1693</v>
      </c>
      <c r="Q221" s="2" t="s">
        <v>33</v>
      </c>
      <c r="R221" s="2" t="s">
        <v>1694</v>
      </c>
      <c r="S221" s="2" t="s">
        <v>844</v>
      </c>
      <c r="T221" s="2" t="s">
        <v>1695</v>
      </c>
      <c r="U221" s="2" t="s">
        <v>1696</v>
      </c>
      <c r="V221" s="2" t="s">
        <v>80</v>
      </c>
    </row>
    <row r="222" spans="1:22" ht="28.8">
      <c r="A222" s="2" t="s">
        <v>22</v>
      </c>
      <c r="B222" s="2" t="s">
        <v>1697</v>
      </c>
      <c r="C222" s="2" t="s">
        <v>1698</v>
      </c>
      <c r="D222" s="2">
        <v>2025</v>
      </c>
      <c r="E222" s="3">
        <v>45901</v>
      </c>
      <c r="F222" s="2" t="s">
        <v>357</v>
      </c>
      <c r="G222" s="2">
        <v>20</v>
      </c>
      <c r="H222" s="2">
        <v>9</v>
      </c>
      <c r="I222" s="2" t="s">
        <v>1699</v>
      </c>
      <c r="J222" s="2" t="s">
        <v>359</v>
      </c>
      <c r="K222" s="2" t="s">
        <v>360</v>
      </c>
      <c r="L222" s="2" t="s">
        <v>29</v>
      </c>
      <c r="M222" s="2" t="s">
        <v>361</v>
      </c>
      <c r="N222" s="2" t="s">
        <v>121</v>
      </c>
      <c r="O222" s="4">
        <v>1833</v>
      </c>
      <c r="P222" s="2" t="s">
        <v>1700</v>
      </c>
      <c r="Q222" s="2" t="s">
        <v>33</v>
      </c>
      <c r="R222" s="2" t="s">
        <v>1701</v>
      </c>
      <c r="S222" s="2" t="s">
        <v>1702</v>
      </c>
      <c r="T222" s="2" t="s">
        <v>1703</v>
      </c>
      <c r="U222" s="2" t="s">
        <v>1704</v>
      </c>
      <c r="V222" s="2" t="s">
        <v>1705</v>
      </c>
    </row>
    <row r="223" spans="1:22" ht="28.8">
      <c r="A223" s="2" t="s">
        <v>276</v>
      </c>
      <c r="B223" s="2" t="s">
        <v>1706</v>
      </c>
      <c r="C223" s="2" t="s">
        <v>1707</v>
      </c>
      <c r="D223" s="2">
        <v>2024</v>
      </c>
      <c r="E223" s="3">
        <v>45627</v>
      </c>
      <c r="F223" s="2" t="s">
        <v>1293</v>
      </c>
      <c r="G223" s="2">
        <v>14</v>
      </c>
      <c r="H223" s="2">
        <v>1</v>
      </c>
      <c r="I223" s="2" t="s">
        <v>43</v>
      </c>
      <c r="J223" s="2" t="s">
        <v>1294</v>
      </c>
      <c r="K223" s="2" t="s">
        <v>220</v>
      </c>
      <c r="L223" s="2" t="s">
        <v>29</v>
      </c>
      <c r="M223" s="2" t="s">
        <v>614</v>
      </c>
      <c r="N223" s="2" t="s">
        <v>374</v>
      </c>
      <c r="O223" s="2" t="s">
        <v>1295</v>
      </c>
      <c r="P223" s="2" t="s">
        <v>1708</v>
      </c>
      <c r="Q223" s="2" t="s">
        <v>33</v>
      </c>
      <c r="R223" s="2" t="s">
        <v>1709</v>
      </c>
      <c r="S223" s="2" t="s">
        <v>1710</v>
      </c>
      <c r="T223" s="2" t="s">
        <v>1711</v>
      </c>
      <c r="U223" s="2" t="s">
        <v>1712</v>
      </c>
      <c r="V223" s="2" t="s">
        <v>1713</v>
      </c>
    </row>
    <row r="224" spans="1:22" ht="28.8">
      <c r="A224" s="2" t="s">
        <v>1714</v>
      </c>
      <c r="B224" s="2" t="s">
        <v>1715</v>
      </c>
      <c r="C224" s="2" t="s">
        <v>1716</v>
      </c>
      <c r="D224" s="2">
        <v>2025</v>
      </c>
      <c r="E224" s="3">
        <v>45992</v>
      </c>
      <c r="F224" s="2" t="s">
        <v>1293</v>
      </c>
      <c r="G224" s="2">
        <v>15</v>
      </c>
      <c r="H224" s="2">
        <v>1</v>
      </c>
      <c r="I224" s="2" t="s">
        <v>43</v>
      </c>
      <c r="J224" s="2" t="s">
        <v>1294</v>
      </c>
      <c r="K224" s="2" t="s">
        <v>220</v>
      </c>
      <c r="L224" s="2" t="s">
        <v>29</v>
      </c>
      <c r="M224" s="2" t="s">
        <v>120</v>
      </c>
      <c r="N224" s="2" t="s">
        <v>348</v>
      </c>
      <c r="O224" s="2" t="s">
        <v>1717</v>
      </c>
      <c r="P224" s="2" t="s">
        <v>1718</v>
      </c>
      <c r="Q224" s="2" t="s">
        <v>33</v>
      </c>
      <c r="R224" s="2" t="s">
        <v>1719</v>
      </c>
      <c r="S224" s="2" t="s">
        <v>1720</v>
      </c>
      <c r="T224" s="2" t="s">
        <v>1721</v>
      </c>
      <c r="U224" s="2" t="s">
        <v>1722</v>
      </c>
      <c r="V224" s="2" t="s">
        <v>80</v>
      </c>
    </row>
    <row r="225" spans="1:22" ht="230.4">
      <c r="A225" s="2" t="s">
        <v>1723</v>
      </c>
      <c r="B225" s="2" t="s">
        <v>1724</v>
      </c>
      <c r="C225" s="2" t="s">
        <v>1725</v>
      </c>
      <c r="D225" s="2">
        <v>2025</v>
      </c>
      <c r="E225" s="3">
        <v>45992</v>
      </c>
      <c r="F225" s="2" t="s">
        <v>167</v>
      </c>
      <c r="G225" s="2">
        <v>16</v>
      </c>
      <c r="H225" s="2">
        <v>1</v>
      </c>
      <c r="I225" s="2" t="s">
        <v>43</v>
      </c>
      <c r="J225" s="2" t="s">
        <v>414</v>
      </c>
      <c r="K225" s="2" t="s">
        <v>220</v>
      </c>
      <c r="L225" s="2" t="s">
        <v>29</v>
      </c>
      <c r="M225" s="2" t="s">
        <v>1726</v>
      </c>
      <c r="N225" s="2" t="s">
        <v>105</v>
      </c>
      <c r="O225" s="4">
        <v>4904</v>
      </c>
      <c r="P225" s="2" t="s">
        <v>1727</v>
      </c>
      <c r="Q225" s="2" t="s">
        <v>33</v>
      </c>
      <c r="R225" s="2" t="s">
        <v>1728</v>
      </c>
      <c r="S225" s="2" t="s">
        <v>1729</v>
      </c>
      <c r="T225" s="2" t="s">
        <v>1730</v>
      </c>
      <c r="U225" s="2" t="s">
        <v>1731</v>
      </c>
      <c r="V225" s="2" t="s">
        <v>1732</v>
      </c>
    </row>
    <row r="226" spans="1:22">
      <c r="A226" s="2" t="s">
        <v>1733</v>
      </c>
      <c r="B226" s="2" t="s">
        <v>1734</v>
      </c>
      <c r="C226" s="2" t="s">
        <v>1735</v>
      </c>
      <c r="D226" s="2">
        <v>2025</v>
      </c>
      <c r="E226" s="3">
        <v>45868</v>
      </c>
      <c r="F226" s="2" t="s">
        <v>1736</v>
      </c>
      <c r="G226" s="2">
        <v>481</v>
      </c>
      <c r="H226" s="2" t="s">
        <v>43</v>
      </c>
      <c r="I226" s="2" t="s">
        <v>43</v>
      </c>
      <c r="J226" s="2" t="s">
        <v>1737</v>
      </c>
      <c r="K226" s="2" t="s">
        <v>45</v>
      </c>
      <c r="L226" s="2" t="s">
        <v>29</v>
      </c>
      <c r="M226" s="2" t="s">
        <v>1738</v>
      </c>
      <c r="N226" s="2" t="s">
        <v>31</v>
      </c>
      <c r="O226" s="4">
        <v>1865</v>
      </c>
      <c r="P226" s="2" t="s">
        <v>1739</v>
      </c>
      <c r="Q226" s="2" t="s">
        <v>33</v>
      </c>
      <c r="R226" s="2" t="s">
        <v>1740</v>
      </c>
      <c r="S226" s="2" t="s">
        <v>1741</v>
      </c>
      <c r="T226" s="2" t="s">
        <v>1742</v>
      </c>
      <c r="U226" s="2" t="s">
        <v>1743</v>
      </c>
      <c r="V226" s="2" t="s">
        <v>594</v>
      </c>
    </row>
    <row r="227" spans="1:22">
      <c r="A227" s="2" t="s">
        <v>265</v>
      </c>
      <c r="B227" s="2" t="s">
        <v>1744</v>
      </c>
      <c r="C227" s="2" t="s">
        <v>1745</v>
      </c>
      <c r="D227" s="2">
        <v>2025</v>
      </c>
      <c r="E227" s="3">
        <v>45839</v>
      </c>
      <c r="F227" s="2" t="s">
        <v>268</v>
      </c>
      <c r="G227" s="2">
        <v>14</v>
      </c>
      <c r="H227" s="2">
        <v>13</v>
      </c>
      <c r="I227" s="2" t="s">
        <v>43</v>
      </c>
      <c r="J227" s="2" t="s">
        <v>269</v>
      </c>
      <c r="K227" s="2" t="s">
        <v>61</v>
      </c>
      <c r="L227" s="2" t="s">
        <v>29</v>
      </c>
      <c r="M227" s="2" t="s">
        <v>259</v>
      </c>
      <c r="N227" s="2" t="s">
        <v>47</v>
      </c>
      <c r="O227" s="4">
        <v>1061</v>
      </c>
      <c r="P227" s="2" t="s">
        <v>1746</v>
      </c>
      <c r="Q227" s="2" t="s">
        <v>33</v>
      </c>
      <c r="R227" s="2" t="s">
        <v>1747</v>
      </c>
      <c r="S227" s="2" t="s">
        <v>1748</v>
      </c>
      <c r="T227" s="2" t="s">
        <v>1749</v>
      </c>
      <c r="U227" s="2" t="s">
        <v>1750</v>
      </c>
      <c r="V227" s="2" t="s">
        <v>80</v>
      </c>
    </row>
    <row r="228" spans="1:22">
      <c r="A228" s="2" t="s">
        <v>1751</v>
      </c>
      <c r="B228" s="2" t="s">
        <v>1752</v>
      </c>
      <c r="C228" s="2" t="s">
        <v>1753</v>
      </c>
      <c r="D228" s="2">
        <v>2025</v>
      </c>
      <c r="E228" s="3">
        <v>45688</v>
      </c>
      <c r="F228" s="2" t="s">
        <v>1754</v>
      </c>
      <c r="G228" s="2">
        <v>39</v>
      </c>
      <c r="H228" s="2">
        <v>2</v>
      </c>
      <c r="I228" s="2" t="s">
        <v>43</v>
      </c>
      <c r="J228" s="2" t="s">
        <v>1755</v>
      </c>
      <c r="K228" s="2" t="s">
        <v>119</v>
      </c>
      <c r="L228" s="2" t="s">
        <v>29</v>
      </c>
      <c r="M228" s="2" t="s">
        <v>1472</v>
      </c>
      <c r="N228" s="2" t="s">
        <v>451</v>
      </c>
      <c r="O228" s="4">
        <v>1255</v>
      </c>
      <c r="P228" s="2" t="s">
        <v>1756</v>
      </c>
      <c r="Q228" s="2" t="s">
        <v>33</v>
      </c>
      <c r="R228" s="2" t="s">
        <v>1757</v>
      </c>
      <c r="S228" s="2" t="s">
        <v>1758</v>
      </c>
      <c r="T228" s="2" t="s">
        <v>1759</v>
      </c>
      <c r="U228" s="2" t="s">
        <v>1760</v>
      </c>
      <c r="V228" s="2" t="s">
        <v>1761</v>
      </c>
    </row>
    <row r="229" spans="1:22">
      <c r="A229" s="2" t="s">
        <v>1762</v>
      </c>
      <c r="B229" s="2" t="s">
        <v>1763</v>
      </c>
      <c r="C229" s="2" t="s">
        <v>1764</v>
      </c>
      <c r="D229" s="2">
        <v>2024</v>
      </c>
      <c r="E229" s="3">
        <v>45627</v>
      </c>
      <c r="F229" s="2" t="s">
        <v>1765</v>
      </c>
      <c r="G229" s="2">
        <v>9</v>
      </c>
      <c r="H229" s="2">
        <v>6</v>
      </c>
      <c r="I229" s="2" t="s">
        <v>43</v>
      </c>
      <c r="J229" s="2" t="s">
        <v>1766</v>
      </c>
      <c r="K229" s="2" t="s">
        <v>734</v>
      </c>
      <c r="L229" s="2" t="s">
        <v>29</v>
      </c>
      <c r="M229" s="2" t="s">
        <v>1182</v>
      </c>
      <c r="N229" s="2" t="s">
        <v>440</v>
      </c>
      <c r="O229" s="4">
        <v>1472</v>
      </c>
      <c r="P229" s="2" t="s">
        <v>1767</v>
      </c>
      <c r="Q229" s="2" t="s">
        <v>33</v>
      </c>
      <c r="R229" s="2" t="s">
        <v>1768</v>
      </c>
      <c r="S229" s="2" t="s">
        <v>1681</v>
      </c>
      <c r="T229" s="2" t="s">
        <v>1769</v>
      </c>
      <c r="U229" s="2" t="s">
        <v>1770</v>
      </c>
      <c r="V229" s="2" t="s">
        <v>80</v>
      </c>
    </row>
    <row r="230" spans="1:22">
      <c r="A230" s="2" t="s">
        <v>1644</v>
      </c>
      <c r="B230" s="2" t="s">
        <v>1771</v>
      </c>
      <c r="C230" s="2" t="s">
        <v>1772</v>
      </c>
      <c r="D230" s="2">
        <v>2024</v>
      </c>
      <c r="E230" s="3">
        <v>45474</v>
      </c>
      <c r="F230" s="2" t="s">
        <v>1773</v>
      </c>
      <c r="G230" s="2">
        <v>73</v>
      </c>
      <c r="H230" s="2" t="s">
        <v>43</v>
      </c>
      <c r="I230" s="2" t="s">
        <v>43</v>
      </c>
      <c r="J230" s="2" t="s">
        <v>1774</v>
      </c>
      <c r="K230" s="2" t="s">
        <v>734</v>
      </c>
      <c r="L230" s="2" t="s">
        <v>29</v>
      </c>
      <c r="M230" s="2" t="s">
        <v>760</v>
      </c>
      <c r="N230" s="2" t="s">
        <v>348</v>
      </c>
      <c r="O230" s="2" t="s">
        <v>1775</v>
      </c>
      <c r="P230" s="2" t="s">
        <v>1776</v>
      </c>
      <c r="Q230" s="2" t="s">
        <v>33</v>
      </c>
      <c r="R230" s="2" t="s">
        <v>1777</v>
      </c>
      <c r="S230" s="2" t="s">
        <v>1778</v>
      </c>
      <c r="T230" s="2" t="s">
        <v>1779</v>
      </c>
      <c r="U230" s="2" t="s">
        <v>1780</v>
      </c>
      <c r="V230" s="2" t="s">
        <v>80</v>
      </c>
    </row>
    <row r="231" spans="1:22" ht="28.8">
      <c r="A231" s="2" t="s">
        <v>1781</v>
      </c>
      <c r="B231" s="2" t="s">
        <v>1782</v>
      </c>
      <c r="C231" s="2" t="s">
        <v>1783</v>
      </c>
      <c r="D231" s="2">
        <v>2024</v>
      </c>
      <c r="E231" s="3">
        <v>45536</v>
      </c>
      <c r="F231" s="2" t="s">
        <v>1784</v>
      </c>
      <c r="G231" s="2">
        <v>12</v>
      </c>
      <c r="H231" s="2">
        <v>9</v>
      </c>
      <c r="I231" s="2" t="s">
        <v>43</v>
      </c>
      <c r="J231" s="2" t="s">
        <v>1785</v>
      </c>
      <c r="K231" s="2" t="s">
        <v>61</v>
      </c>
      <c r="L231" s="2" t="s">
        <v>29</v>
      </c>
      <c r="M231" s="2" t="s">
        <v>1786</v>
      </c>
      <c r="N231" s="2" t="s">
        <v>234</v>
      </c>
      <c r="O231" s="4">
        <v>1114</v>
      </c>
      <c r="P231" s="2" t="s">
        <v>1787</v>
      </c>
      <c r="Q231" s="2" t="s">
        <v>33</v>
      </c>
      <c r="R231" s="2" t="s">
        <v>1788</v>
      </c>
      <c r="S231" s="2" t="s">
        <v>1789</v>
      </c>
      <c r="T231" s="2" t="s">
        <v>1790</v>
      </c>
      <c r="U231" s="2" t="s">
        <v>1791</v>
      </c>
      <c r="V231" s="2" t="s">
        <v>1792</v>
      </c>
    </row>
    <row r="232" spans="1:22" ht="43.2">
      <c r="A232" s="2" t="s">
        <v>1282</v>
      </c>
      <c r="B232" s="2" t="s">
        <v>1793</v>
      </c>
      <c r="C232" s="2" t="s">
        <v>1794</v>
      </c>
      <c r="D232" s="2">
        <v>2025</v>
      </c>
      <c r="E232" s="3">
        <v>45717</v>
      </c>
      <c r="F232" s="2" t="s">
        <v>1795</v>
      </c>
      <c r="G232" s="2">
        <v>369</v>
      </c>
      <c r="H232" s="2" t="s">
        <v>43</v>
      </c>
      <c r="I232" s="2" t="s">
        <v>43</v>
      </c>
      <c r="J232" s="2" t="s">
        <v>1796</v>
      </c>
      <c r="K232" s="2" t="s">
        <v>45</v>
      </c>
      <c r="L232" s="2" t="s">
        <v>29</v>
      </c>
      <c r="M232" s="2" t="s">
        <v>1797</v>
      </c>
      <c r="N232" s="2" t="s">
        <v>105</v>
      </c>
      <c r="O232" s="4">
        <v>1851</v>
      </c>
      <c r="P232" s="2" t="s">
        <v>1798</v>
      </c>
      <c r="Q232" s="2" t="s">
        <v>49</v>
      </c>
      <c r="R232" s="2" t="s">
        <v>1799</v>
      </c>
      <c r="S232" s="2" t="s">
        <v>1800</v>
      </c>
      <c r="T232" s="2" t="s">
        <v>1801</v>
      </c>
      <c r="U232" s="2" t="s">
        <v>1802</v>
      </c>
      <c r="V232" s="2" t="s">
        <v>1023</v>
      </c>
    </row>
    <row r="233" spans="1:22">
      <c r="A233" s="2" t="s">
        <v>1803</v>
      </c>
      <c r="B233" s="2" t="s">
        <v>1804</v>
      </c>
      <c r="C233" s="2" t="s">
        <v>1805</v>
      </c>
      <c r="D233" s="2">
        <v>2024</v>
      </c>
      <c r="E233" s="3">
        <v>45345</v>
      </c>
      <c r="F233" s="2" t="s">
        <v>1442</v>
      </c>
      <c r="G233" s="2">
        <v>103</v>
      </c>
      <c r="H233" s="2">
        <v>8</v>
      </c>
      <c r="I233" s="2" t="s">
        <v>43</v>
      </c>
      <c r="J233" s="2" t="s">
        <v>1443</v>
      </c>
      <c r="K233" s="2" t="s">
        <v>566</v>
      </c>
      <c r="L233" s="2" t="s">
        <v>29</v>
      </c>
      <c r="M233" s="2" t="s">
        <v>393</v>
      </c>
      <c r="N233" s="2" t="s">
        <v>1444</v>
      </c>
      <c r="O233" s="2" t="s">
        <v>1445</v>
      </c>
      <c r="P233" s="2" t="s">
        <v>1806</v>
      </c>
      <c r="Q233" s="2" t="s">
        <v>33</v>
      </c>
      <c r="R233" s="2" t="s">
        <v>1807</v>
      </c>
      <c r="S233" s="2" t="s">
        <v>1808</v>
      </c>
      <c r="T233" s="2" t="s">
        <v>1809</v>
      </c>
      <c r="U233" s="2" t="s">
        <v>1810</v>
      </c>
      <c r="V233" s="2" t="s">
        <v>80</v>
      </c>
    </row>
    <row r="234" spans="1:22">
      <c r="A234" s="2" t="s">
        <v>128</v>
      </c>
      <c r="B234" s="2" t="s">
        <v>1811</v>
      </c>
      <c r="C234" s="2" t="s">
        <v>130</v>
      </c>
      <c r="D234" s="2">
        <v>2024</v>
      </c>
      <c r="E234" s="3">
        <v>45292</v>
      </c>
      <c r="F234" s="2" t="s">
        <v>1812</v>
      </c>
      <c r="G234" s="2" t="s">
        <v>43</v>
      </c>
      <c r="H234" s="2" t="s">
        <v>43</v>
      </c>
      <c r="I234" s="2" t="s">
        <v>1813</v>
      </c>
      <c r="J234" s="2" t="s">
        <v>43</v>
      </c>
      <c r="K234" s="2" t="s">
        <v>1814</v>
      </c>
      <c r="L234" s="2" t="s">
        <v>29</v>
      </c>
      <c r="M234" s="2" t="s">
        <v>43</v>
      </c>
      <c r="N234" s="2" t="s">
        <v>43</v>
      </c>
      <c r="O234" s="2" t="s">
        <v>43</v>
      </c>
      <c r="P234" s="2" t="s">
        <v>1815</v>
      </c>
      <c r="Q234" s="2" t="s">
        <v>1125</v>
      </c>
      <c r="R234" s="2" t="s">
        <v>1816</v>
      </c>
      <c r="S234" s="2" t="s">
        <v>138</v>
      </c>
      <c r="T234" s="2" t="s">
        <v>139</v>
      </c>
      <c r="U234" s="2" t="s">
        <v>140</v>
      </c>
      <c r="V234" s="2" t="s">
        <v>141</v>
      </c>
    </row>
    <row r="235" spans="1:22" ht="28.8">
      <c r="A235" s="2" t="s">
        <v>1480</v>
      </c>
      <c r="B235" s="2" t="s">
        <v>1817</v>
      </c>
      <c r="C235" s="2" t="s">
        <v>1818</v>
      </c>
      <c r="D235" s="2">
        <v>2024</v>
      </c>
      <c r="E235" s="3">
        <v>45413</v>
      </c>
      <c r="F235" s="2" t="s">
        <v>1819</v>
      </c>
      <c r="G235" s="2">
        <v>185</v>
      </c>
      <c r="H235" s="2" t="s">
        <v>43</v>
      </c>
      <c r="I235" s="2" t="s">
        <v>1820</v>
      </c>
      <c r="J235" s="2" t="s">
        <v>1821</v>
      </c>
      <c r="K235" s="2" t="s">
        <v>734</v>
      </c>
      <c r="L235" s="2" t="s">
        <v>29</v>
      </c>
      <c r="M235" s="2" t="s">
        <v>1182</v>
      </c>
      <c r="N235" s="2" t="s">
        <v>840</v>
      </c>
      <c r="O235" s="2" t="s">
        <v>1822</v>
      </c>
      <c r="P235" s="2" t="s">
        <v>1823</v>
      </c>
      <c r="Q235" s="2" t="s">
        <v>33</v>
      </c>
      <c r="R235" s="2" t="s">
        <v>1824</v>
      </c>
      <c r="S235" s="2" t="s">
        <v>1825</v>
      </c>
      <c r="T235" s="2" t="s">
        <v>1826</v>
      </c>
      <c r="U235" s="2" t="s">
        <v>1827</v>
      </c>
      <c r="V235" s="2" t="s">
        <v>1828</v>
      </c>
    </row>
    <row r="236" spans="1:22">
      <c r="A236" s="2" t="s">
        <v>685</v>
      </c>
      <c r="B236" s="2" t="s">
        <v>1829</v>
      </c>
      <c r="C236" s="2" t="s">
        <v>1830</v>
      </c>
      <c r="D236" s="2">
        <v>2025</v>
      </c>
      <c r="E236" s="3">
        <v>45962</v>
      </c>
      <c r="F236" s="2" t="s">
        <v>1831</v>
      </c>
      <c r="G236" s="2">
        <v>33</v>
      </c>
      <c r="H236" s="2">
        <v>1</v>
      </c>
      <c r="I236" s="2" t="s">
        <v>1832</v>
      </c>
      <c r="J236" s="2" t="s">
        <v>1833</v>
      </c>
      <c r="K236" s="2" t="s">
        <v>1258</v>
      </c>
      <c r="L236" s="2" t="s">
        <v>29</v>
      </c>
      <c r="M236" s="2" t="s">
        <v>735</v>
      </c>
      <c r="N236" s="2" t="s">
        <v>105</v>
      </c>
      <c r="O236" s="4">
        <v>1799</v>
      </c>
      <c r="P236" s="2" t="s">
        <v>1834</v>
      </c>
      <c r="Q236" s="2" t="s">
        <v>33</v>
      </c>
      <c r="R236" s="2" t="s">
        <v>1835</v>
      </c>
      <c r="S236" s="2" t="s">
        <v>821</v>
      </c>
      <c r="T236" s="2" t="s">
        <v>1836</v>
      </c>
      <c r="U236" s="2" t="s">
        <v>1837</v>
      </c>
      <c r="V236" s="2" t="s">
        <v>80</v>
      </c>
    </row>
    <row r="237" spans="1:22">
      <c r="A237" s="2" t="s">
        <v>1838</v>
      </c>
      <c r="B237" s="2" t="s">
        <v>1839</v>
      </c>
      <c r="C237" s="2" t="s">
        <v>1840</v>
      </c>
      <c r="D237" s="2">
        <v>2024</v>
      </c>
      <c r="E237" s="3">
        <v>45383</v>
      </c>
      <c r="F237" s="2" t="s">
        <v>1841</v>
      </c>
      <c r="G237" s="2">
        <v>135</v>
      </c>
      <c r="H237" s="2" t="s">
        <v>43</v>
      </c>
      <c r="I237" s="2" t="s">
        <v>43</v>
      </c>
      <c r="J237" s="2" t="s">
        <v>1842</v>
      </c>
      <c r="K237" s="2" t="s">
        <v>1843</v>
      </c>
      <c r="L237" s="2" t="s">
        <v>29</v>
      </c>
      <c r="M237" s="2" t="s">
        <v>347</v>
      </c>
      <c r="N237" s="2" t="s">
        <v>105</v>
      </c>
      <c r="O237" s="4">
        <v>1483</v>
      </c>
      <c r="P237" s="2" t="s">
        <v>1844</v>
      </c>
      <c r="Q237" s="2" t="s">
        <v>33</v>
      </c>
      <c r="R237" s="2" t="s">
        <v>1845</v>
      </c>
      <c r="S237" s="2" t="s">
        <v>1846</v>
      </c>
      <c r="T237" s="2" t="s">
        <v>1847</v>
      </c>
      <c r="U237" s="2" t="s">
        <v>1848</v>
      </c>
      <c r="V237" s="2" t="s">
        <v>1849</v>
      </c>
    </row>
    <row r="238" spans="1:22">
      <c r="A238" s="2" t="s">
        <v>1850</v>
      </c>
      <c r="B238" s="2" t="s">
        <v>1839</v>
      </c>
      <c r="C238" s="2" t="s">
        <v>1840</v>
      </c>
      <c r="D238" s="2">
        <v>2024</v>
      </c>
      <c r="E238" s="3">
        <v>45383</v>
      </c>
      <c r="F238" s="2" t="s">
        <v>1841</v>
      </c>
      <c r="G238" s="2">
        <v>135</v>
      </c>
      <c r="H238" s="2" t="s">
        <v>43</v>
      </c>
      <c r="I238" s="2" t="s">
        <v>43</v>
      </c>
      <c r="J238" s="2" t="s">
        <v>1842</v>
      </c>
      <c r="K238" s="2" t="s">
        <v>1843</v>
      </c>
      <c r="L238" s="2" t="s">
        <v>29</v>
      </c>
      <c r="M238" s="2" t="s">
        <v>347</v>
      </c>
      <c r="N238" s="2" t="s">
        <v>105</v>
      </c>
      <c r="O238" s="4">
        <v>1483</v>
      </c>
      <c r="P238" s="2" t="s">
        <v>1844</v>
      </c>
      <c r="Q238" s="2" t="s">
        <v>33</v>
      </c>
      <c r="R238" s="2" t="s">
        <v>1845</v>
      </c>
      <c r="S238" s="2" t="s">
        <v>1846</v>
      </c>
      <c r="T238" s="2" t="s">
        <v>1847</v>
      </c>
      <c r="U238" s="2" t="s">
        <v>1848</v>
      </c>
      <c r="V238" s="2" t="s">
        <v>1849</v>
      </c>
    </row>
    <row r="239" spans="1:22">
      <c r="A239" s="2" t="s">
        <v>22</v>
      </c>
      <c r="B239" s="2" t="s">
        <v>1851</v>
      </c>
      <c r="C239" s="2" t="s">
        <v>1852</v>
      </c>
      <c r="D239" s="2">
        <v>2025</v>
      </c>
      <c r="E239" s="3">
        <v>45992</v>
      </c>
      <c r="F239" s="2" t="s">
        <v>357</v>
      </c>
      <c r="G239" s="2">
        <v>20</v>
      </c>
      <c r="H239" s="2">
        <v>12</v>
      </c>
      <c r="I239" s="2" t="s">
        <v>1853</v>
      </c>
      <c r="J239" s="2" t="s">
        <v>359</v>
      </c>
      <c r="K239" s="2" t="s">
        <v>360</v>
      </c>
      <c r="L239" s="2" t="s">
        <v>29</v>
      </c>
      <c r="M239" s="2" t="s">
        <v>361</v>
      </c>
      <c r="N239" s="2" t="s">
        <v>121</v>
      </c>
      <c r="O239" s="4">
        <v>1833</v>
      </c>
      <c r="P239" s="2" t="s">
        <v>1854</v>
      </c>
      <c r="Q239" s="2" t="s">
        <v>33</v>
      </c>
      <c r="R239" s="2" t="s">
        <v>1855</v>
      </c>
      <c r="S239" s="2" t="s">
        <v>1856</v>
      </c>
      <c r="T239" s="2" t="s">
        <v>1857</v>
      </c>
      <c r="U239" s="2" t="s">
        <v>1858</v>
      </c>
      <c r="V239" s="2" t="s">
        <v>1859</v>
      </c>
    </row>
    <row r="240" spans="1:22">
      <c r="A240" s="2" t="s">
        <v>1860</v>
      </c>
      <c r="B240" s="2" t="s">
        <v>1861</v>
      </c>
      <c r="C240" s="2" t="s">
        <v>1862</v>
      </c>
      <c r="D240" s="2">
        <v>2024</v>
      </c>
      <c r="E240" s="3">
        <v>45292</v>
      </c>
      <c r="F240" s="2" t="s">
        <v>1863</v>
      </c>
      <c r="G240" s="2">
        <v>8</v>
      </c>
      <c r="H240" s="2">
        <v>2</v>
      </c>
      <c r="I240" s="2" t="s">
        <v>1864</v>
      </c>
      <c r="J240" s="2" t="s">
        <v>1865</v>
      </c>
      <c r="K240" s="2" t="s">
        <v>1866</v>
      </c>
      <c r="L240" s="2" t="s">
        <v>1867</v>
      </c>
      <c r="M240" s="2" t="s">
        <v>47</v>
      </c>
      <c r="N240" s="2" t="s">
        <v>1868</v>
      </c>
      <c r="O240" s="2" t="s">
        <v>1869</v>
      </c>
      <c r="P240" s="2" t="s">
        <v>1870</v>
      </c>
      <c r="Q240" s="2" t="s">
        <v>33</v>
      </c>
      <c r="R240" s="2" t="s">
        <v>1871</v>
      </c>
      <c r="S240" s="2" t="s">
        <v>1872</v>
      </c>
      <c r="T240" s="2" t="s">
        <v>1873</v>
      </c>
      <c r="U240" s="2" t="s">
        <v>1874</v>
      </c>
      <c r="V240" s="2" t="s">
        <v>80</v>
      </c>
    </row>
    <row r="241" spans="1:22" ht="28.8">
      <c r="A241" s="2" t="s">
        <v>311</v>
      </c>
      <c r="B241" s="2" t="s">
        <v>1875</v>
      </c>
      <c r="C241" s="2" t="s">
        <v>1876</v>
      </c>
      <c r="D241" s="2">
        <v>2025</v>
      </c>
      <c r="E241" s="3">
        <v>45931</v>
      </c>
      <c r="F241" s="2" t="s">
        <v>1877</v>
      </c>
      <c r="G241" s="2">
        <v>86</v>
      </c>
      <c r="H241" s="2" t="s">
        <v>43</v>
      </c>
      <c r="I241" s="2" t="s">
        <v>43</v>
      </c>
      <c r="J241" s="2" t="s">
        <v>1878</v>
      </c>
      <c r="K241" s="2" t="s">
        <v>103</v>
      </c>
      <c r="L241" s="2" t="s">
        <v>29</v>
      </c>
      <c r="M241" s="2" t="s">
        <v>1879</v>
      </c>
      <c r="N241" s="2" t="s">
        <v>171</v>
      </c>
      <c r="O241" s="4">
        <v>4059</v>
      </c>
      <c r="P241" s="2" t="s">
        <v>1880</v>
      </c>
      <c r="Q241" s="2" t="s">
        <v>33</v>
      </c>
      <c r="R241" s="2" t="s">
        <v>1881</v>
      </c>
      <c r="S241" s="2" t="s">
        <v>1882</v>
      </c>
      <c r="T241" s="2" t="s">
        <v>1883</v>
      </c>
      <c r="U241" s="2" t="s">
        <v>1884</v>
      </c>
      <c r="V241" s="2" t="s">
        <v>1885</v>
      </c>
    </row>
    <row r="242" spans="1:22">
      <c r="A242" s="2" t="s">
        <v>342</v>
      </c>
      <c r="B242" s="2" t="s">
        <v>1886</v>
      </c>
      <c r="C242" s="2" t="s">
        <v>1887</v>
      </c>
      <c r="D242" s="2">
        <v>2025</v>
      </c>
      <c r="E242" s="3">
        <v>45672</v>
      </c>
      <c r="F242" s="2" t="s">
        <v>1888</v>
      </c>
      <c r="G242" s="2">
        <v>125</v>
      </c>
      <c r="H242" s="2">
        <v>2</v>
      </c>
      <c r="I242" s="2" t="s">
        <v>43</v>
      </c>
      <c r="J242" s="2" t="s">
        <v>1889</v>
      </c>
      <c r="K242" s="2" t="s">
        <v>119</v>
      </c>
      <c r="L242" s="2" t="s">
        <v>29</v>
      </c>
      <c r="M242" s="2" t="s">
        <v>719</v>
      </c>
      <c r="N242" s="2" t="s">
        <v>854</v>
      </c>
      <c r="O242" s="2" t="s">
        <v>1890</v>
      </c>
      <c r="P242" s="2" t="s">
        <v>1891</v>
      </c>
      <c r="Q242" s="2" t="s">
        <v>33</v>
      </c>
      <c r="R242" s="2" t="s">
        <v>1892</v>
      </c>
      <c r="S242" s="2" t="s">
        <v>1893</v>
      </c>
      <c r="T242" s="2" t="s">
        <v>1894</v>
      </c>
      <c r="U242" s="2" t="s">
        <v>1895</v>
      </c>
      <c r="V242" s="2" t="s">
        <v>80</v>
      </c>
    </row>
    <row r="243" spans="1:22" ht="28.8">
      <c r="A243" s="2" t="s">
        <v>1396</v>
      </c>
      <c r="B243" s="2" t="s">
        <v>1896</v>
      </c>
      <c r="C243" s="2" t="s">
        <v>1897</v>
      </c>
      <c r="D243" s="2">
        <v>2025</v>
      </c>
      <c r="E243" s="3">
        <v>45689</v>
      </c>
      <c r="F243" s="2" t="s">
        <v>1898</v>
      </c>
      <c r="G243" s="2">
        <v>276</v>
      </c>
      <c r="H243" s="2" t="s">
        <v>43</v>
      </c>
      <c r="I243" s="2" t="s">
        <v>1899</v>
      </c>
      <c r="J243" s="2" t="s">
        <v>1900</v>
      </c>
      <c r="K243" s="2" t="s">
        <v>103</v>
      </c>
      <c r="L243" s="2" t="s">
        <v>29</v>
      </c>
      <c r="M243" s="2" t="s">
        <v>667</v>
      </c>
      <c r="N243" s="2" t="s">
        <v>331</v>
      </c>
      <c r="O243" s="2" t="s">
        <v>1901</v>
      </c>
      <c r="P243" s="2" t="s">
        <v>1902</v>
      </c>
      <c r="Q243" s="2" t="s">
        <v>33</v>
      </c>
      <c r="R243" s="2" t="s">
        <v>1903</v>
      </c>
      <c r="S243" s="2" t="s">
        <v>1904</v>
      </c>
      <c r="T243" s="2" t="s">
        <v>1905</v>
      </c>
      <c r="U243" s="2" t="s">
        <v>1906</v>
      </c>
      <c r="V243" s="2" t="s">
        <v>1907</v>
      </c>
    </row>
    <row r="244" spans="1:22" ht="28.8">
      <c r="A244" s="2" t="s">
        <v>1908</v>
      </c>
      <c r="B244" s="2" t="s">
        <v>1896</v>
      </c>
      <c r="C244" s="2" t="s">
        <v>1897</v>
      </c>
      <c r="D244" s="2">
        <v>2025</v>
      </c>
      <c r="E244" s="3">
        <v>45689</v>
      </c>
      <c r="F244" s="2" t="s">
        <v>1898</v>
      </c>
      <c r="G244" s="2">
        <v>276</v>
      </c>
      <c r="H244" s="2" t="s">
        <v>43</v>
      </c>
      <c r="I244" s="2" t="s">
        <v>1899</v>
      </c>
      <c r="J244" s="2" t="s">
        <v>1900</v>
      </c>
      <c r="K244" s="2" t="s">
        <v>103</v>
      </c>
      <c r="L244" s="2" t="s">
        <v>29</v>
      </c>
      <c r="M244" s="2" t="s">
        <v>667</v>
      </c>
      <c r="N244" s="2" t="s">
        <v>331</v>
      </c>
      <c r="O244" s="2" t="s">
        <v>1901</v>
      </c>
      <c r="P244" s="2" t="s">
        <v>1902</v>
      </c>
      <c r="Q244" s="2" t="s">
        <v>33</v>
      </c>
      <c r="R244" s="2" t="s">
        <v>1903</v>
      </c>
      <c r="S244" s="2" t="s">
        <v>1904</v>
      </c>
      <c r="T244" s="2" t="s">
        <v>1905</v>
      </c>
      <c r="U244" s="2" t="s">
        <v>1906</v>
      </c>
      <c r="V244" s="2" t="s">
        <v>1907</v>
      </c>
    </row>
    <row r="245" spans="1:22" ht="28.8">
      <c r="A245" s="2" t="s">
        <v>1909</v>
      </c>
      <c r="B245" s="2" t="s">
        <v>1896</v>
      </c>
      <c r="C245" s="2" t="s">
        <v>1897</v>
      </c>
      <c r="D245" s="2">
        <v>2025</v>
      </c>
      <c r="E245" s="3">
        <v>45689</v>
      </c>
      <c r="F245" s="2" t="s">
        <v>1898</v>
      </c>
      <c r="G245" s="2">
        <v>276</v>
      </c>
      <c r="H245" s="2" t="s">
        <v>43</v>
      </c>
      <c r="I245" s="2" t="s">
        <v>1899</v>
      </c>
      <c r="J245" s="2" t="s">
        <v>1900</v>
      </c>
      <c r="K245" s="2" t="s">
        <v>103</v>
      </c>
      <c r="L245" s="2" t="s">
        <v>29</v>
      </c>
      <c r="M245" s="2" t="s">
        <v>667</v>
      </c>
      <c r="N245" s="2" t="s">
        <v>331</v>
      </c>
      <c r="O245" s="2" t="s">
        <v>1901</v>
      </c>
      <c r="P245" s="2" t="s">
        <v>1902</v>
      </c>
      <c r="Q245" s="2" t="s">
        <v>33</v>
      </c>
      <c r="R245" s="2" t="s">
        <v>1903</v>
      </c>
      <c r="S245" s="2" t="s">
        <v>1904</v>
      </c>
      <c r="T245" s="2" t="s">
        <v>1905</v>
      </c>
      <c r="U245" s="2" t="s">
        <v>1906</v>
      </c>
      <c r="V245" s="2" t="s">
        <v>1907</v>
      </c>
    </row>
    <row r="246" spans="1:22">
      <c r="A246" s="2" t="s">
        <v>178</v>
      </c>
      <c r="B246" s="2" t="s">
        <v>1910</v>
      </c>
      <c r="C246" s="2" t="s">
        <v>1657</v>
      </c>
      <c r="D246" s="2">
        <v>2024</v>
      </c>
      <c r="E246" s="3">
        <v>45292</v>
      </c>
      <c r="F246" s="2" t="s">
        <v>181</v>
      </c>
      <c r="G246" s="2">
        <v>9</v>
      </c>
      <c r="H246" s="2" t="s">
        <v>43</v>
      </c>
      <c r="I246" s="2" t="s">
        <v>43</v>
      </c>
      <c r="J246" s="2" t="s">
        <v>182</v>
      </c>
      <c r="K246" s="2" t="s">
        <v>183</v>
      </c>
      <c r="L246" s="2" t="s">
        <v>29</v>
      </c>
      <c r="M246" s="2" t="s">
        <v>184</v>
      </c>
      <c r="N246" s="2" t="s">
        <v>145</v>
      </c>
      <c r="O246" s="2" t="s">
        <v>185</v>
      </c>
      <c r="P246" s="2" t="s">
        <v>1911</v>
      </c>
      <c r="Q246" s="2" t="s">
        <v>33</v>
      </c>
      <c r="R246" s="2" t="s">
        <v>1912</v>
      </c>
      <c r="S246" s="2" t="s">
        <v>1913</v>
      </c>
      <c r="T246" s="2" t="s">
        <v>1914</v>
      </c>
      <c r="U246" s="2" t="s">
        <v>1915</v>
      </c>
      <c r="V246" s="2" t="s">
        <v>80</v>
      </c>
    </row>
    <row r="247" spans="1:22">
      <c r="A247" s="2" t="s">
        <v>1916</v>
      </c>
      <c r="B247" s="2" t="s">
        <v>1917</v>
      </c>
      <c r="C247" s="2" t="s">
        <v>1918</v>
      </c>
      <c r="D247" s="2">
        <v>2025</v>
      </c>
      <c r="E247" s="3">
        <v>45870</v>
      </c>
      <c r="F247" s="2" t="s">
        <v>651</v>
      </c>
      <c r="G247" s="2">
        <v>14</v>
      </c>
      <c r="H247" s="2">
        <v>16</v>
      </c>
      <c r="I247" s="2" t="s">
        <v>43</v>
      </c>
      <c r="J247" s="2" t="s">
        <v>652</v>
      </c>
      <c r="K247" s="2" t="s">
        <v>61</v>
      </c>
      <c r="L247" s="2" t="s">
        <v>29</v>
      </c>
      <c r="M247" s="2" t="s">
        <v>653</v>
      </c>
      <c r="N247" s="2" t="s">
        <v>476</v>
      </c>
      <c r="O247" s="2" t="s">
        <v>1919</v>
      </c>
      <c r="P247" s="2" t="s">
        <v>1920</v>
      </c>
      <c r="Q247" s="2" t="s">
        <v>33</v>
      </c>
      <c r="R247" s="2" t="s">
        <v>1921</v>
      </c>
      <c r="S247" s="2" t="s">
        <v>1922</v>
      </c>
      <c r="T247" s="2" t="s">
        <v>1923</v>
      </c>
      <c r="U247" s="2" t="s">
        <v>1924</v>
      </c>
      <c r="V247" s="2" t="s">
        <v>594</v>
      </c>
    </row>
    <row r="248" spans="1:22">
      <c r="A248" s="2" t="s">
        <v>1925</v>
      </c>
      <c r="B248" s="2" t="s">
        <v>1926</v>
      </c>
      <c r="C248" s="2" t="s">
        <v>1927</v>
      </c>
      <c r="D248" s="2">
        <v>2025</v>
      </c>
      <c r="E248" s="3">
        <v>45658</v>
      </c>
      <c r="F248" s="2" t="s">
        <v>1928</v>
      </c>
      <c r="G248" s="2">
        <v>18</v>
      </c>
      <c r="H248" s="2">
        <v>1</v>
      </c>
      <c r="I248" s="2" t="s">
        <v>43</v>
      </c>
      <c r="J248" s="2" t="s">
        <v>1929</v>
      </c>
      <c r="K248" s="2" t="s">
        <v>1134</v>
      </c>
      <c r="L248" s="2" t="s">
        <v>29</v>
      </c>
      <c r="M248" s="2" t="s">
        <v>839</v>
      </c>
      <c r="N248" s="2" t="s">
        <v>145</v>
      </c>
      <c r="O248" s="2" t="s">
        <v>1930</v>
      </c>
      <c r="P248" s="2" t="s">
        <v>1931</v>
      </c>
      <c r="Q248" s="2" t="s">
        <v>49</v>
      </c>
      <c r="R248" s="2" t="s">
        <v>1932</v>
      </c>
      <c r="S248" s="2" t="s">
        <v>1933</v>
      </c>
      <c r="T248" s="2" t="s">
        <v>1934</v>
      </c>
      <c r="U248" s="2" t="s">
        <v>1935</v>
      </c>
      <c r="V248" s="2" t="s">
        <v>141</v>
      </c>
    </row>
    <row r="249" spans="1:22">
      <c r="A249" s="2" t="s">
        <v>265</v>
      </c>
      <c r="B249" s="2" t="s">
        <v>1936</v>
      </c>
      <c r="C249" s="2" t="s">
        <v>1937</v>
      </c>
      <c r="D249" s="2">
        <v>2025</v>
      </c>
      <c r="E249" s="3">
        <v>45915</v>
      </c>
      <c r="F249" s="2" t="s">
        <v>879</v>
      </c>
      <c r="G249" s="2">
        <v>232</v>
      </c>
      <c r="H249" s="2" t="s">
        <v>43</v>
      </c>
      <c r="I249" s="2" t="s">
        <v>43</v>
      </c>
      <c r="J249" s="2" t="s">
        <v>880</v>
      </c>
      <c r="K249" s="2" t="s">
        <v>881</v>
      </c>
      <c r="L249" s="2" t="s">
        <v>29</v>
      </c>
      <c r="M249" s="2" t="s">
        <v>735</v>
      </c>
      <c r="N249" s="2" t="s">
        <v>464</v>
      </c>
      <c r="O249" s="4">
        <v>1394</v>
      </c>
      <c r="P249" s="2" t="s">
        <v>1938</v>
      </c>
      <c r="Q249" s="2" t="s">
        <v>33</v>
      </c>
      <c r="R249" s="2" t="s">
        <v>1939</v>
      </c>
      <c r="S249" s="2" t="s">
        <v>1940</v>
      </c>
      <c r="T249" s="2" t="s">
        <v>1941</v>
      </c>
      <c r="U249" s="2" t="s">
        <v>1942</v>
      </c>
      <c r="V249" s="2" t="s">
        <v>275</v>
      </c>
    </row>
    <row r="250" spans="1:22">
      <c r="A250" s="2" t="s">
        <v>113</v>
      </c>
      <c r="B250" s="2" t="s">
        <v>1943</v>
      </c>
      <c r="C250" s="2" t="s">
        <v>1944</v>
      </c>
      <c r="D250" s="2">
        <v>2025</v>
      </c>
      <c r="E250" s="3">
        <v>45784</v>
      </c>
      <c r="F250" s="2" t="s">
        <v>1945</v>
      </c>
      <c r="G250" s="2">
        <v>135</v>
      </c>
      <c r="H250" s="2">
        <v>2</v>
      </c>
      <c r="I250" s="2" t="s">
        <v>1946</v>
      </c>
      <c r="J250" s="2" t="s">
        <v>1947</v>
      </c>
      <c r="K250" s="2" t="s">
        <v>43</v>
      </c>
      <c r="L250" s="2" t="s">
        <v>29</v>
      </c>
      <c r="M250" s="2" t="s">
        <v>1948</v>
      </c>
      <c r="N250" s="2" t="s">
        <v>1327</v>
      </c>
      <c r="O250" s="2" t="s">
        <v>1949</v>
      </c>
      <c r="P250" s="2" t="s">
        <v>1950</v>
      </c>
      <c r="Q250" s="2" t="s">
        <v>33</v>
      </c>
      <c r="R250" s="2" t="s">
        <v>1951</v>
      </c>
      <c r="S250" s="2" t="s">
        <v>1952</v>
      </c>
      <c r="T250" s="2" t="s">
        <v>1953</v>
      </c>
      <c r="U250" s="2" t="s">
        <v>1954</v>
      </c>
      <c r="V250" s="2" t="s">
        <v>1955</v>
      </c>
    </row>
    <row r="251" spans="1:22">
      <c r="A251" s="2" t="s">
        <v>1344</v>
      </c>
      <c r="B251" s="2" t="s">
        <v>1956</v>
      </c>
      <c r="C251" s="2" t="s">
        <v>1957</v>
      </c>
      <c r="D251" s="2">
        <v>2025</v>
      </c>
      <c r="E251" s="3">
        <v>45778</v>
      </c>
      <c r="F251" s="2" t="s">
        <v>1958</v>
      </c>
      <c r="G251" s="2">
        <v>40</v>
      </c>
      <c r="H251" s="2">
        <v>4</v>
      </c>
      <c r="I251" s="2" t="s">
        <v>1959</v>
      </c>
      <c r="J251" s="2" t="s">
        <v>1960</v>
      </c>
      <c r="K251" s="2" t="s">
        <v>302</v>
      </c>
      <c r="L251" s="2" t="s">
        <v>29</v>
      </c>
      <c r="M251" s="2" t="s">
        <v>1362</v>
      </c>
      <c r="N251" s="2" t="s">
        <v>281</v>
      </c>
      <c r="O251" s="2" t="s">
        <v>1961</v>
      </c>
      <c r="P251" s="2" t="s">
        <v>1962</v>
      </c>
      <c r="Q251" s="2" t="s">
        <v>33</v>
      </c>
      <c r="R251" s="2" t="s">
        <v>1963</v>
      </c>
      <c r="S251" s="2" t="s">
        <v>1964</v>
      </c>
      <c r="T251" s="2" t="s">
        <v>1965</v>
      </c>
      <c r="U251" s="2" t="s">
        <v>1966</v>
      </c>
      <c r="V251" s="2" t="s">
        <v>621</v>
      </c>
    </row>
    <row r="252" spans="1:22">
      <c r="A252" s="2" t="s">
        <v>1916</v>
      </c>
      <c r="B252" s="2" t="s">
        <v>1956</v>
      </c>
      <c r="C252" s="2" t="s">
        <v>1957</v>
      </c>
      <c r="D252" s="2">
        <v>2025</v>
      </c>
      <c r="E252" s="3">
        <v>45778</v>
      </c>
      <c r="F252" s="2" t="s">
        <v>1958</v>
      </c>
      <c r="G252" s="2">
        <v>40</v>
      </c>
      <c r="H252" s="2">
        <v>4</v>
      </c>
      <c r="I252" s="2" t="s">
        <v>1959</v>
      </c>
      <c r="J252" s="2" t="s">
        <v>1960</v>
      </c>
      <c r="K252" s="2" t="s">
        <v>302</v>
      </c>
      <c r="L252" s="2" t="s">
        <v>29</v>
      </c>
      <c r="M252" s="2" t="s">
        <v>1362</v>
      </c>
      <c r="N252" s="2" t="s">
        <v>281</v>
      </c>
      <c r="O252" s="2" t="s">
        <v>1961</v>
      </c>
      <c r="P252" s="2" t="s">
        <v>1962</v>
      </c>
      <c r="Q252" s="2" t="s">
        <v>33</v>
      </c>
      <c r="R252" s="2" t="s">
        <v>1963</v>
      </c>
      <c r="S252" s="2" t="s">
        <v>1964</v>
      </c>
      <c r="T252" s="2" t="s">
        <v>1965</v>
      </c>
      <c r="U252" s="2" t="s">
        <v>1966</v>
      </c>
      <c r="V252" s="2" t="s">
        <v>621</v>
      </c>
    </row>
    <row r="253" spans="1:22">
      <c r="A253" s="2" t="s">
        <v>1967</v>
      </c>
      <c r="B253" s="2" t="s">
        <v>1956</v>
      </c>
      <c r="C253" s="2" t="s">
        <v>1957</v>
      </c>
      <c r="D253" s="2">
        <v>2025</v>
      </c>
      <c r="E253" s="3">
        <v>45778</v>
      </c>
      <c r="F253" s="2" t="s">
        <v>1958</v>
      </c>
      <c r="G253" s="2">
        <v>40</v>
      </c>
      <c r="H253" s="2">
        <v>4</v>
      </c>
      <c r="I253" s="2" t="s">
        <v>1959</v>
      </c>
      <c r="J253" s="2" t="s">
        <v>1960</v>
      </c>
      <c r="K253" s="2" t="s">
        <v>302</v>
      </c>
      <c r="L253" s="2" t="s">
        <v>29</v>
      </c>
      <c r="M253" s="2" t="s">
        <v>1362</v>
      </c>
      <c r="N253" s="2" t="s">
        <v>281</v>
      </c>
      <c r="O253" s="2" t="s">
        <v>1961</v>
      </c>
      <c r="P253" s="2" t="s">
        <v>1962</v>
      </c>
      <c r="Q253" s="2" t="s">
        <v>33</v>
      </c>
      <c r="R253" s="2" t="s">
        <v>1963</v>
      </c>
      <c r="S253" s="2" t="s">
        <v>1964</v>
      </c>
      <c r="T253" s="2" t="s">
        <v>1965</v>
      </c>
      <c r="U253" s="2" t="s">
        <v>1966</v>
      </c>
      <c r="V253" s="2" t="s">
        <v>621</v>
      </c>
    </row>
    <row r="254" spans="1:22">
      <c r="A254" s="2" t="s">
        <v>1968</v>
      </c>
      <c r="B254" s="2" t="s">
        <v>1956</v>
      </c>
      <c r="C254" s="2" t="s">
        <v>1957</v>
      </c>
      <c r="D254" s="2">
        <v>2025</v>
      </c>
      <c r="E254" s="3">
        <v>45778</v>
      </c>
      <c r="F254" s="2" t="s">
        <v>1958</v>
      </c>
      <c r="G254" s="2">
        <v>40</v>
      </c>
      <c r="H254" s="2">
        <v>4</v>
      </c>
      <c r="I254" s="2" t="s">
        <v>1959</v>
      </c>
      <c r="J254" s="2" t="s">
        <v>1960</v>
      </c>
      <c r="K254" s="2" t="s">
        <v>302</v>
      </c>
      <c r="L254" s="2" t="s">
        <v>29</v>
      </c>
      <c r="M254" s="2" t="s">
        <v>1362</v>
      </c>
      <c r="N254" s="2" t="s">
        <v>281</v>
      </c>
      <c r="O254" s="2" t="s">
        <v>1961</v>
      </c>
      <c r="P254" s="2" t="s">
        <v>1962</v>
      </c>
      <c r="Q254" s="2" t="s">
        <v>33</v>
      </c>
      <c r="R254" s="2" t="s">
        <v>1963</v>
      </c>
      <c r="S254" s="2" t="s">
        <v>1964</v>
      </c>
      <c r="T254" s="2" t="s">
        <v>1965</v>
      </c>
      <c r="U254" s="2" t="s">
        <v>1966</v>
      </c>
      <c r="V254" s="2" t="s">
        <v>621</v>
      </c>
    </row>
    <row r="255" spans="1:22">
      <c r="A255" s="2" t="s">
        <v>433</v>
      </c>
      <c r="B255" s="2" t="s">
        <v>1956</v>
      </c>
      <c r="C255" s="2" t="s">
        <v>1957</v>
      </c>
      <c r="D255" s="2">
        <v>2025</v>
      </c>
      <c r="E255" s="3">
        <v>45778</v>
      </c>
      <c r="F255" s="2" t="s">
        <v>1958</v>
      </c>
      <c r="G255" s="2">
        <v>40</v>
      </c>
      <c r="H255" s="2">
        <v>4</v>
      </c>
      <c r="I255" s="2" t="s">
        <v>1959</v>
      </c>
      <c r="J255" s="2" t="s">
        <v>1960</v>
      </c>
      <c r="K255" s="2" t="s">
        <v>302</v>
      </c>
      <c r="L255" s="2" t="s">
        <v>29</v>
      </c>
      <c r="M255" s="2" t="s">
        <v>1362</v>
      </c>
      <c r="N255" s="2" t="s">
        <v>281</v>
      </c>
      <c r="O255" s="2" t="s">
        <v>1961</v>
      </c>
      <c r="P255" s="2" t="s">
        <v>1962</v>
      </c>
      <c r="Q255" s="2" t="s">
        <v>33</v>
      </c>
      <c r="R255" s="2" t="s">
        <v>1963</v>
      </c>
      <c r="S255" s="2" t="s">
        <v>1964</v>
      </c>
      <c r="T255" s="2" t="s">
        <v>1965</v>
      </c>
      <c r="U255" s="2" t="s">
        <v>1966</v>
      </c>
      <c r="V255" s="2" t="s">
        <v>621</v>
      </c>
    </row>
    <row r="256" spans="1:22">
      <c r="A256" s="2" t="s">
        <v>1969</v>
      </c>
      <c r="B256" s="2" t="s">
        <v>1956</v>
      </c>
      <c r="C256" s="2" t="s">
        <v>1957</v>
      </c>
      <c r="D256" s="2">
        <v>2025</v>
      </c>
      <c r="E256" s="3">
        <v>45778</v>
      </c>
      <c r="F256" s="2" t="s">
        <v>1958</v>
      </c>
      <c r="G256" s="2">
        <v>40</v>
      </c>
      <c r="H256" s="2">
        <v>4</v>
      </c>
      <c r="I256" s="2" t="s">
        <v>1959</v>
      </c>
      <c r="J256" s="2" t="s">
        <v>1960</v>
      </c>
      <c r="K256" s="2" t="s">
        <v>302</v>
      </c>
      <c r="L256" s="2" t="s">
        <v>29</v>
      </c>
      <c r="M256" s="2" t="s">
        <v>1362</v>
      </c>
      <c r="N256" s="2" t="s">
        <v>281</v>
      </c>
      <c r="O256" s="2" t="s">
        <v>1961</v>
      </c>
      <c r="P256" s="2" t="s">
        <v>1962</v>
      </c>
      <c r="Q256" s="2" t="s">
        <v>33</v>
      </c>
      <c r="R256" s="2" t="s">
        <v>1963</v>
      </c>
      <c r="S256" s="2" t="s">
        <v>1964</v>
      </c>
      <c r="T256" s="2" t="s">
        <v>1965</v>
      </c>
      <c r="U256" s="2" t="s">
        <v>1966</v>
      </c>
      <c r="V256" s="2" t="s">
        <v>621</v>
      </c>
    </row>
    <row r="257" spans="1:22">
      <c r="A257" s="2" t="s">
        <v>113</v>
      </c>
      <c r="B257" s="2" t="s">
        <v>1970</v>
      </c>
      <c r="C257" s="2" t="s">
        <v>1971</v>
      </c>
      <c r="D257" s="2">
        <v>2024</v>
      </c>
      <c r="E257" s="3">
        <v>45505</v>
      </c>
      <c r="F257" s="2" t="s">
        <v>1972</v>
      </c>
      <c r="G257" s="2">
        <v>50</v>
      </c>
      <c r="H257" s="2">
        <v>4</v>
      </c>
      <c r="I257" s="2" t="s">
        <v>1973</v>
      </c>
      <c r="J257" s="2" t="s">
        <v>1974</v>
      </c>
      <c r="K257" s="2" t="s">
        <v>1975</v>
      </c>
      <c r="L257" s="2" t="s">
        <v>29</v>
      </c>
      <c r="M257" s="2" t="s">
        <v>105</v>
      </c>
      <c r="N257" s="2" t="s">
        <v>1976</v>
      </c>
      <c r="O257" s="2" t="s">
        <v>1977</v>
      </c>
      <c r="P257" s="2" t="s">
        <v>1978</v>
      </c>
      <c r="Q257" s="2" t="s">
        <v>33</v>
      </c>
      <c r="R257" s="2" t="s">
        <v>1979</v>
      </c>
      <c r="S257" s="2" t="s">
        <v>1980</v>
      </c>
      <c r="T257" s="2" t="s">
        <v>1981</v>
      </c>
      <c r="U257" s="2" t="s">
        <v>1982</v>
      </c>
      <c r="V257" s="2" t="s">
        <v>1060</v>
      </c>
    </row>
    <row r="258" spans="1:22">
      <c r="A258" s="2" t="s">
        <v>1983</v>
      </c>
      <c r="B258" s="2" t="s">
        <v>1984</v>
      </c>
      <c r="C258" s="2" t="s">
        <v>1985</v>
      </c>
      <c r="D258" s="2">
        <v>2024</v>
      </c>
      <c r="E258" s="3">
        <v>45292</v>
      </c>
      <c r="F258" s="2" t="s">
        <v>181</v>
      </c>
      <c r="G258" s="2">
        <v>9</v>
      </c>
      <c r="H258" s="2" t="s">
        <v>43</v>
      </c>
      <c r="I258" s="2" t="s">
        <v>43</v>
      </c>
      <c r="J258" s="2" t="s">
        <v>182</v>
      </c>
      <c r="K258" s="2" t="s">
        <v>183</v>
      </c>
      <c r="L258" s="2" t="s">
        <v>29</v>
      </c>
      <c r="M258" s="2" t="s">
        <v>184</v>
      </c>
      <c r="N258" s="2" t="s">
        <v>145</v>
      </c>
      <c r="O258" s="2" t="s">
        <v>185</v>
      </c>
      <c r="P258" s="2" t="s">
        <v>1986</v>
      </c>
      <c r="Q258" s="2" t="s">
        <v>33</v>
      </c>
      <c r="R258" s="2" t="s">
        <v>1987</v>
      </c>
      <c r="S258" s="2" t="s">
        <v>1988</v>
      </c>
      <c r="T258" s="2" t="s">
        <v>1989</v>
      </c>
      <c r="U258" s="2" t="s">
        <v>1990</v>
      </c>
      <c r="V258" s="2" t="s">
        <v>80</v>
      </c>
    </row>
    <row r="259" spans="1:22">
      <c r="A259" s="2" t="s">
        <v>113</v>
      </c>
      <c r="B259" s="2" t="s">
        <v>1991</v>
      </c>
      <c r="C259" s="2" t="s">
        <v>1992</v>
      </c>
      <c r="D259" s="2">
        <v>2024</v>
      </c>
      <c r="E259" s="3">
        <v>45413</v>
      </c>
      <c r="F259" s="2" t="s">
        <v>1993</v>
      </c>
      <c r="G259" s="2">
        <v>51</v>
      </c>
      <c r="H259" s="2">
        <v>5</v>
      </c>
      <c r="I259" s="2" t="s">
        <v>1994</v>
      </c>
      <c r="J259" s="2" t="s">
        <v>1995</v>
      </c>
      <c r="K259" s="2" t="s">
        <v>119</v>
      </c>
      <c r="L259" s="2" t="s">
        <v>29</v>
      </c>
      <c r="M259" s="2" t="s">
        <v>1996</v>
      </c>
      <c r="N259" s="2" t="s">
        <v>464</v>
      </c>
      <c r="O259" s="4">
        <v>2543</v>
      </c>
      <c r="P259" s="2" t="s">
        <v>1997</v>
      </c>
      <c r="Q259" s="2" t="s">
        <v>33</v>
      </c>
      <c r="R259" s="2" t="s">
        <v>1998</v>
      </c>
      <c r="S259" s="2" t="s">
        <v>1999</v>
      </c>
      <c r="T259" s="2" t="s">
        <v>2000</v>
      </c>
      <c r="U259" s="2" t="s">
        <v>2001</v>
      </c>
      <c r="V259" s="2" t="s">
        <v>1213</v>
      </c>
    </row>
    <row r="260" spans="1:22">
      <c r="A260" s="2" t="s">
        <v>1282</v>
      </c>
      <c r="B260" s="2" t="s">
        <v>2002</v>
      </c>
      <c r="C260" s="2" t="s">
        <v>2003</v>
      </c>
      <c r="D260" s="2">
        <v>2024</v>
      </c>
      <c r="E260" s="3">
        <v>45536</v>
      </c>
      <c r="F260" s="2" t="s">
        <v>889</v>
      </c>
      <c r="G260" s="2">
        <v>13</v>
      </c>
      <c r="H260" s="2">
        <v>9</v>
      </c>
      <c r="I260" s="2" t="s">
        <v>43</v>
      </c>
      <c r="J260" s="2" t="s">
        <v>890</v>
      </c>
      <c r="K260" s="2" t="s">
        <v>61</v>
      </c>
      <c r="L260" s="2" t="s">
        <v>29</v>
      </c>
      <c r="M260" s="2" t="s">
        <v>891</v>
      </c>
      <c r="N260" s="2" t="s">
        <v>498</v>
      </c>
      <c r="O260" s="4">
        <v>1484</v>
      </c>
      <c r="P260" s="2" t="s">
        <v>2004</v>
      </c>
      <c r="Q260" s="2" t="s">
        <v>49</v>
      </c>
      <c r="R260" s="2" t="s">
        <v>2005</v>
      </c>
      <c r="S260" s="2" t="s">
        <v>1288</v>
      </c>
      <c r="T260" s="2" t="s">
        <v>1289</v>
      </c>
      <c r="U260" s="2" t="s">
        <v>1290</v>
      </c>
      <c r="V260" s="2" t="s">
        <v>80</v>
      </c>
    </row>
    <row r="261" spans="1:22">
      <c r="A261" s="2" t="s">
        <v>2006</v>
      </c>
      <c r="B261" s="2" t="s">
        <v>2007</v>
      </c>
      <c r="C261" s="2" t="s">
        <v>2008</v>
      </c>
      <c r="D261" s="2">
        <v>2024</v>
      </c>
      <c r="E261" s="3">
        <v>45292</v>
      </c>
      <c r="F261" s="2" t="s">
        <v>2009</v>
      </c>
      <c r="G261" s="2">
        <v>37</v>
      </c>
      <c r="H261" s="2">
        <v>7</v>
      </c>
      <c r="I261" s="2" t="s">
        <v>2010</v>
      </c>
      <c r="J261" s="2" t="s">
        <v>2011</v>
      </c>
      <c r="K261" s="2" t="s">
        <v>666</v>
      </c>
      <c r="L261" s="2" t="s">
        <v>29</v>
      </c>
      <c r="M261" s="2" t="s">
        <v>1487</v>
      </c>
      <c r="N261" s="2" t="s">
        <v>196</v>
      </c>
      <c r="O261" s="2" t="s">
        <v>2012</v>
      </c>
      <c r="P261" s="2" t="s">
        <v>2013</v>
      </c>
      <c r="Q261" s="2" t="s">
        <v>33</v>
      </c>
      <c r="R261" s="2" t="s">
        <v>2014</v>
      </c>
      <c r="S261" s="2" t="s">
        <v>2015</v>
      </c>
      <c r="T261" s="2" t="s">
        <v>2016</v>
      </c>
      <c r="U261" s="2" t="s">
        <v>2017</v>
      </c>
      <c r="V261" s="2" t="s">
        <v>80</v>
      </c>
    </row>
    <row r="262" spans="1:22">
      <c r="A262" s="2" t="s">
        <v>2018</v>
      </c>
      <c r="B262" s="2" t="s">
        <v>2019</v>
      </c>
      <c r="C262" s="2" t="s">
        <v>2020</v>
      </c>
      <c r="D262" s="2">
        <v>2025</v>
      </c>
      <c r="E262" s="3">
        <v>45658</v>
      </c>
      <c r="F262" s="2" t="s">
        <v>2021</v>
      </c>
      <c r="G262" s="2">
        <v>47</v>
      </c>
      <c r="H262" s="2">
        <v>17</v>
      </c>
      <c r="I262" s="2" t="s">
        <v>2022</v>
      </c>
      <c r="J262" s="2" t="s">
        <v>2023</v>
      </c>
      <c r="K262" s="2" t="s">
        <v>666</v>
      </c>
      <c r="L262" s="2" t="s">
        <v>29</v>
      </c>
      <c r="M262" s="2" t="s">
        <v>144</v>
      </c>
      <c r="N262" s="2" t="s">
        <v>293</v>
      </c>
      <c r="O262" s="2" t="s">
        <v>2024</v>
      </c>
      <c r="P262" s="2" t="s">
        <v>2025</v>
      </c>
      <c r="Q262" s="2" t="s">
        <v>33</v>
      </c>
      <c r="R262" s="2" t="s">
        <v>2026</v>
      </c>
      <c r="S262" s="2" t="s">
        <v>2027</v>
      </c>
      <c r="T262" s="2" t="s">
        <v>2028</v>
      </c>
      <c r="U262" s="2" t="s">
        <v>2029</v>
      </c>
      <c r="V262" s="2" t="s">
        <v>80</v>
      </c>
    </row>
    <row r="263" spans="1:22">
      <c r="A263" s="2" t="s">
        <v>164</v>
      </c>
      <c r="B263" s="2" t="s">
        <v>2030</v>
      </c>
      <c r="C263" s="2" t="s">
        <v>2031</v>
      </c>
      <c r="D263" s="2">
        <v>2025</v>
      </c>
      <c r="E263" s="3">
        <v>45778</v>
      </c>
      <c r="F263" s="2" t="s">
        <v>1877</v>
      </c>
      <c r="G263" s="2">
        <v>82</v>
      </c>
      <c r="H263" s="2" t="s">
        <v>43</v>
      </c>
      <c r="I263" s="2" t="s">
        <v>43</v>
      </c>
      <c r="J263" s="2" t="s">
        <v>1878</v>
      </c>
      <c r="K263" s="2" t="s">
        <v>103</v>
      </c>
      <c r="L263" s="2" t="s">
        <v>29</v>
      </c>
      <c r="M263" s="2" t="s">
        <v>1879</v>
      </c>
      <c r="N263" s="2" t="s">
        <v>171</v>
      </c>
      <c r="O263" s="4">
        <v>4059</v>
      </c>
      <c r="P263" s="2" t="s">
        <v>2032</v>
      </c>
      <c r="Q263" s="2" t="s">
        <v>33</v>
      </c>
      <c r="R263" s="2" t="s">
        <v>2033</v>
      </c>
      <c r="S263" s="2" t="s">
        <v>2034</v>
      </c>
      <c r="T263" s="2" t="s">
        <v>2035</v>
      </c>
      <c r="U263" s="2" t="s">
        <v>2036</v>
      </c>
      <c r="V263" s="2" t="s">
        <v>2037</v>
      </c>
    </row>
    <row r="264" spans="1:22" ht="28.8">
      <c r="A264" s="2" t="s">
        <v>560</v>
      </c>
      <c r="B264" s="2" t="s">
        <v>2038</v>
      </c>
      <c r="C264" s="2" t="s">
        <v>2039</v>
      </c>
      <c r="D264" s="2">
        <v>2025</v>
      </c>
      <c r="E264" s="3">
        <v>45658</v>
      </c>
      <c r="F264" s="2" t="s">
        <v>1372</v>
      </c>
      <c r="G264" s="2">
        <v>13</v>
      </c>
      <c r="H264" s="2" t="s">
        <v>43</v>
      </c>
      <c r="I264" s="2" t="s">
        <v>43</v>
      </c>
      <c r="J264" s="2" t="s">
        <v>1373</v>
      </c>
      <c r="K264" s="2" t="s">
        <v>183</v>
      </c>
      <c r="L264" s="2" t="s">
        <v>29</v>
      </c>
      <c r="M264" s="2" t="s">
        <v>2040</v>
      </c>
      <c r="N264" s="2" t="s">
        <v>1520</v>
      </c>
      <c r="O264" s="2" t="s">
        <v>2041</v>
      </c>
      <c r="P264" s="2" t="s">
        <v>2042</v>
      </c>
      <c r="Q264" s="2" t="s">
        <v>33</v>
      </c>
      <c r="R264" s="2" t="s">
        <v>2043</v>
      </c>
      <c r="S264" s="2" t="s">
        <v>409</v>
      </c>
      <c r="T264" s="2" t="s">
        <v>2044</v>
      </c>
      <c r="U264" s="2" t="s">
        <v>2045</v>
      </c>
      <c r="V264" s="2" t="s">
        <v>80</v>
      </c>
    </row>
    <row r="265" spans="1:22">
      <c r="A265" s="2" t="s">
        <v>2046</v>
      </c>
      <c r="B265" s="2" t="s">
        <v>2047</v>
      </c>
      <c r="C265" s="2" t="s">
        <v>2048</v>
      </c>
      <c r="D265" s="2">
        <v>2024</v>
      </c>
      <c r="E265" s="3">
        <v>45383</v>
      </c>
      <c r="F265" s="2" t="s">
        <v>2049</v>
      </c>
      <c r="G265" s="2">
        <v>20</v>
      </c>
      <c r="H265" s="2">
        <v>2</v>
      </c>
      <c r="I265" s="2" t="s">
        <v>2050</v>
      </c>
      <c r="J265" s="2" t="s">
        <v>2051</v>
      </c>
      <c r="K265" s="2" t="s">
        <v>119</v>
      </c>
      <c r="L265" s="2" t="s">
        <v>29</v>
      </c>
      <c r="M265" s="2" t="s">
        <v>2052</v>
      </c>
      <c r="N265" s="2" t="s">
        <v>2053</v>
      </c>
      <c r="O265" s="2" t="s">
        <v>2054</v>
      </c>
      <c r="P265" s="2" t="s">
        <v>2055</v>
      </c>
      <c r="Q265" s="2" t="s">
        <v>33</v>
      </c>
      <c r="R265" s="2" t="s">
        <v>2056</v>
      </c>
      <c r="S265" s="2" t="s">
        <v>2057</v>
      </c>
      <c r="T265" s="2" t="s">
        <v>2058</v>
      </c>
      <c r="U265" s="2" t="s">
        <v>2059</v>
      </c>
      <c r="V265" s="2" t="s">
        <v>80</v>
      </c>
    </row>
    <row r="266" spans="1:22" ht="28.8">
      <c r="A266" s="2" t="s">
        <v>2060</v>
      </c>
      <c r="B266" s="2" t="s">
        <v>2061</v>
      </c>
      <c r="C266" s="2" t="s">
        <v>2062</v>
      </c>
      <c r="D266" s="2">
        <v>2024</v>
      </c>
      <c r="E266" s="3">
        <v>45292</v>
      </c>
      <c r="F266" s="2" t="s">
        <v>2063</v>
      </c>
      <c r="G266" s="2">
        <v>40</v>
      </c>
      <c r="H266" s="2">
        <v>3</v>
      </c>
      <c r="I266" s="2" t="s">
        <v>2064</v>
      </c>
      <c r="J266" s="2" t="s">
        <v>2065</v>
      </c>
      <c r="K266" s="2" t="s">
        <v>1134</v>
      </c>
      <c r="L266" s="2" t="s">
        <v>29</v>
      </c>
      <c r="M266" s="2" t="s">
        <v>184</v>
      </c>
      <c r="N266" s="2" t="s">
        <v>2066</v>
      </c>
      <c r="O266" s="2" t="s">
        <v>2067</v>
      </c>
      <c r="P266" s="2" t="s">
        <v>2068</v>
      </c>
      <c r="Q266" s="2" t="s">
        <v>33</v>
      </c>
      <c r="R266" s="2" t="s">
        <v>2069</v>
      </c>
      <c r="S266" s="2" t="s">
        <v>2070</v>
      </c>
      <c r="T266" s="2" t="s">
        <v>2071</v>
      </c>
      <c r="U266" s="2" t="s">
        <v>2072</v>
      </c>
      <c r="V266" s="2" t="s">
        <v>621</v>
      </c>
    </row>
    <row r="267" spans="1:22" ht="28.8">
      <c r="A267" s="2" t="s">
        <v>276</v>
      </c>
      <c r="B267" s="2" t="s">
        <v>2073</v>
      </c>
      <c r="C267" s="2" t="s">
        <v>2074</v>
      </c>
      <c r="D267" s="2">
        <v>2024</v>
      </c>
      <c r="E267" s="3">
        <v>45627</v>
      </c>
      <c r="F267" s="2" t="s">
        <v>849</v>
      </c>
      <c r="G267" s="2">
        <v>46</v>
      </c>
      <c r="H267" s="2">
        <v>12</v>
      </c>
      <c r="I267" s="2" t="s">
        <v>2075</v>
      </c>
      <c r="J267" s="2" t="s">
        <v>851</v>
      </c>
      <c r="K267" s="2" t="s">
        <v>852</v>
      </c>
      <c r="L267" s="2" t="s">
        <v>29</v>
      </c>
      <c r="M267" s="2" t="s">
        <v>853</v>
      </c>
      <c r="N267" s="2" t="s">
        <v>854</v>
      </c>
      <c r="O267" s="2" t="s">
        <v>855</v>
      </c>
      <c r="P267" s="2" t="s">
        <v>2076</v>
      </c>
      <c r="Q267" s="2" t="s">
        <v>33</v>
      </c>
      <c r="R267" s="2" t="s">
        <v>2077</v>
      </c>
      <c r="S267" s="2" t="s">
        <v>2078</v>
      </c>
      <c r="T267" s="2" t="s">
        <v>2079</v>
      </c>
      <c r="U267" s="2" t="s">
        <v>2080</v>
      </c>
      <c r="V267" s="2" t="s">
        <v>2081</v>
      </c>
    </row>
    <row r="268" spans="1:22">
      <c r="A268" s="2" t="s">
        <v>422</v>
      </c>
      <c r="B268" s="2" t="s">
        <v>2082</v>
      </c>
      <c r="C268" s="2" t="s">
        <v>424</v>
      </c>
      <c r="D268" s="2">
        <v>2024</v>
      </c>
      <c r="E268" s="3">
        <v>45292</v>
      </c>
      <c r="F268" s="2" t="s">
        <v>2083</v>
      </c>
      <c r="G268" s="2">
        <v>119</v>
      </c>
      <c r="H268" s="2" t="s">
        <v>43</v>
      </c>
      <c r="I268" s="2" t="s">
        <v>2084</v>
      </c>
      <c r="J268" s="2" t="s">
        <v>2085</v>
      </c>
      <c r="K268" s="2" t="s">
        <v>1572</v>
      </c>
      <c r="L268" s="2" t="s">
        <v>29</v>
      </c>
      <c r="M268" s="2" t="s">
        <v>1306</v>
      </c>
      <c r="N268" s="2" t="s">
        <v>63</v>
      </c>
      <c r="O268" s="2" t="s">
        <v>2086</v>
      </c>
      <c r="P268" s="2" t="s">
        <v>2087</v>
      </c>
      <c r="Q268" s="2" t="s">
        <v>1125</v>
      </c>
      <c r="R268" s="2" t="s">
        <v>2088</v>
      </c>
      <c r="S268" s="2" t="s">
        <v>79</v>
      </c>
      <c r="T268" s="5">
        <v>601053680000000</v>
      </c>
      <c r="U268" s="2" t="s">
        <v>79</v>
      </c>
      <c r="V268" s="2" t="s">
        <v>80</v>
      </c>
    </row>
    <row r="269" spans="1:22">
      <c r="A269" s="2" t="s">
        <v>1619</v>
      </c>
      <c r="B269" s="2" t="s">
        <v>2089</v>
      </c>
      <c r="C269" s="2" t="s">
        <v>2090</v>
      </c>
      <c r="D269" s="2">
        <v>2025</v>
      </c>
      <c r="E269" s="3">
        <v>45658</v>
      </c>
      <c r="F269" s="2" t="s">
        <v>2091</v>
      </c>
      <c r="G269" s="2">
        <v>13</v>
      </c>
      <c r="H269" s="2">
        <v>1</v>
      </c>
      <c r="I269" s="2" t="s">
        <v>43</v>
      </c>
      <c r="J269" s="2" t="s">
        <v>2092</v>
      </c>
      <c r="K269" s="2" t="s">
        <v>61</v>
      </c>
      <c r="L269" s="2" t="s">
        <v>29</v>
      </c>
      <c r="M269" s="2" t="s">
        <v>439</v>
      </c>
      <c r="N269" s="2" t="s">
        <v>196</v>
      </c>
      <c r="O269" s="2" t="s">
        <v>2093</v>
      </c>
      <c r="P269" s="2" t="s">
        <v>2094</v>
      </c>
      <c r="Q269" s="2" t="s">
        <v>33</v>
      </c>
      <c r="R269" s="2" t="s">
        <v>2095</v>
      </c>
      <c r="S269" s="2" t="s">
        <v>2096</v>
      </c>
      <c r="T269" s="2" t="s">
        <v>2097</v>
      </c>
      <c r="U269" s="2" t="s">
        <v>2098</v>
      </c>
      <c r="V269" s="2" t="s">
        <v>80</v>
      </c>
    </row>
    <row r="270" spans="1:22">
      <c r="A270" s="2" t="s">
        <v>2099</v>
      </c>
      <c r="B270" s="2" t="s">
        <v>2089</v>
      </c>
      <c r="C270" s="2" t="s">
        <v>2090</v>
      </c>
      <c r="D270" s="2">
        <v>2025</v>
      </c>
      <c r="E270" s="3">
        <v>45658</v>
      </c>
      <c r="F270" s="2" t="s">
        <v>2091</v>
      </c>
      <c r="G270" s="2">
        <v>13</v>
      </c>
      <c r="H270" s="2">
        <v>1</v>
      </c>
      <c r="I270" s="2" t="s">
        <v>43</v>
      </c>
      <c r="J270" s="2" t="s">
        <v>2092</v>
      </c>
      <c r="K270" s="2" t="s">
        <v>61</v>
      </c>
      <c r="L270" s="2" t="s">
        <v>29</v>
      </c>
      <c r="M270" s="2" t="s">
        <v>439</v>
      </c>
      <c r="N270" s="2" t="s">
        <v>196</v>
      </c>
      <c r="O270" s="2" t="s">
        <v>2093</v>
      </c>
      <c r="P270" s="2" t="s">
        <v>2094</v>
      </c>
      <c r="Q270" s="2" t="s">
        <v>33</v>
      </c>
      <c r="R270" s="2" t="s">
        <v>2095</v>
      </c>
      <c r="S270" s="2" t="s">
        <v>2096</v>
      </c>
      <c r="T270" s="2" t="s">
        <v>2097</v>
      </c>
      <c r="U270" s="2" t="s">
        <v>2098</v>
      </c>
      <c r="V270" s="2" t="s">
        <v>80</v>
      </c>
    </row>
    <row r="271" spans="1:22">
      <c r="A271" s="2" t="s">
        <v>2100</v>
      </c>
      <c r="B271" s="2" t="s">
        <v>2089</v>
      </c>
      <c r="C271" s="2" t="s">
        <v>2090</v>
      </c>
      <c r="D271" s="2">
        <v>2025</v>
      </c>
      <c r="E271" s="3">
        <v>45658</v>
      </c>
      <c r="F271" s="2" t="s">
        <v>2091</v>
      </c>
      <c r="G271" s="2">
        <v>13</v>
      </c>
      <c r="H271" s="2">
        <v>1</v>
      </c>
      <c r="I271" s="2" t="s">
        <v>43</v>
      </c>
      <c r="J271" s="2" t="s">
        <v>2092</v>
      </c>
      <c r="K271" s="2" t="s">
        <v>61</v>
      </c>
      <c r="L271" s="2" t="s">
        <v>29</v>
      </c>
      <c r="M271" s="2" t="s">
        <v>439</v>
      </c>
      <c r="N271" s="2" t="s">
        <v>196</v>
      </c>
      <c r="O271" s="2" t="s">
        <v>2093</v>
      </c>
      <c r="P271" s="2" t="s">
        <v>2094</v>
      </c>
      <c r="Q271" s="2" t="s">
        <v>33</v>
      </c>
      <c r="R271" s="2" t="s">
        <v>2095</v>
      </c>
      <c r="S271" s="2" t="s">
        <v>2096</v>
      </c>
      <c r="T271" s="2" t="s">
        <v>2097</v>
      </c>
      <c r="U271" s="2" t="s">
        <v>2098</v>
      </c>
      <c r="V271" s="2" t="s">
        <v>80</v>
      </c>
    </row>
    <row r="272" spans="1:22">
      <c r="A272" s="2" t="s">
        <v>276</v>
      </c>
      <c r="B272" s="2" t="s">
        <v>2101</v>
      </c>
      <c r="C272" s="2" t="s">
        <v>2102</v>
      </c>
      <c r="D272" s="2">
        <v>2024</v>
      </c>
      <c r="E272" s="3">
        <v>45474</v>
      </c>
      <c r="F272" s="2" t="s">
        <v>1193</v>
      </c>
      <c r="G272" s="2">
        <v>17</v>
      </c>
      <c r="H272" s="2">
        <v>7</v>
      </c>
      <c r="I272" s="2" t="s">
        <v>43</v>
      </c>
      <c r="J272" s="2" t="s">
        <v>1194</v>
      </c>
      <c r="K272" s="2" t="s">
        <v>61</v>
      </c>
      <c r="L272" s="2" t="s">
        <v>29</v>
      </c>
      <c r="M272" s="2" t="s">
        <v>330</v>
      </c>
      <c r="N272" s="2" t="s">
        <v>1581</v>
      </c>
      <c r="O272" s="4">
        <v>1019</v>
      </c>
      <c r="P272" s="2" t="s">
        <v>2103</v>
      </c>
      <c r="Q272" s="2" t="s">
        <v>49</v>
      </c>
      <c r="R272" s="2" t="s">
        <v>2104</v>
      </c>
      <c r="S272" s="2" t="s">
        <v>284</v>
      </c>
      <c r="T272" s="2" t="s">
        <v>285</v>
      </c>
      <c r="U272" s="2" t="s">
        <v>286</v>
      </c>
      <c r="V272" s="2" t="s">
        <v>287</v>
      </c>
    </row>
    <row r="273" spans="1:22">
      <c r="A273" s="2" t="s">
        <v>2099</v>
      </c>
      <c r="B273" s="2" t="s">
        <v>2105</v>
      </c>
      <c r="C273" s="2" t="s">
        <v>2106</v>
      </c>
      <c r="D273" s="2">
        <v>2024</v>
      </c>
      <c r="E273" s="3">
        <v>45292</v>
      </c>
      <c r="F273" s="2" t="s">
        <v>2107</v>
      </c>
      <c r="G273" s="2">
        <v>242</v>
      </c>
      <c r="H273" s="2" t="s">
        <v>43</v>
      </c>
      <c r="I273" s="2" t="s">
        <v>2108</v>
      </c>
      <c r="J273" s="2" t="s">
        <v>2109</v>
      </c>
      <c r="K273" s="2" t="s">
        <v>103</v>
      </c>
      <c r="L273" s="2" t="s">
        <v>29</v>
      </c>
      <c r="M273" s="2" t="s">
        <v>2110</v>
      </c>
      <c r="N273" s="2" t="s">
        <v>1136</v>
      </c>
      <c r="O273" s="2" t="s">
        <v>43</v>
      </c>
      <c r="P273" s="2" t="s">
        <v>2111</v>
      </c>
      <c r="Q273" s="2" t="s">
        <v>2112</v>
      </c>
      <c r="R273" s="2" t="s">
        <v>2113</v>
      </c>
      <c r="S273" s="2" t="s">
        <v>79</v>
      </c>
      <c r="T273" s="2" t="s">
        <v>2114</v>
      </c>
      <c r="U273" s="2" t="s">
        <v>2115</v>
      </c>
      <c r="V273" s="2" t="s">
        <v>80</v>
      </c>
    </row>
    <row r="274" spans="1:22" ht="28.8">
      <c r="A274" s="2" t="s">
        <v>22</v>
      </c>
      <c r="B274" s="2" t="s">
        <v>2116</v>
      </c>
      <c r="C274" s="2" t="s">
        <v>2117</v>
      </c>
      <c r="D274" s="2">
        <v>2025</v>
      </c>
      <c r="E274" s="3">
        <v>45992</v>
      </c>
      <c r="F274" s="2" t="s">
        <v>1399</v>
      </c>
      <c r="G274" s="2">
        <v>125</v>
      </c>
      <c r="H274" s="2">
        <v>12</v>
      </c>
      <c r="I274" s="2" t="s">
        <v>2118</v>
      </c>
      <c r="J274" s="2" t="s">
        <v>1401</v>
      </c>
      <c r="K274" s="2" t="s">
        <v>718</v>
      </c>
      <c r="L274" s="2" t="s">
        <v>29</v>
      </c>
      <c r="M274" s="2" t="s">
        <v>2119</v>
      </c>
      <c r="N274" s="2" t="s">
        <v>961</v>
      </c>
      <c r="O274" s="2" t="s">
        <v>2120</v>
      </c>
      <c r="P274" s="2" t="s">
        <v>2121</v>
      </c>
      <c r="Q274" s="2" t="s">
        <v>49</v>
      </c>
      <c r="R274" s="2" t="s">
        <v>2122</v>
      </c>
      <c r="S274" s="2" t="s">
        <v>2123</v>
      </c>
      <c r="T274" s="2" t="s">
        <v>2124</v>
      </c>
      <c r="U274" s="2" t="s">
        <v>2125</v>
      </c>
      <c r="V274" s="2" t="s">
        <v>2126</v>
      </c>
    </row>
    <row r="275" spans="1:22" ht="28.8">
      <c r="A275" s="2" t="s">
        <v>276</v>
      </c>
      <c r="B275" s="2" t="s">
        <v>2127</v>
      </c>
      <c r="C275" s="2" t="s">
        <v>2128</v>
      </c>
      <c r="D275" s="2">
        <v>2025</v>
      </c>
      <c r="E275" s="3">
        <v>45748</v>
      </c>
      <c r="F275" s="2" t="s">
        <v>2129</v>
      </c>
      <c r="G275" s="2">
        <v>61</v>
      </c>
      <c r="H275" s="2">
        <v>4</v>
      </c>
      <c r="I275" s="2" t="s">
        <v>43</v>
      </c>
      <c r="J275" s="2" t="s">
        <v>2130</v>
      </c>
      <c r="K275" s="2" t="s">
        <v>61</v>
      </c>
      <c r="L275" s="2" t="s">
        <v>29</v>
      </c>
      <c r="M275" s="2" t="s">
        <v>2131</v>
      </c>
      <c r="N275" s="2" t="s">
        <v>234</v>
      </c>
      <c r="O275" s="2" t="s">
        <v>1649</v>
      </c>
      <c r="P275" s="2" t="s">
        <v>2132</v>
      </c>
      <c r="Q275" s="2" t="s">
        <v>49</v>
      </c>
      <c r="R275" s="2" t="s">
        <v>2133</v>
      </c>
      <c r="S275" s="2" t="s">
        <v>2134</v>
      </c>
      <c r="T275" s="2" t="s">
        <v>2135</v>
      </c>
      <c r="U275" s="2" t="s">
        <v>2136</v>
      </c>
      <c r="V275" s="2" t="s">
        <v>2137</v>
      </c>
    </row>
    <row r="276" spans="1:22">
      <c r="A276" s="2" t="s">
        <v>1644</v>
      </c>
      <c r="B276" s="2" t="s">
        <v>2138</v>
      </c>
      <c r="C276" s="2" t="s">
        <v>2139</v>
      </c>
      <c r="D276" s="2">
        <v>2024</v>
      </c>
      <c r="E276" s="3">
        <v>45627</v>
      </c>
      <c r="F276" s="2" t="s">
        <v>2140</v>
      </c>
      <c r="G276" s="2">
        <v>32</v>
      </c>
      <c r="H276" s="2">
        <v>4</v>
      </c>
      <c r="I276" s="2" t="s">
        <v>2141</v>
      </c>
      <c r="J276" s="2" t="s">
        <v>2142</v>
      </c>
      <c r="K276" s="2" t="s">
        <v>718</v>
      </c>
      <c r="L276" s="2" t="s">
        <v>29</v>
      </c>
      <c r="M276" s="2" t="s">
        <v>2143</v>
      </c>
      <c r="N276" s="2" t="s">
        <v>2144</v>
      </c>
      <c r="O276" s="2" t="s">
        <v>2145</v>
      </c>
      <c r="P276" s="2" t="s">
        <v>2146</v>
      </c>
      <c r="Q276" s="2" t="s">
        <v>33</v>
      </c>
      <c r="R276" s="2" t="s">
        <v>2147</v>
      </c>
      <c r="S276" s="2" t="s">
        <v>2148</v>
      </c>
      <c r="T276" s="2" t="s">
        <v>2149</v>
      </c>
      <c r="U276" s="2" t="s">
        <v>2148</v>
      </c>
      <c r="V276" s="2" t="s">
        <v>1249</v>
      </c>
    </row>
    <row r="277" spans="1:22" ht="28.8">
      <c r="A277" s="2" t="s">
        <v>622</v>
      </c>
      <c r="B277" s="2" t="s">
        <v>2150</v>
      </c>
      <c r="C277" s="2" t="s">
        <v>2151</v>
      </c>
      <c r="D277" s="2">
        <v>2025</v>
      </c>
      <c r="E277" s="3">
        <v>45992</v>
      </c>
      <c r="F277" s="2" t="s">
        <v>2152</v>
      </c>
      <c r="G277" s="2">
        <v>5</v>
      </c>
      <c r="H277" s="2">
        <v>1</v>
      </c>
      <c r="I277" s="2" t="s">
        <v>43</v>
      </c>
      <c r="J277" s="2" t="s">
        <v>2153</v>
      </c>
      <c r="K277" s="2" t="s">
        <v>2154</v>
      </c>
      <c r="L277" s="2" t="s">
        <v>29</v>
      </c>
      <c r="M277" s="2" t="s">
        <v>2155</v>
      </c>
      <c r="N277" s="2" t="s">
        <v>2156</v>
      </c>
      <c r="O277" s="2" t="s">
        <v>2157</v>
      </c>
      <c r="P277" s="2" t="s">
        <v>2158</v>
      </c>
      <c r="Q277" s="2" t="s">
        <v>49</v>
      </c>
      <c r="R277" s="2" t="s">
        <v>2159</v>
      </c>
      <c r="S277" s="2" t="s">
        <v>2160</v>
      </c>
      <c r="T277" s="2" t="s">
        <v>2161</v>
      </c>
      <c r="U277" s="2" t="s">
        <v>2162</v>
      </c>
      <c r="V277" s="2" t="s">
        <v>2163</v>
      </c>
    </row>
    <row r="278" spans="1:22">
      <c r="A278" s="2" t="s">
        <v>383</v>
      </c>
      <c r="B278" s="2" t="s">
        <v>2164</v>
      </c>
      <c r="C278" s="2" t="s">
        <v>2165</v>
      </c>
      <c r="D278" s="2">
        <v>2025</v>
      </c>
      <c r="E278" s="3">
        <v>45931</v>
      </c>
      <c r="F278" s="2" t="s">
        <v>2166</v>
      </c>
      <c r="G278" s="2">
        <v>72</v>
      </c>
      <c r="H278" s="2" t="s">
        <v>43</v>
      </c>
      <c r="I278" s="2" t="s">
        <v>43</v>
      </c>
      <c r="J278" s="2" t="s">
        <v>2167</v>
      </c>
      <c r="K278" s="2" t="s">
        <v>45</v>
      </c>
      <c r="L278" s="2" t="s">
        <v>29</v>
      </c>
      <c r="M278" s="2" t="s">
        <v>247</v>
      </c>
      <c r="N278" s="2" t="s">
        <v>807</v>
      </c>
      <c r="O278" s="4">
        <v>1119</v>
      </c>
      <c r="P278" s="2" t="s">
        <v>2168</v>
      </c>
      <c r="Q278" s="2" t="s">
        <v>33</v>
      </c>
      <c r="R278" s="2" t="s">
        <v>2169</v>
      </c>
      <c r="S278" s="2" t="s">
        <v>682</v>
      </c>
      <c r="T278" s="2" t="s">
        <v>2170</v>
      </c>
      <c r="U278" s="2" t="s">
        <v>2171</v>
      </c>
      <c r="V278" s="2" t="s">
        <v>80</v>
      </c>
    </row>
    <row r="279" spans="1:22">
      <c r="A279" s="2" t="s">
        <v>2172</v>
      </c>
      <c r="B279" s="2" t="s">
        <v>2164</v>
      </c>
      <c r="C279" s="2" t="s">
        <v>2165</v>
      </c>
      <c r="D279" s="2">
        <v>2025</v>
      </c>
      <c r="E279" s="3">
        <v>45931</v>
      </c>
      <c r="F279" s="2" t="s">
        <v>2166</v>
      </c>
      <c r="G279" s="2">
        <v>72</v>
      </c>
      <c r="H279" s="2" t="s">
        <v>43</v>
      </c>
      <c r="I279" s="2" t="s">
        <v>43</v>
      </c>
      <c r="J279" s="2" t="s">
        <v>2167</v>
      </c>
      <c r="K279" s="2" t="s">
        <v>45</v>
      </c>
      <c r="L279" s="2" t="s">
        <v>29</v>
      </c>
      <c r="M279" s="2" t="s">
        <v>247</v>
      </c>
      <c r="N279" s="2" t="s">
        <v>807</v>
      </c>
      <c r="O279" s="4">
        <v>1119</v>
      </c>
      <c r="P279" s="2" t="s">
        <v>2168</v>
      </c>
      <c r="Q279" s="2" t="s">
        <v>33</v>
      </c>
      <c r="R279" s="2" t="s">
        <v>2169</v>
      </c>
      <c r="S279" s="2" t="s">
        <v>682</v>
      </c>
      <c r="T279" s="2" t="s">
        <v>2170</v>
      </c>
      <c r="U279" s="2" t="s">
        <v>2171</v>
      </c>
      <c r="V279" s="2" t="s">
        <v>80</v>
      </c>
    </row>
    <row r="280" spans="1:22">
      <c r="A280" s="2" t="s">
        <v>965</v>
      </c>
      <c r="B280" s="2" t="s">
        <v>2164</v>
      </c>
      <c r="C280" s="2" t="s">
        <v>2165</v>
      </c>
      <c r="D280" s="2">
        <v>2025</v>
      </c>
      <c r="E280" s="3">
        <v>45931</v>
      </c>
      <c r="F280" s="2" t="s">
        <v>2166</v>
      </c>
      <c r="G280" s="2">
        <v>72</v>
      </c>
      <c r="H280" s="2" t="s">
        <v>43</v>
      </c>
      <c r="I280" s="2" t="s">
        <v>43</v>
      </c>
      <c r="J280" s="2" t="s">
        <v>2167</v>
      </c>
      <c r="K280" s="2" t="s">
        <v>45</v>
      </c>
      <c r="L280" s="2" t="s">
        <v>29</v>
      </c>
      <c r="M280" s="2" t="s">
        <v>247</v>
      </c>
      <c r="N280" s="2" t="s">
        <v>807</v>
      </c>
      <c r="O280" s="4">
        <v>1119</v>
      </c>
      <c r="P280" s="2" t="s">
        <v>2168</v>
      </c>
      <c r="Q280" s="2" t="s">
        <v>33</v>
      </c>
      <c r="R280" s="2" t="s">
        <v>2169</v>
      </c>
      <c r="S280" s="2" t="s">
        <v>682</v>
      </c>
      <c r="T280" s="2" t="s">
        <v>2170</v>
      </c>
      <c r="U280" s="2" t="s">
        <v>2171</v>
      </c>
      <c r="V280" s="2" t="s">
        <v>80</v>
      </c>
    </row>
    <row r="281" spans="1:22">
      <c r="A281" s="2" t="s">
        <v>385</v>
      </c>
      <c r="B281" s="2" t="s">
        <v>2164</v>
      </c>
      <c r="C281" s="2" t="s">
        <v>2165</v>
      </c>
      <c r="D281" s="2">
        <v>2025</v>
      </c>
      <c r="E281" s="3">
        <v>45931</v>
      </c>
      <c r="F281" s="2" t="s">
        <v>2166</v>
      </c>
      <c r="G281" s="2">
        <v>72</v>
      </c>
      <c r="H281" s="2" t="s">
        <v>43</v>
      </c>
      <c r="I281" s="2" t="s">
        <v>43</v>
      </c>
      <c r="J281" s="2" t="s">
        <v>2167</v>
      </c>
      <c r="K281" s="2" t="s">
        <v>45</v>
      </c>
      <c r="L281" s="2" t="s">
        <v>29</v>
      </c>
      <c r="M281" s="2" t="s">
        <v>247</v>
      </c>
      <c r="N281" s="2" t="s">
        <v>807</v>
      </c>
      <c r="O281" s="4">
        <v>1119</v>
      </c>
      <c r="P281" s="2" t="s">
        <v>2168</v>
      </c>
      <c r="Q281" s="2" t="s">
        <v>33</v>
      </c>
      <c r="R281" s="2" t="s">
        <v>2169</v>
      </c>
      <c r="S281" s="2" t="s">
        <v>682</v>
      </c>
      <c r="T281" s="2" t="s">
        <v>2170</v>
      </c>
      <c r="U281" s="2" t="s">
        <v>2171</v>
      </c>
      <c r="V281" s="2" t="s">
        <v>80</v>
      </c>
    </row>
    <row r="282" spans="1:22">
      <c r="A282" s="2" t="s">
        <v>622</v>
      </c>
      <c r="B282" s="2" t="s">
        <v>2173</v>
      </c>
      <c r="C282" s="2" t="s">
        <v>2174</v>
      </c>
      <c r="D282" s="2">
        <v>2025</v>
      </c>
      <c r="E282" s="3">
        <v>45809</v>
      </c>
      <c r="F282" s="2" t="s">
        <v>2175</v>
      </c>
      <c r="G282" s="2">
        <v>6</v>
      </c>
      <c r="H282" s="2">
        <v>2</v>
      </c>
      <c r="I282" s="2" t="s">
        <v>43</v>
      </c>
      <c r="J282" s="2" t="s">
        <v>2176</v>
      </c>
      <c r="K282" s="2" t="s">
        <v>61</v>
      </c>
      <c r="L282" s="2" t="s">
        <v>29</v>
      </c>
      <c r="M282" s="2" t="s">
        <v>2177</v>
      </c>
      <c r="N282" s="2" t="s">
        <v>2178</v>
      </c>
      <c r="O282" s="2" t="s">
        <v>2179</v>
      </c>
      <c r="P282" s="2" t="s">
        <v>2180</v>
      </c>
      <c r="Q282" s="2" t="s">
        <v>49</v>
      </c>
      <c r="R282" s="2" t="s">
        <v>2181</v>
      </c>
      <c r="S282" s="2" t="s">
        <v>2182</v>
      </c>
      <c r="T282" s="2" t="s">
        <v>2183</v>
      </c>
      <c r="U282" s="2" t="s">
        <v>2184</v>
      </c>
      <c r="V282" s="2" t="s">
        <v>80</v>
      </c>
    </row>
    <row r="283" spans="1:22" ht="28.8">
      <c r="A283" s="2" t="s">
        <v>2185</v>
      </c>
      <c r="B283" s="2" t="s">
        <v>2186</v>
      </c>
      <c r="C283" s="2" t="s">
        <v>2187</v>
      </c>
      <c r="D283" s="2">
        <v>2025</v>
      </c>
      <c r="E283" s="3">
        <v>45992</v>
      </c>
      <c r="F283" s="2" t="s">
        <v>2188</v>
      </c>
      <c r="G283" s="2">
        <v>102</v>
      </c>
      <c r="H283" s="2" t="s">
        <v>43</v>
      </c>
      <c r="I283" s="2" t="s">
        <v>43</v>
      </c>
      <c r="J283" s="2" t="s">
        <v>2189</v>
      </c>
      <c r="K283" s="2" t="s">
        <v>2190</v>
      </c>
      <c r="L283" s="2" t="s">
        <v>29</v>
      </c>
      <c r="M283" s="2" t="s">
        <v>2191</v>
      </c>
      <c r="N283" s="2" t="s">
        <v>348</v>
      </c>
      <c r="O283" s="4">
        <v>2918</v>
      </c>
      <c r="P283" s="2" t="s">
        <v>2192</v>
      </c>
      <c r="Q283" s="2" t="s">
        <v>33</v>
      </c>
      <c r="R283" s="2" t="s">
        <v>2193</v>
      </c>
      <c r="S283" s="2" t="s">
        <v>2194</v>
      </c>
      <c r="T283" s="2" t="s">
        <v>2195</v>
      </c>
      <c r="U283" s="2" t="s">
        <v>2196</v>
      </c>
      <c r="V283" s="2" t="s">
        <v>177</v>
      </c>
    </row>
    <row r="284" spans="1:22">
      <c r="A284" s="2" t="s">
        <v>790</v>
      </c>
      <c r="B284" s="2" t="s">
        <v>2197</v>
      </c>
      <c r="C284" s="2" t="s">
        <v>2198</v>
      </c>
      <c r="D284" s="2">
        <v>2024</v>
      </c>
      <c r="E284" s="3">
        <v>45536</v>
      </c>
      <c r="F284" s="2" t="s">
        <v>2199</v>
      </c>
      <c r="G284" s="2" t="s">
        <v>43</v>
      </c>
      <c r="H284" s="2">
        <v>80</v>
      </c>
      <c r="I284" s="2" t="s">
        <v>2200</v>
      </c>
      <c r="J284" s="2" t="s">
        <v>2201</v>
      </c>
      <c r="K284" s="2" t="s">
        <v>2202</v>
      </c>
      <c r="L284" s="2" t="s">
        <v>1867</v>
      </c>
      <c r="M284" s="2" t="s">
        <v>2203</v>
      </c>
      <c r="N284" s="2" t="s">
        <v>1136</v>
      </c>
      <c r="O284" s="2" t="s">
        <v>2204</v>
      </c>
      <c r="P284" s="2" t="s">
        <v>2205</v>
      </c>
      <c r="Q284" s="2" t="s">
        <v>33</v>
      </c>
      <c r="R284" s="2" t="s">
        <v>2206</v>
      </c>
      <c r="S284" s="2" t="s">
        <v>2207</v>
      </c>
      <c r="T284" s="2" t="s">
        <v>2208</v>
      </c>
      <c r="U284" s="2" t="s">
        <v>2209</v>
      </c>
      <c r="V284" s="2" t="s">
        <v>80</v>
      </c>
    </row>
    <row r="285" spans="1:22">
      <c r="A285" s="2" t="s">
        <v>2210</v>
      </c>
      <c r="B285" s="2" t="s">
        <v>2211</v>
      </c>
      <c r="C285" s="2" t="s">
        <v>2212</v>
      </c>
      <c r="D285" s="2">
        <v>2025</v>
      </c>
      <c r="E285" s="3">
        <v>45992</v>
      </c>
      <c r="F285" s="2" t="s">
        <v>2213</v>
      </c>
      <c r="G285" s="2">
        <v>80</v>
      </c>
      <c r="H285" s="2" t="s">
        <v>43</v>
      </c>
      <c r="I285" s="2" t="s">
        <v>2214</v>
      </c>
      <c r="J285" s="2" t="s">
        <v>2215</v>
      </c>
      <c r="K285" s="2" t="s">
        <v>2216</v>
      </c>
      <c r="L285" s="2" t="s">
        <v>29</v>
      </c>
      <c r="M285" s="2" t="s">
        <v>1786</v>
      </c>
      <c r="N285" s="2" t="s">
        <v>121</v>
      </c>
      <c r="O285" s="4">
        <v>1503</v>
      </c>
      <c r="P285" s="2" t="s">
        <v>2217</v>
      </c>
      <c r="Q285" s="2" t="s">
        <v>33</v>
      </c>
      <c r="R285" s="2" t="s">
        <v>2218</v>
      </c>
      <c r="S285" s="2" t="s">
        <v>2219</v>
      </c>
      <c r="T285" s="2" t="s">
        <v>2220</v>
      </c>
      <c r="U285" s="2" t="s">
        <v>2221</v>
      </c>
      <c r="V285" s="2" t="s">
        <v>802</v>
      </c>
    </row>
    <row r="286" spans="1:22" ht="57.6">
      <c r="A286" s="2" t="s">
        <v>789</v>
      </c>
      <c r="B286" s="2" t="s">
        <v>2222</v>
      </c>
      <c r="C286" s="2" t="s">
        <v>2223</v>
      </c>
      <c r="D286" s="2">
        <v>2025</v>
      </c>
      <c r="E286" s="3">
        <v>45717</v>
      </c>
      <c r="F286" s="2" t="s">
        <v>2224</v>
      </c>
      <c r="G286" s="2">
        <v>194</v>
      </c>
      <c r="H286" s="2" t="s">
        <v>43</v>
      </c>
      <c r="I286" s="2" t="s">
        <v>43</v>
      </c>
      <c r="J286" s="2" t="s">
        <v>2225</v>
      </c>
      <c r="K286" s="2" t="s">
        <v>2226</v>
      </c>
      <c r="L286" s="2" t="s">
        <v>29</v>
      </c>
      <c r="M286" s="2" t="s">
        <v>1463</v>
      </c>
      <c r="N286" s="2" t="s">
        <v>76</v>
      </c>
      <c r="O286" s="4">
        <v>1163</v>
      </c>
      <c r="P286" s="2" t="s">
        <v>2227</v>
      </c>
      <c r="Q286" s="2" t="s">
        <v>33</v>
      </c>
      <c r="R286" s="2" t="s">
        <v>2228</v>
      </c>
      <c r="S286" s="2" t="s">
        <v>2229</v>
      </c>
      <c r="T286" s="2" t="s">
        <v>2230</v>
      </c>
      <c r="U286" s="2" t="s">
        <v>2231</v>
      </c>
      <c r="V286" s="2" t="s">
        <v>2232</v>
      </c>
    </row>
    <row r="287" spans="1:22">
      <c r="A287" s="2" t="s">
        <v>1916</v>
      </c>
      <c r="B287" s="2" t="s">
        <v>2233</v>
      </c>
      <c r="C287" s="2" t="s">
        <v>2234</v>
      </c>
      <c r="D287" s="2">
        <v>2025</v>
      </c>
      <c r="E287" s="3">
        <v>45658</v>
      </c>
      <c r="F287" s="2" t="s">
        <v>2235</v>
      </c>
      <c r="G287" s="2" t="s">
        <v>43</v>
      </c>
      <c r="H287" s="2" t="s">
        <v>43</v>
      </c>
      <c r="I287" s="2" t="s">
        <v>43</v>
      </c>
      <c r="J287" s="2" t="s">
        <v>2236</v>
      </c>
      <c r="K287" s="2" t="s">
        <v>734</v>
      </c>
      <c r="L287" s="2" t="s">
        <v>29</v>
      </c>
      <c r="M287" s="2" t="s">
        <v>870</v>
      </c>
      <c r="N287" s="2" t="s">
        <v>76</v>
      </c>
      <c r="O287" s="2" t="s">
        <v>2237</v>
      </c>
      <c r="P287" s="2" t="s">
        <v>2238</v>
      </c>
      <c r="Q287" s="2" t="s">
        <v>49</v>
      </c>
      <c r="R287" s="2" t="s">
        <v>2239</v>
      </c>
      <c r="S287" s="2" t="s">
        <v>1681</v>
      </c>
      <c r="T287" s="2" t="s">
        <v>2240</v>
      </c>
      <c r="U287" s="2" t="s">
        <v>2241</v>
      </c>
      <c r="V287" s="2" t="s">
        <v>80</v>
      </c>
    </row>
    <row r="288" spans="1:22">
      <c r="A288" s="2" t="s">
        <v>1344</v>
      </c>
      <c r="B288" s="2" t="s">
        <v>2233</v>
      </c>
      <c r="C288" s="2" t="s">
        <v>2234</v>
      </c>
      <c r="D288" s="2">
        <v>2025</v>
      </c>
      <c r="E288" s="3">
        <v>45658</v>
      </c>
      <c r="F288" s="2" t="s">
        <v>2235</v>
      </c>
      <c r="G288" s="2" t="s">
        <v>43</v>
      </c>
      <c r="H288" s="2" t="s">
        <v>43</v>
      </c>
      <c r="I288" s="2" t="s">
        <v>43</v>
      </c>
      <c r="J288" s="2" t="s">
        <v>2236</v>
      </c>
      <c r="K288" s="2" t="s">
        <v>734</v>
      </c>
      <c r="L288" s="2" t="s">
        <v>29</v>
      </c>
      <c r="M288" s="2" t="s">
        <v>870</v>
      </c>
      <c r="N288" s="2" t="s">
        <v>76</v>
      </c>
      <c r="O288" s="2" t="s">
        <v>2237</v>
      </c>
      <c r="P288" s="2" t="s">
        <v>2238</v>
      </c>
      <c r="Q288" s="2" t="s">
        <v>49</v>
      </c>
      <c r="R288" s="2" t="s">
        <v>2239</v>
      </c>
      <c r="S288" s="2" t="s">
        <v>1681</v>
      </c>
      <c r="T288" s="2" t="s">
        <v>2240</v>
      </c>
      <c r="U288" s="2" t="s">
        <v>2241</v>
      </c>
      <c r="V288" s="2" t="s">
        <v>80</v>
      </c>
    </row>
    <row r="289" spans="1:22" ht="86.4">
      <c r="A289" s="2" t="s">
        <v>2242</v>
      </c>
      <c r="B289" s="2" t="s">
        <v>2243</v>
      </c>
      <c r="C289" s="2" t="s">
        <v>2244</v>
      </c>
      <c r="D289" s="2">
        <v>2025</v>
      </c>
      <c r="E289" s="3">
        <v>45962</v>
      </c>
      <c r="F289" s="2" t="s">
        <v>2245</v>
      </c>
      <c r="G289" s="2">
        <v>53</v>
      </c>
      <c r="H289" s="2">
        <v>11</v>
      </c>
      <c r="I289" s="2" t="s">
        <v>2246</v>
      </c>
      <c r="J289" s="2" t="s">
        <v>2247</v>
      </c>
      <c r="K289" s="2" t="s">
        <v>566</v>
      </c>
      <c r="L289" s="2" t="s">
        <v>29</v>
      </c>
      <c r="M289" s="2" t="s">
        <v>2248</v>
      </c>
      <c r="N289" s="2" t="s">
        <v>121</v>
      </c>
      <c r="O289" s="4">
        <v>1921</v>
      </c>
      <c r="P289" s="2" t="s">
        <v>2249</v>
      </c>
      <c r="Q289" s="2" t="s">
        <v>49</v>
      </c>
      <c r="R289" s="2" t="s">
        <v>2250</v>
      </c>
      <c r="S289" s="2" t="s">
        <v>2251</v>
      </c>
      <c r="T289" s="2" t="s">
        <v>2252</v>
      </c>
      <c r="U289" s="2" t="s">
        <v>2253</v>
      </c>
      <c r="V289" s="2" t="s">
        <v>2254</v>
      </c>
    </row>
    <row r="290" spans="1:22">
      <c r="A290" s="2" t="s">
        <v>2255</v>
      </c>
      <c r="B290" s="2" t="s">
        <v>2256</v>
      </c>
      <c r="C290" s="2" t="s">
        <v>2257</v>
      </c>
      <c r="D290" s="2">
        <v>2024</v>
      </c>
      <c r="E290" s="3">
        <v>45510</v>
      </c>
      <c r="F290" s="2" t="s">
        <v>167</v>
      </c>
      <c r="G290" s="2">
        <v>13</v>
      </c>
      <c r="H290" s="2">
        <v>15</v>
      </c>
      <c r="I290" s="2" t="s">
        <v>43</v>
      </c>
      <c r="J290" s="2" t="s">
        <v>2258</v>
      </c>
      <c r="K290" s="2" t="s">
        <v>2259</v>
      </c>
      <c r="L290" s="2" t="s">
        <v>29</v>
      </c>
      <c r="M290" s="2" t="s">
        <v>579</v>
      </c>
      <c r="N290" s="2" t="s">
        <v>476</v>
      </c>
      <c r="O290" s="4">
        <v>2189</v>
      </c>
      <c r="P290" s="2" t="s">
        <v>2260</v>
      </c>
      <c r="Q290" s="2" t="s">
        <v>33</v>
      </c>
      <c r="R290" s="2" t="s">
        <v>2261</v>
      </c>
      <c r="S290" s="2" t="s">
        <v>2262</v>
      </c>
      <c r="T290" s="2" t="s">
        <v>2263</v>
      </c>
      <c r="U290" s="2" t="s">
        <v>2264</v>
      </c>
      <c r="V290" s="2" t="s">
        <v>2265</v>
      </c>
    </row>
    <row r="291" spans="1:22" ht="28.8">
      <c r="A291" s="2" t="s">
        <v>2266</v>
      </c>
      <c r="B291" s="2" t="s">
        <v>2267</v>
      </c>
      <c r="C291" s="2" t="s">
        <v>2268</v>
      </c>
      <c r="D291" s="2">
        <v>2024</v>
      </c>
      <c r="E291" s="3">
        <v>45383</v>
      </c>
      <c r="F291" s="2" t="s">
        <v>1470</v>
      </c>
      <c r="G291" s="2">
        <v>14</v>
      </c>
      <c r="H291" s="2">
        <v>7</v>
      </c>
      <c r="I291" s="2" t="s">
        <v>43</v>
      </c>
      <c r="J291" s="2" t="s">
        <v>1471</v>
      </c>
      <c r="K291" s="2" t="s">
        <v>61</v>
      </c>
      <c r="L291" s="2" t="s">
        <v>29</v>
      </c>
      <c r="M291" s="2" t="s">
        <v>1472</v>
      </c>
      <c r="N291" s="2" t="s">
        <v>1473</v>
      </c>
      <c r="O291" s="2" t="s">
        <v>1474</v>
      </c>
      <c r="P291" s="2" t="s">
        <v>2269</v>
      </c>
      <c r="Q291" s="2" t="s">
        <v>49</v>
      </c>
      <c r="R291" s="2" t="s">
        <v>2270</v>
      </c>
      <c r="S291" s="2" t="s">
        <v>2271</v>
      </c>
      <c r="T291" s="2" t="s">
        <v>2272</v>
      </c>
      <c r="U291" s="2" t="s">
        <v>2273</v>
      </c>
      <c r="V291" s="2" t="s">
        <v>2274</v>
      </c>
    </row>
    <row r="292" spans="1:22" ht="28.8">
      <c r="A292" s="2" t="s">
        <v>822</v>
      </c>
      <c r="B292" s="2" t="s">
        <v>2275</v>
      </c>
      <c r="C292" s="2" t="s">
        <v>2276</v>
      </c>
      <c r="D292" s="2">
        <v>2025</v>
      </c>
      <c r="E292" s="3">
        <v>45717</v>
      </c>
      <c r="F292" s="2" t="s">
        <v>2277</v>
      </c>
      <c r="G292" s="2">
        <v>46</v>
      </c>
      <c r="H292" s="2">
        <v>2</v>
      </c>
      <c r="I292" s="2" t="s">
        <v>2278</v>
      </c>
      <c r="J292" s="2" t="s">
        <v>2279</v>
      </c>
      <c r="K292" s="2" t="s">
        <v>119</v>
      </c>
      <c r="L292" s="2" t="s">
        <v>29</v>
      </c>
      <c r="M292" s="2" t="s">
        <v>719</v>
      </c>
      <c r="N292" s="2" t="s">
        <v>63</v>
      </c>
      <c r="O292" s="2" t="s">
        <v>2280</v>
      </c>
      <c r="P292" s="2" t="s">
        <v>2281</v>
      </c>
      <c r="Q292" s="2" t="s">
        <v>33</v>
      </c>
      <c r="R292" s="2" t="s">
        <v>2282</v>
      </c>
      <c r="S292" s="2" t="s">
        <v>2283</v>
      </c>
      <c r="T292" s="2" t="s">
        <v>2284</v>
      </c>
      <c r="U292" s="2" t="s">
        <v>2285</v>
      </c>
      <c r="V292" s="2" t="s">
        <v>80</v>
      </c>
    </row>
    <row r="293" spans="1:22">
      <c r="A293" s="2" t="s">
        <v>1252</v>
      </c>
      <c r="B293" s="2" t="s">
        <v>2286</v>
      </c>
      <c r="C293" s="2" t="s">
        <v>2287</v>
      </c>
      <c r="D293" s="2">
        <v>2024</v>
      </c>
      <c r="E293" s="3">
        <v>45323</v>
      </c>
      <c r="F293" s="2" t="s">
        <v>1255</v>
      </c>
      <c r="G293" s="2">
        <v>43</v>
      </c>
      <c r="H293" s="2">
        <v>2</v>
      </c>
      <c r="I293" s="2" t="s">
        <v>2288</v>
      </c>
      <c r="J293" s="2" t="s">
        <v>1257</v>
      </c>
      <c r="K293" s="2" t="s">
        <v>1258</v>
      </c>
      <c r="L293" s="2" t="s">
        <v>29</v>
      </c>
      <c r="M293" s="2" t="s">
        <v>464</v>
      </c>
      <c r="N293" s="2" t="s">
        <v>440</v>
      </c>
      <c r="O293" s="2" t="s">
        <v>1259</v>
      </c>
      <c r="P293" s="2" t="s">
        <v>2289</v>
      </c>
      <c r="Q293" s="2" t="s">
        <v>33</v>
      </c>
      <c r="R293" s="2" t="s">
        <v>2290</v>
      </c>
      <c r="S293" s="2" t="s">
        <v>398</v>
      </c>
      <c r="T293" s="2" t="s">
        <v>2291</v>
      </c>
      <c r="U293" s="2" t="s">
        <v>2292</v>
      </c>
      <c r="V293" s="2" t="s">
        <v>80</v>
      </c>
    </row>
    <row r="294" spans="1:22">
      <c r="A294" s="2" t="s">
        <v>2293</v>
      </c>
      <c r="B294" s="2" t="s">
        <v>2286</v>
      </c>
      <c r="C294" s="2" t="s">
        <v>2287</v>
      </c>
      <c r="D294" s="2">
        <v>2024</v>
      </c>
      <c r="E294" s="3">
        <v>45323</v>
      </c>
      <c r="F294" s="2" t="s">
        <v>1255</v>
      </c>
      <c r="G294" s="2">
        <v>43</v>
      </c>
      <c r="H294" s="2">
        <v>2</v>
      </c>
      <c r="I294" s="2" t="s">
        <v>2288</v>
      </c>
      <c r="J294" s="2" t="s">
        <v>1257</v>
      </c>
      <c r="K294" s="2" t="s">
        <v>1258</v>
      </c>
      <c r="L294" s="2" t="s">
        <v>29</v>
      </c>
      <c r="M294" s="2" t="s">
        <v>464</v>
      </c>
      <c r="N294" s="2" t="s">
        <v>440</v>
      </c>
      <c r="O294" s="2" t="s">
        <v>1259</v>
      </c>
      <c r="P294" s="2" t="s">
        <v>2289</v>
      </c>
      <c r="Q294" s="2" t="s">
        <v>33</v>
      </c>
      <c r="R294" s="2" t="s">
        <v>2290</v>
      </c>
      <c r="S294" s="2" t="s">
        <v>398</v>
      </c>
      <c r="T294" s="2" t="s">
        <v>2291</v>
      </c>
      <c r="U294" s="2" t="s">
        <v>2292</v>
      </c>
      <c r="V294" s="2" t="s">
        <v>80</v>
      </c>
    </row>
    <row r="295" spans="1:22">
      <c r="A295" s="2" t="s">
        <v>265</v>
      </c>
      <c r="B295" s="2" t="s">
        <v>2294</v>
      </c>
      <c r="C295" s="2" t="s">
        <v>2295</v>
      </c>
      <c r="D295" s="2">
        <v>2024</v>
      </c>
      <c r="E295" s="3">
        <v>45413</v>
      </c>
      <c r="F295" s="2" t="s">
        <v>167</v>
      </c>
      <c r="G295" s="2">
        <v>20</v>
      </c>
      <c r="H295" s="2">
        <v>5</v>
      </c>
      <c r="I295" s="2" t="s">
        <v>2296</v>
      </c>
      <c r="J295" s="2" t="s">
        <v>2297</v>
      </c>
      <c r="K295" s="2" t="s">
        <v>194</v>
      </c>
      <c r="L295" s="2" t="s">
        <v>29</v>
      </c>
      <c r="M295" s="2" t="s">
        <v>1182</v>
      </c>
      <c r="N295" s="2" t="s">
        <v>1136</v>
      </c>
      <c r="O295" s="2" t="s">
        <v>1890</v>
      </c>
      <c r="P295" s="2" t="s">
        <v>2298</v>
      </c>
      <c r="Q295" s="2" t="s">
        <v>33</v>
      </c>
      <c r="R295" s="2" t="s">
        <v>2299</v>
      </c>
      <c r="S295" s="2" t="s">
        <v>2300</v>
      </c>
      <c r="T295" s="2" t="s">
        <v>2301</v>
      </c>
      <c r="U295" s="2" t="s">
        <v>2302</v>
      </c>
      <c r="V295" s="2" t="s">
        <v>275</v>
      </c>
    </row>
    <row r="296" spans="1:22">
      <c r="A296" s="2" t="s">
        <v>965</v>
      </c>
      <c r="B296" s="2" t="s">
        <v>2303</v>
      </c>
      <c r="C296" s="2" t="s">
        <v>2304</v>
      </c>
      <c r="D296" s="2">
        <v>2025</v>
      </c>
      <c r="E296" s="3">
        <v>45658</v>
      </c>
      <c r="F296" s="2" t="s">
        <v>957</v>
      </c>
      <c r="G296" s="2" t="s">
        <v>43</v>
      </c>
      <c r="H296" s="2" t="s">
        <v>43</v>
      </c>
      <c r="I296" s="2" t="s">
        <v>43</v>
      </c>
      <c r="J296" s="2" t="s">
        <v>959</v>
      </c>
      <c r="K296" s="2" t="s">
        <v>119</v>
      </c>
      <c r="L296" s="2" t="s">
        <v>29</v>
      </c>
      <c r="M296" s="2" t="s">
        <v>567</v>
      </c>
      <c r="N296" s="2" t="s">
        <v>1520</v>
      </c>
      <c r="O296" s="4">
        <v>1476</v>
      </c>
      <c r="P296" s="2" t="s">
        <v>2305</v>
      </c>
      <c r="Q296" s="2" t="s">
        <v>49</v>
      </c>
      <c r="R296" s="2" t="s">
        <v>2306</v>
      </c>
      <c r="S296" s="2" t="s">
        <v>763</v>
      </c>
      <c r="T296" s="2" t="s">
        <v>2307</v>
      </c>
      <c r="U296" s="2" t="s">
        <v>2308</v>
      </c>
      <c r="V296" s="2" t="s">
        <v>766</v>
      </c>
    </row>
    <row r="297" spans="1:22">
      <c r="A297" s="2" t="s">
        <v>2172</v>
      </c>
      <c r="B297" s="2" t="s">
        <v>2303</v>
      </c>
      <c r="C297" s="2" t="s">
        <v>2304</v>
      </c>
      <c r="D297" s="2">
        <v>2025</v>
      </c>
      <c r="E297" s="3">
        <v>45658</v>
      </c>
      <c r="F297" s="2" t="s">
        <v>957</v>
      </c>
      <c r="G297" s="2" t="s">
        <v>43</v>
      </c>
      <c r="H297" s="2" t="s">
        <v>43</v>
      </c>
      <c r="I297" s="2" t="s">
        <v>43</v>
      </c>
      <c r="J297" s="2" t="s">
        <v>959</v>
      </c>
      <c r="K297" s="2" t="s">
        <v>119</v>
      </c>
      <c r="L297" s="2" t="s">
        <v>29</v>
      </c>
      <c r="M297" s="2" t="s">
        <v>567</v>
      </c>
      <c r="N297" s="2" t="s">
        <v>1520</v>
      </c>
      <c r="O297" s="4">
        <v>1476</v>
      </c>
      <c r="P297" s="2" t="s">
        <v>2305</v>
      </c>
      <c r="Q297" s="2" t="s">
        <v>49</v>
      </c>
      <c r="R297" s="2" t="s">
        <v>2306</v>
      </c>
      <c r="S297" s="2" t="s">
        <v>763</v>
      </c>
      <c r="T297" s="2" t="s">
        <v>2307</v>
      </c>
      <c r="U297" s="2" t="s">
        <v>2308</v>
      </c>
      <c r="V297" s="2" t="s">
        <v>766</v>
      </c>
    </row>
    <row r="298" spans="1:22">
      <c r="A298" s="2" t="s">
        <v>2309</v>
      </c>
      <c r="B298" s="2" t="s">
        <v>2303</v>
      </c>
      <c r="C298" s="2" t="s">
        <v>2304</v>
      </c>
      <c r="D298" s="2">
        <v>2025</v>
      </c>
      <c r="E298" s="3">
        <v>45658</v>
      </c>
      <c r="F298" s="2" t="s">
        <v>957</v>
      </c>
      <c r="G298" s="2" t="s">
        <v>43</v>
      </c>
      <c r="H298" s="2" t="s">
        <v>43</v>
      </c>
      <c r="I298" s="2" t="s">
        <v>43</v>
      </c>
      <c r="J298" s="2" t="s">
        <v>959</v>
      </c>
      <c r="K298" s="2" t="s">
        <v>119</v>
      </c>
      <c r="L298" s="2" t="s">
        <v>29</v>
      </c>
      <c r="M298" s="2" t="s">
        <v>567</v>
      </c>
      <c r="N298" s="2" t="s">
        <v>1520</v>
      </c>
      <c r="O298" s="4">
        <v>1476</v>
      </c>
      <c r="P298" s="2" t="s">
        <v>2305</v>
      </c>
      <c r="Q298" s="2" t="s">
        <v>49</v>
      </c>
      <c r="R298" s="2" t="s">
        <v>2306</v>
      </c>
      <c r="S298" s="2" t="s">
        <v>763</v>
      </c>
      <c r="T298" s="2" t="s">
        <v>2307</v>
      </c>
      <c r="U298" s="2" t="s">
        <v>2308</v>
      </c>
      <c r="V298" s="2" t="s">
        <v>766</v>
      </c>
    </row>
    <row r="299" spans="1:22">
      <c r="A299" s="2" t="s">
        <v>311</v>
      </c>
      <c r="B299" s="2" t="s">
        <v>2310</v>
      </c>
      <c r="C299" s="2" t="s">
        <v>2311</v>
      </c>
      <c r="D299" s="2">
        <v>2024</v>
      </c>
      <c r="E299" s="3">
        <v>45566</v>
      </c>
      <c r="F299" s="2" t="s">
        <v>2312</v>
      </c>
      <c r="G299" s="2">
        <v>165</v>
      </c>
      <c r="H299" s="2">
        <v>10</v>
      </c>
      <c r="I299" s="2" t="s">
        <v>43</v>
      </c>
      <c r="J299" s="2" t="s">
        <v>2313</v>
      </c>
      <c r="K299" s="2" t="s">
        <v>2314</v>
      </c>
      <c r="L299" s="2" t="s">
        <v>29</v>
      </c>
      <c r="M299" s="2" t="s">
        <v>2315</v>
      </c>
      <c r="N299" s="2" t="s">
        <v>293</v>
      </c>
      <c r="O299" s="4">
        <v>1308</v>
      </c>
      <c r="P299" s="2" t="s">
        <v>2316</v>
      </c>
      <c r="Q299" s="2" t="s">
        <v>33</v>
      </c>
      <c r="R299" s="2" t="s">
        <v>2317</v>
      </c>
      <c r="S299" s="2" t="s">
        <v>2318</v>
      </c>
      <c r="T299" s="2" t="s">
        <v>2319</v>
      </c>
      <c r="U299" s="2" t="s">
        <v>2320</v>
      </c>
      <c r="V299" s="2" t="s">
        <v>2321</v>
      </c>
    </row>
    <row r="300" spans="1:22">
      <c r="A300" s="2" t="s">
        <v>2322</v>
      </c>
      <c r="B300" s="2" t="s">
        <v>2323</v>
      </c>
      <c r="C300" s="2" t="s">
        <v>2324</v>
      </c>
      <c r="D300" s="2">
        <v>2025</v>
      </c>
      <c r="E300" s="3">
        <v>45689</v>
      </c>
      <c r="F300" s="2" t="s">
        <v>2325</v>
      </c>
      <c r="G300" s="2">
        <v>133</v>
      </c>
      <c r="H300" s="2">
        <v>2</v>
      </c>
      <c r="I300" s="2" t="s">
        <v>2326</v>
      </c>
      <c r="J300" s="2" t="s">
        <v>2327</v>
      </c>
      <c r="K300" s="2" t="s">
        <v>2328</v>
      </c>
      <c r="L300" s="2" t="s">
        <v>29</v>
      </c>
      <c r="M300" s="2" t="s">
        <v>184</v>
      </c>
      <c r="N300" s="2" t="s">
        <v>2178</v>
      </c>
      <c r="O300" s="2" t="s">
        <v>146</v>
      </c>
      <c r="P300" s="2" t="s">
        <v>2329</v>
      </c>
      <c r="Q300" s="2" t="s">
        <v>33</v>
      </c>
      <c r="R300" s="2" t="s">
        <v>2330</v>
      </c>
      <c r="S300" s="2" t="s">
        <v>2331</v>
      </c>
      <c r="T300" s="2" t="s">
        <v>2332</v>
      </c>
      <c r="U300" s="2" t="s">
        <v>2333</v>
      </c>
      <c r="V300" s="2" t="s">
        <v>621</v>
      </c>
    </row>
    <row r="301" spans="1:22" ht="28.8">
      <c r="A301" s="2" t="s">
        <v>276</v>
      </c>
      <c r="B301" s="2" t="s">
        <v>2334</v>
      </c>
      <c r="C301" s="2" t="s">
        <v>2335</v>
      </c>
      <c r="D301" s="2">
        <v>2025</v>
      </c>
      <c r="E301" s="3">
        <v>45658</v>
      </c>
      <c r="F301" s="2" t="s">
        <v>1470</v>
      </c>
      <c r="G301" s="2">
        <v>15</v>
      </c>
      <c r="H301" s="2">
        <v>1</v>
      </c>
      <c r="I301" s="2" t="s">
        <v>43</v>
      </c>
      <c r="J301" s="2" t="s">
        <v>1471</v>
      </c>
      <c r="K301" s="2" t="s">
        <v>61</v>
      </c>
      <c r="L301" s="2" t="s">
        <v>29</v>
      </c>
      <c r="M301" s="2" t="s">
        <v>246</v>
      </c>
      <c r="N301" s="2" t="s">
        <v>1581</v>
      </c>
      <c r="O301" s="2" t="s">
        <v>2336</v>
      </c>
      <c r="P301" s="2" t="s">
        <v>2337</v>
      </c>
      <c r="Q301" s="2" t="s">
        <v>49</v>
      </c>
      <c r="R301" s="2" t="s">
        <v>2338</v>
      </c>
      <c r="S301" s="2" t="s">
        <v>2339</v>
      </c>
      <c r="T301" s="2" t="s">
        <v>2340</v>
      </c>
      <c r="U301" s="2" t="s">
        <v>2341</v>
      </c>
      <c r="V301" s="2" t="s">
        <v>660</v>
      </c>
    </row>
    <row r="302" spans="1:22">
      <c r="A302" s="2" t="s">
        <v>2342</v>
      </c>
      <c r="B302" s="2" t="s">
        <v>2343</v>
      </c>
      <c r="C302" s="2" t="s">
        <v>2344</v>
      </c>
      <c r="D302" s="2">
        <v>2024</v>
      </c>
      <c r="E302" s="3">
        <v>45444</v>
      </c>
      <c r="F302" s="2" t="s">
        <v>651</v>
      </c>
      <c r="G302" s="2">
        <v>13</v>
      </c>
      <c r="H302" s="2">
        <v>12</v>
      </c>
      <c r="I302" s="2" t="s">
        <v>43</v>
      </c>
      <c r="J302" s="2" t="s">
        <v>652</v>
      </c>
      <c r="K302" s="2" t="s">
        <v>61</v>
      </c>
      <c r="L302" s="2" t="s">
        <v>29</v>
      </c>
      <c r="M302" s="2" t="s">
        <v>653</v>
      </c>
      <c r="N302" s="2" t="s">
        <v>476</v>
      </c>
      <c r="O302" s="2" t="s">
        <v>654</v>
      </c>
      <c r="P302" s="2" t="s">
        <v>2345</v>
      </c>
      <c r="Q302" s="2" t="s">
        <v>33</v>
      </c>
      <c r="R302" s="2" t="s">
        <v>2346</v>
      </c>
      <c r="S302" s="2" t="s">
        <v>2347</v>
      </c>
      <c r="T302" s="2" t="s">
        <v>2348</v>
      </c>
      <c r="U302" s="2" t="s">
        <v>2349</v>
      </c>
      <c r="V302" s="2" t="s">
        <v>621</v>
      </c>
    </row>
    <row r="303" spans="1:22" ht="28.8">
      <c r="A303" s="2" t="s">
        <v>385</v>
      </c>
      <c r="B303" s="2" t="s">
        <v>2350</v>
      </c>
      <c r="C303" s="2" t="s">
        <v>2351</v>
      </c>
      <c r="D303" s="2">
        <v>2025</v>
      </c>
      <c r="E303" s="3">
        <v>45658</v>
      </c>
      <c r="F303" s="2" t="s">
        <v>889</v>
      </c>
      <c r="G303" s="2">
        <v>14</v>
      </c>
      <c r="H303" s="2">
        <v>1</v>
      </c>
      <c r="I303" s="2" t="s">
        <v>43</v>
      </c>
      <c r="J303" s="2" t="s">
        <v>890</v>
      </c>
      <c r="K303" s="2" t="s">
        <v>61</v>
      </c>
      <c r="L303" s="2" t="s">
        <v>29</v>
      </c>
      <c r="M303" s="2" t="s">
        <v>1093</v>
      </c>
      <c r="N303" s="2" t="s">
        <v>171</v>
      </c>
      <c r="O303" s="4">
        <v>1706</v>
      </c>
      <c r="P303" s="2" t="s">
        <v>2352</v>
      </c>
      <c r="Q303" s="2" t="s">
        <v>33</v>
      </c>
      <c r="R303" s="2" t="s">
        <v>2353</v>
      </c>
      <c r="S303" s="2" t="s">
        <v>2354</v>
      </c>
      <c r="T303" s="2" t="s">
        <v>2355</v>
      </c>
      <c r="U303" s="2" t="s">
        <v>2356</v>
      </c>
      <c r="V303" s="2" t="s">
        <v>2357</v>
      </c>
    </row>
    <row r="304" spans="1:22" ht="28.8">
      <c r="A304" s="2" t="s">
        <v>2358</v>
      </c>
      <c r="B304" s="2" t="s">
        <v>2359</v>
      </c>
      <c r="C304" s="2" t="s">
        <v>2360</v>
      </c>
      <c r="D304" s="2">
        <v>2025</v>
      </c>
      <c r="E304" s="3">
        <v>45658</v>
      </c>
      <c r="F304" s="2" t="s">
        <v>2361</v>
      </c>
      <c r="G304" s="2" t="s">
        <v>43</v>
      </c>
      <c r="H304" s="2" t="s">
        <v>43</v>
      </c>
      <c r="I304" s="2" t="s">
        <v>43</v>
      </c>
      <c r="J304" s="2" t="s">
        <v>2362</v>
      </c>
      <c r="K304" s="2" t="s">
        <v>119</v>
      </c>
      <c r="L304" s="2" t="s">
        <v>29</v>
      </c>
      <c r="M304" s="2" t="s">
        <v>1114</v>
      </c>
      <c r="N304" s="2" t="s">
        <v>105</v>
      </c>
      <c r="O304" s="4">
        <v>1998</v>
      </c>
      <c r="P304" s="2" t="s">
        <v>2363</v>
      </c>
      <c r="Q304" s="2" t="s">
        <v>33</v>
      </c>
      <c r="R304" s="2" t="s">
        <v>2364</v>
      </c>
      <c r="S304" s="2" t="s">
        <v>2365</v>
      </c>
      <c r="T304" s="2" t="s">
        <v>2366</v>
      </c>
      <c r="U304" s="2" t="s">
        <v>2367</v>
      </c>
      <c r="V304" s="2" t="s">
        <v>2368</v>
      </c>
    </row>
    <row r="305" spans="1:22">
      <c r="A305" s="2" t="s">
        <v>897</v>
      </c>
      <c r="B305" s="2" t="s">
        <v>2369</v>
      </c>
      <c r="C305" s="2" t="s">
        <v>2370</v>
      </c>
      <c r="D305" s="2">
        <v>2024</v>
      </c>
      <c r="E305" s="3">
        <v>45323</v>
      </c>
      <c r="F305" s="2" t="s">
        <v>2371</v>
      </c>
      <c r="G305" s="2">
        <v>53</v>
      </c>
      <c r="H305" s="2">
        <v>1</v>
      </c>
      <c r="I305" s="2" t="s">
        <v>43</v>
      </c>
      <c r="J305" s="2" t="s">
        <v>2372</v>
      </c>
      <c r="K305" s="2" t="s">
        <v>1624</v>
      </c>
      <c r="L305" s="2" t="s">
        <v>29</v>
      </c>
      <c r="M305" s="2" t="s">
        <v>195</v>
      </c>
      <c r="N305" s="2" t="s">
        <v>75</v>
      </c>
      <c r="O305" s="2" t="s">
        <v>2373</v>
      </c>
      <c r="P305" s="2" t="s">
        <v>2374</v>
      </c>
      <c r="Q305" s="2" t="s">
        <v>33</v>
      </c>
      <c r="R305" s="2" t="s">
        <v>2375</v>
      </c>
      <c r="S305" s="2" t="s">
        <v>908</v>
      </c>
      <c r="T305" s="2" t="s">
        <v>1466</v>
      </c>
      <c r="U305" s="2" t="s">
        <v>1467</v>
      </c>
      <c r="V305" s="2" t="s">
        <v>911</v>
      </c>
    </row>
    <row r="306" spans="1:22">
      <c r="A306" s="2" t="s">
        <v>897</v>
      </c>
      <c r="B306" s="2" t="s">
        <v>2376</v>
      </c>
      <c r="C306" s="2" t="s">
        <v>2377</v>
      </c>
      <c r="D306" s="2">
        <v>2024</v>
      </c>
      <c r="E306" s="3">
        <v>45413</v>
      </c>
      <c r="F306" s="2" t="s">
        <v>2378</v>
      </c>
      <c r="G306" s="2">
        <v>8</v>
      </c>
      <c r="H306" s="2">
        <v>1</v>
      </c>
      <c r="I306" s="2" t="s">
        <v>2379</v>
      </c>
      <c r="J306" s="2" t="s">
        <v>2380</v>
      </c>
      <c r="K306" s="2" t="s">
        <v>1624</v>
      </c>
      <c r="L306" s="2" t="s">
        <v>29</v>
      </c>
      <c r="M306" s="2" t="s">
        <v>2381</v>
      </c>
      <c r="N306" s="2" t="s">
        <v>63</v>
      </c>
      <c r="O306" s="2" t="s">
        <v>2382</v>
      </c>
      <c r="P306" s="2" t="s">
        <v>2383</v>
      </c>
      <c r="Q306" s="2" t="s">
        <v>49</v>
      </c>
      <c r="R306" s="2" t="s">
        <v>2384</v>
      </c>
      <c r="S306" s="2" t="s">
        <v>2385</v>
      </c>
      <c r="T306" s="2" t="s">
        <v>2386</v>
      </c>
      <c r="U306" s="2" t="s">
        <v>2387</v>
      </c>
      <c r="V306" s="2" t="s">
        <v>2388</v>
      </c>
    </row>
    <row r="307" spans="1:22">
      <c r="A307" s="2" t="s">
        <v>2389</v>
      </c>
      <c r="B307" s="2" t="s">
        <v>2390</v>
      </c>
      <c r="C307" s="2" t="s">
        <v>2391</v>
      </c>
      <c r="D307" s="2">
        <v>2024</v>
      </c>
      <c r="E307" s="3">
        <v>45292</v>
      </c>
      <c r="F307" s="2" t="s">
        <v>2392</v>
      </c>
      <c r="G307" s="2">
        <v>35</v>
      </c>
      <c r="H307" s="2">
        <v>1</v>
      </c>
      <c r="I307" s="2" t="s">
        <v>2393</v>
      </c>
      <c r="J307" s="2" t="s">
        <v>2394</v>
      </c>
      <c r="K307" s="2" t="s">
        <v>392</v>
      </c>
      <c r="L307" s="2" t="s">
        <v>773</v>
      </c>
      <c r="M307" s="2" t="s">
        <v>47</v>
      </c>
      <c r="N307" s="2" t="s">
        <v>2395</v>
      </c>
      <c r="O307" s="2" t="s">
        <v>2396</v>
      </c>
      <c r="P307" s="2" t="s">
        <v>2397</v>
      </c>
      <c r="Q307" s="2" t="s">
        <v>33</v>
      </c>
      <c r="R307" s="2" t="s">
        <v>2398</v>
      </c>
      <c r="S307" s="2" t="s">
        <v>2399</v>
      </c>
      <c r="T307" s="2" t="s">
        <v>2400</v>
      </c>
      <c r="U307" s="2" t="s">
        <v>2401</v>
      </c>
      <c r="V307" s="2" t="s">
        <v>80</v>
      </c>
    </row>
    <row r="308" spans="1:22">
      <c r="A308" s="2" t="s">
        <v>1344</v>
      </c>
      <c r="B308" s="2" t="s">
        <v>2390</v>
      </c>
      <c r="C308" s="2" t="s">
        <v>2391</v>
      </c>
      <c r="D308" s="2">
        <v>2024</v>
      </c>
      <c r="E308" s="3">
        <v>45292</v>
      </c>
      <c r="F308" s="2" t="s">
        <v>2392</v>
      </c>
      <c r="G308" s="2">
        <v>35</v>
      </c>
      <c r="H308" s="2">
        <v>1</v>
      </c>
      <c r="I308" s="2" t="s">
        <v>2393</v>
      </c>
      <c r="J308" s="2" t="s">
        <v>2394</v>
      </c>
      <c r="K308" s="2" t="s">
        <v>392</v>
      </c>
      <c r="L308" s="2" t="s">
        <v>773</v>
      </c>
      <c r="M308" s="2" t="s">
        <v>47</v>
      </c>
      <c r="N308" s="2" t="s">
        <v>2395</v>
      </c>
      <c r="O308" s="2" t="s">
        <v>2396</v>
      </c>
      <c r="P308" s="2" t="s">
        <v>2397</v>
      </c>
      <c r="Q308" s="2" t="s">
        <v>33</v>
      </c>
      <c r="R308" s="2" t="s">
        <v>2398</v>
      </c>
      <c r="S308" s="2" t="s">
        <v>2399</v>
      </c>
      <c r="T308" s="2" t="s">
        <v>2400</v>
      </c>
      <c r="U308" s="2" t="s">
        <v>2401</v>
      </c>
      <c r="V308" s="2" t="s">
        <v>80</v>
      </c>
    </row>
    <row r="309" spans="1:22">
      <c r="A309" s="2" t="s">
        <v>2402</v>
      </c>
      <c r="B309" s="2" t="s">
        <v>2403</v>
      </c>
      <c r="C309" s="2" t="s">
        <v>2404</v>
      </c>
      <c r="D309" s="2">
        <v>2024</v>
      </c>
      <c r="E309" s="3">
        <v>45413</v>
      </c>
      <c r="F309" s="2" t="s">
        <v>2405</v>
      </c>
      <c r="G309" s="2">
        <v>54</v>
      </c>
      <c r="H309" s="2" t="s">
        <v>43</v>
      </c>
      <c r="I309" s="2" t="s">
        <v>43</v>
      </c>
      <c r="J309" s="2" t="s">
        <v>2406</v>
      </c>
      <c r="K309" s="2" t="s">
        <v>734</v>
      </c>
      <c r="L309" s="2" t="s">
        <v>29</v>
      </c>
      <c r="M309" s="2" t="s">
        <v>1919</v>
      </c>
      <c r="N309" s="2" t="s">
        <v>2407</v>
      </c>
      <c r="O309" s="2" t="s">
        <v>2408</v>
      </c>
      <c r="P309" s="2" t="s">
        <v>2409</v>
      </c>
      <c r="Q309" s="2" t="s">
        <v>33</v>
      </c>
      <c r="R309" s="2" t="s">
        <v>2410</v>
      </c>
      <c r="S309" s="2" t="s">
        <v>2411</v>
      </c>
      <c r="T309" s="2" t="s">
        <v>2412</v>
      </c>
      <c r="U309" s="2" t="s">
        <v>2413</v>
      </c>
      <c r="V309" s="2" t="s">
        <v>80</v>
      </c>
    </row>
    <row r="310" spans="1:22">
      <c r="A310" s="2" t="s">
        <v>2414</v>
      </c>
      <c r="B310" s="2" t="s">
        <v>2403</v>
      </c>
      <c r="C310" s="2" t="s">
        <v>2404</v>
      </c>
      <c r="D310" s="2">
        <v>2024</v>
      </c>
      <c r="E310" s="3">
        <v>45413</v>
      </c>
      <c r="F310" s="2" t="s">
        <v>2405</v>
      </c>
      <c r="G310" s="2">
        <v>54</v>
      </c>
      <c r="H310" s="2" t="s">
        <v>43</v>
      </c>
      <c r="I310" s="2" t="s">
        <v>43</v>
      </c>
      <c r="J310" s="2" t="s">
        <v>2406</v>
      </c>
      <c r="K310" s="2" t="s">
        <v>734</v>
      </c>
      <c r="L310" s="2" t="s">
        <v>29</v>
      </c>
      <c r="M310" s="2" t="s">
        <v>1919</v>
      </c>
      <c r="N310" s="2" t="s">
        <v>2407</v>
      </c>
      <c r="O310" s="2" t="s">
        <v>2408</v>
      </c>
      <c r="P310" s="2" t="s">
        <v>2409</v>
      </c>
      <c r="Q310" s="2" t="s">
        <v>33</v>
      </c>
      <c r="R310" s="2" t="s">
        <v>2410</v>
      </c>
      <c r="S310" s="2" t="s">
        <v>2411</v>
      </c>
      <c r="T310" s="2" t="s">
        <v>2412</v>
      </c>
      <c r="U310" s="2" t="s">
        <v>2413</v>
      </c>
      <c r="V310" s="2" t="s">
        <v>80</v>
      </c>
    </row>
    <row r="311" spans="1:22">
      <c r="A311" s="2" t="s">
        <v>2415</v>
      </c>
      <c r="B311" s="2" t="s">
        <v>2403</v>
      </c>
      <c r="C311" s="2" t="s">
        <v>2404</v>
      </c>
      <c r="D311" s="2">
        <v>2024</v>
      </c>
      <c r="E311" s="3">
        <v>45413</v>
      </c>
      <c r="F311" s="2" t="s">
        <v>2405</v>
      </c>
      <c r="G311" s="2">
        <v>54</v>
      </c>
      <c r="H311" s="2" t="s">
        <v>43</v>
      </c>
      <c r="I311" s="2" t="s">
        <v>43</v>
      </c>
      <c r="J311" s="2" t="s">
        <v>2406</v>
      </c>
      <c r="K311" s="2" t="s">
        <v>734</v>
      </c>
      <c r="L311" s="2" t="s">
        <v>29</v>
      </c>
      <c r="M311" s="2" t="s">
        <v>1919</v>
      </c>
      <c r="N311" s="2" t="s">
        <v>2407</v>
      </c>
      <c r="O311" s="2" t="s">
        <v>2408</v>
      </c>
      <c r="P311" s="2" t="s">
        <v>2409</v>
      </c>
      <c r="Q311" s="2" t="s">
        <v>33</v>
      </c>
      <c r="R311" s="2" t="s">
        <v>2410</v>
      </c>
      <c r="S311" s="2" t="s">
        <v>2411</v>
      </c>
      <c r="T311" s="2" t="s">
        <v>2412</v>
      </c>
      <c r="U311" s="2" t="s">
        <v>2413</v>
      </c>
      <c r="V311" s="2" t="s">
        <v>80</v>
      </c>
    </row>
    <row r="312" spans="1:22">
      <c r="A312" s="2" t="s">
        <v>2416</v>
      </c>
      <c r="B312" s="2" t="s">
        <v>2417</v>
      </c>
      <c r="C312" s="2" t="s">
        <v>2418</v>
      </c>
      <c r="D312" s="2">
        <v>2024</v>
      </c>
      <c r="E312" s="3">
        <v>45292</v>
      </c>
      <c r="F312" s="2" t="s">
        <v>2419</v>
      </c>
      <c r="G312" s="2">
        <v>8</v>
      </c>
      <c r="H312" s="2">
        <v>1</v>
      </c>
      <c r="I312" s="2" t="s">
        <v>2420</v>
      </c>
      <c r="J312" s="2" t="s">
        <v>2421</v>
      </c>
      <c r="K312" s="2" t="s">
        <v>2422</v>
      </c>
      <c r="L312" s="2" t="s">
        <v>1867</v>
      </c>
      <c r="M312" s="2" t="s">
        <v>2423</v>
      </c>
      <c r="N312" s="2" t="s">
        <v>2424</v>
      </c>
      <c r="O312" s="2" t="s">
        <v>1949</v>
      </c>
      <c r="P312" s="2" t="s">
        <v>2425</v>
      </c>
      <c r="Q312" s="2" t="s">
        <v>33</v>
      </c>
      <c r="R312" s="2" t="s">
        <v>2426</v>
      </c>
      <c r="S312" s="2" t="s">
        <v>79</v>
      </c>
      <c r="T312" s="5">
        <v>601053680000000</v>
      </c>
      <c r="U312" s="2" t="s">
        <v>79</v>
      </c>
      <c r="V312" s="2" t="s">
        <v>80</v>
      </c>
    </row>
    <row r="313" spans="1:22">
      <c r="A313" s="2" t="s">
        <v>2427</v>
      </c>
      <c r="B313" s="2" t="s">
        <v>2428</v>
      </c>
      <c r="C313" s="2" t="s">
        <v>2429</v>
      </c>
      <c r="D313" s="2">
        <v>2025</v>
      </c>
      <c r="E313" s="3">
        <v>45717</v>
      </c>
      <c r="F313" s="2" t="s">
        <v>1676</v>
      </c>
      <c r="G313" s="2">
        <v>35</v>
      </c>
      <c r="H313" s="2">
        <v>3</v>
      </c>
      <c r="I313" s="2" t="s">
        <v>2430</v>
      </c>
      <c r="J313" s="2" t="s">
        <v>1678</v>
      </c>
      <c r="K313" s="2" t="s">
        <v>1624</v>
      </c>
      <c r="L313" s="2" t="s">
        <v>29</v>
      </c>
      <c r="M313" s="2" t="s">
        <v>144</v>
      </c>
      <c r="N313" s="2" t="s">
        <v>76</v>
      </c>
      <c r="O313" s="4">
        <v>1058</v>
      </c>
      <c r="P313" s="2" t="s">
        <v>2431</v>
      </c>
      <c r="Q313" s="2" t="s">
        <v>33</v>
      </c>
      <c r="R313" s="2" t="s">
        <v>2432</v>
      </c>
      <c r="S313" s="2" t="s">
        <v>2433</v>
      </c>
      <c r="T313" s="2" t="s">
        <v>2434</v>
      </c>
      <c r="U313" s="2" t="s">
        <v>2435</v>
      </c>
      <c r="V313" s="2" t="s">
        <v>80</v>
      </c>
    </row>
    <row r="314" spans="1:22">
      <c r="A314" s="2" t="s">
        <v>22</v>
      </c>
      <c r="B314" s="2" t="s">
        <v>2436</v>
      </c>
      <c r="C314" s="2" t="s">
        <v>2437</v>
      </c>
      <c r="D314" s="2">
        <v>2025</v>
      </c>
      <c r="E314" s="3">
        <v>45748</v>
      </c>
      <c r="F314" s="2" t="s">
        <v>357</v>
      </c>
      <c r="G314" s="2">
        <v>20</v>
      </c>
      <c r="H314" s="2">
        <v>4</v>
      </c>
      <c r="I314" s="2" t="s">
        <v>2438</v>
      </c>
      <c r="J314" s="2" t="s">
        <v>359</v>
      </c>
      <c r="K314" s="2" t="s">
        <v>360</v>
      </c>
      <c r="L314" s="2" t="s">
        <v>29</v>
      </c>
      <c r="M314" s="2" t="s">
        <v>361</v>
      </c>
      <c r="N314" s="2" t="s">
        <v>121</v>
      </c>
      <c r="O314" s="4">
        <v>1833</v>
      </c>
      <c r="P314" s="2" t="s">
        <v>2439</v>
      </c>
      <c r="Q314" s="2" t="s">
        <v>33</v>
      </c>
      <c r="R314" s="2" t="s">
        <v>2440</v>
      </c>
      <c r="S314" s="2" t="s">
        <v>2441</v>
      </c>
      <c r="T314" s="2" t="s">
        <v>2442</v>
      </c>
      <c r="U314" s="2" t="s">
        <v>2443</v>
      </c>
      <c r="V314" s="2" t="s">
        <v>2444</v>
      </c>
    </row>
    <row r="315" spans="1:22">
      <c r="A315" s="2" t="s">
        <v>2445</v>
      </c>
      <c r="B315" s="2" t="s">
        <v>2446</v>
      </c>
      <c r="C315" s="2" t="s">
        <v>2447</v>
      </c>
      <c r="D315" s="2">
        <v>2025</v>
      </c>
      <c r="E315" s="3">
        <v>45769</v>
      </c>
      <c r="F315" s="2" t="s">
        <v>2448</v>
      </c>
      <c r="G315" s="2">
        <v>23</v>
      </c>
      <c r="H315" s="2" t="s">
        <v>43</v>
      </c>
      <c r="I315" s="2" t="s">
        <v>43</v>
      </c>
      <c r="J315" s="2" t="s">
        <v>2449</v>
      </c>
      <c r="K315" s="2" t="s">
        <v>613</v>
      </c>
      <c r="L315" s="2" t="s">
        <v>29</v>
      </c>
      <c r="M315" s="2" t="s">
        <v>1362</v>
      </c>
      <c r="N315" s="2" t="s">
        <v>145</v>
      </c>
      <c r="O315" s="2" t="s">
        <v>2450</v>
      </c>
      <c r="P315" s="2" t="s">
        <v>2451</v>
      </c>
      <c r="Q315" s="2" t="s">
        <v>33</v>
      </c>
      <c r="R315" s="2" t="s">
        <v>2452</v>
      </c>
      <c r="S315" s="2" t="s">
        <v>511</v>
      </c>
      <c r="T315" s="2" t="s">
        <v>2453</v>
      </c>
      <c r="U315" s="2" t="s">
        <v>2454</v>
      </c>
      <c r="V315" s="2" t="s">
        <v>80</v>
      </c>
    </row>
    <row r="316" spans="1:22">
      <c r="A316" s="2" t="s">
        <v>2455</v>
      </c>
      <c r="B316" s="2" t="s">
        <v>2456</v>
      </c>
      <c r="C316" s="2" t="s">
        <v>2457</v>
      </c>
      <c r="D316" s="2">
        <v>2024</v>
      </c>
      <c r="E316" s="3">
        <v>45641</v>
      </c>
      <c r="F316" s="2" t="s">
        <v>2458</v>
      </c>
      <c r="G316" s="2">
        <v>695</v>
      </c>
      <c r="H316" s="2" t="s">
        <v>43</v>
      </c>
      <c r="I316" s="2" t="s">
        <v>43</v>
      </c>
      <c r="J316" s="2" t="s">
        <v>2459</v>
      </c>
      <c r="K316" s="2" t="s">
        <v>103</v>
      </c>
      <c r="L316" s="2" t="s">
        <v>29</v>
      </c>
      <c r="M316" s="2" t="s">
        <v>464</v>
      </c>
      <c r="N316" s="2" t="s">
        <v>2460</v>
      </c>
      <c r="O316" s="2" t="s">
        <v>2461</v>
      </c>
      <c r="P316" s="2" t="s">
        <v>2462</v>
      </c>
      <c r="Q316" s="2" t="s">
        <v>33</v>
      </c>
      <c r="R316" s="2" t="s">
        <v>2463</v>
      </c>
      <c r="S316" s="2" t="s">
        <v>2464</v>
      </c>
      <c r="T316" s="2" t="s">
        <v>2465</v>
      </c>
      <c r="U316" s="2" t="s">
        <v>2466</v>
      </c>
      <c r="V316" s="2" t="s">
        <v>80</v>
      </c>
    </row>
    <row r="317" spans="1:22">
      <c r="A317" s="2" t="s">
        <v>2467</v>
      </c>
      <c r="B317" s="2" t="s">
        <v>2468</v>
      </c>
      <c r="C317" s="2" t="s">
        <v>2469</v>
      </c>
      <c r="D317" s="2">
        <v>2024</v>
      </c>
      <c r="E317" s="3">
        <v>45566</v>
      </c>
      <c r="F317" s="2" t="s">
        <v>2470</v>
      </c>
      <c r="G317" s="2">
        <v>19</v>
      </c>
      <c r="H317" s="2">
        <v>10</v>
      </c>
      <c r="I317" s="2" t="s">
        <v>43</v>
      </c>
      <c r="J317" s="2" t="s">
        <v>2471</v>
      </c>
      <c r="K317" s="2" t="s">
        <v>2472</v>
      </c>
      <c r="L317" s="2" t="s">
        <v>29</v>
      </c>
      <c r="M317" s="2" t="s">
        <v>2119</v>
      </c>
      <c r="N317" s="2" t="s">
        <v>476</v>
      </c>
      <c r="O317" s="2" t="s">
        <v>2473</v>
      </c>
      <c r="P317" s="2" t="s">
        <v>2474</v>
      </c>
      <c r="Q317" s="2" t="s">
        <v>33</v>
      </c>
      <c r="R317" s="2" t="s">
        <v>2475</v>
      </c>
      <c r="S317" s="2" t="s">
        <v>79</v>
      </c>
      <c r="T317" s="2" t="s">
        <v>2476</v>
      </c>
      <c r="U317" s="2" t="s">
        <v>2477</v>
      </c>
      <c r="V317" s="2" t="s">
        <v>594</v>
      </c>
    </row>
    <row r="318" spans="1:22">
      <c r="A318" s="2" t="s">
        <v>2478</v>
      </c>
      <c r="B318" s="2" t="s">
        <v>2479</v>
      </c>
      <c r="C318" s="2" t="s">
        <v>2480</v>
      </c>
      <c r="D318" s="2">
        <v>2024</v>
      </c>
      <c r="E318" s="3">
        <v>45474</v>
      </c>
      <c r="F318" s="2" t="s">
        <v>2481</v>
      </c>
      <c r="G318" s="2">
        <v>8</v>
      </c>
      <c r="H318" s="2">
        <v>3</v>
      </c>
      <c r="I318" s="2" t="s">
        <v>2482</v>
      </c>
      <c r="J318" s="2" t="s">
        <v>2483</v>
      </c>
      <c r="K318" s="2" t="s">
        <v>103</v>
      </c>
      <c r="L318" s="2" t="s">
        <v>29</v>
      </c>
      <c r="M318" s="2" t="s">
        <v>1948</v>
      </c>
      <c r="N318" s="2" t="s">
        <v>2484</v>
      </c>
      <c r="O318" s="2" t="s">
        <v>2485</v>
      </c>
      <c r="P318" s="2" t="s">
        <v>2486</v>
      </c>
      <c r="Q318" s="2" t="s">
        <v>33</v>
      </c>
      <c r="R318" s="2" t="s">
        <v>2487</v>
      </c>
      <c r="S318" s="2" t="s">
        <v>79</v>
      </c>
      <c r="T318" s="2" t="s">
        <v>2488</v>
      </c>
      <c r="U318" s="2" t="s">
        <v>2489</v>
      </c>
      <c r="V318" s="2" t="s">
        <v>80</v>
      </c>
    </row>
    <row r="319" spans="1:22" ht="28.8">
      <c r="A319" s="2" t="s">
        <v>113</v>
      </c>
      <c r="B319" s="2" t="s">
        <v>2490</v>
      </c>
      <c r="C319" s="2" t="s">
        <v>2491</v>
      </c>
      <c r="D319" s="2">
        <v>2025</v>
      </c>
      <c r="E319" s="3">
        <v>45901</v>
      </c>
      <c r="F319" s="2" t="s">
        <v>1411</v>
      </c>
      <c r="G319" s="2">
        <v>160</v>
      </c>
      <c r="H319" s="2" t="s">
        <v>43</v>
      </c>
      <c r="I319" s="2" t="s">
        <v>43</v>
      </c>
      <c r="J319" s="2" t="s">
        <v>1412</v>
      </c>
      <c r="K319" s="2" t="s">
        <v>45</v>
      </c>
      <c r="L319" s="2" t="s">
        <v>29</v>
      </c>
      <c r="M319" s="2" t="s">
        <v>2492</v>
      </c>
      <c r="N319" s="2" t="s">
        <v>121</v>
      </c>
      <c r="O319" s="4">
        <v>1545</v>
      </c>
      <c r="P319" s="2" t="s">
        <v>2493</v>
      </c>
      <c r="Q319" s="2" t="s">
        <v>33</v>
      </c>
      <c r="R319" s="2" t="s">
        <v>2494</v>
      </c>
      <c r="S319" s="2" t="s">
        <v>2495</v>
      </c>
      <c r="T319" s="2" t="s">
        <v>2496</v>
      </c>
      <c r="U319" s="2" t="s">
        <v>2497</v>
      </c>
      <c r="V319" s="2" t="s">
        <v>2498</v>
      </c>
    </row>
    <row r="320" spans="1:22">
      <c r="A320" s="2" t="s">
        <v>39</v>
      </c>
      <c r="B320" s="2" t="s">
        <v>2499</v>
      </c>
      <c r="C320" s="2" t="s">
        <v>2500</v>
      </c>
      <c r="D320" s="2">
        <v>2024</v>
      </c>
      <c r="E320" s="3">
        <v>45536</v>
      </c>
      <c r="F320" s="2" t="s">
        <v>2392</v>
      </c>
      <c r="G320" s="2">
        <v>35</v>
      </c>
      <c r="H320" s="6">
        <v>46178</v>
      </c>
      <c r="I320" s="2" t="s">
        <v>2501</v>
      </c>
      <c r="J320" s="2" t="s">
        <v>2394</v>
      </c>
      <c r="K320" s="2" t="s">
        <v>392</v>
      </c>
      <c r="L320" s="2" t="s">
        <v>773</v>
      </c>
      <c r="M320" s="2" t="s">
        <v>47</v>
      </c>
      <c r="N320" s="2" t="s">
        <v>2395</v>
      </c>
      <c r="O320" s="2" t="s">
        <v>2396</v>
      </c>
      <c r="P320" s="2" t="s">
        <v>2502</v>
      </c>
      <c r="Q320" s="2" t="s">
        <v>33</v>
      </c>
      <c r="R320" s="2" t="s">
        <v>2503</v>
      </c>
      <c r="S320" s="2" t="s">
        <v>1504</v>
      </c>
      <c r="T320" s="2" t="s">
        <v>2504</v>
      </c>
      <c r="U320" s="2" t="s">
        <v>2505</v>
      </c>
      <c r="V320" s="2" t="s">
        <v>2506</v>
      </c>
    </row>
    <row r="321" spans="1:22">
      <c r="A321" s="2" t="s">
        <v>897</v>
      </c>
      <c r="B321" s="2" t="s">
        <v>2507</v>
      </c>
      <c r="C321" s="2" t="s">
        <v>2508</v>
      </c>
      <c r="D321" s="2">
        <v>2024</v>
      </c>
      <c r="E321" s="3">
        <v>45597</v>
      </c>
      <c r="F321" s="2" t="s">
        <v>2509</v>
      </c>
      <c r="G321" s="2">
        <v>43</v>
      </c>
      <c r="H321" s="2">
        <v>43</v>
      </c>
      <c r="I321" s="2" t="s">
        <v>2510</v>
      </c>
      <c r="J321" s="2" t="s">
        <v>2511</v>
      </c>
      <c r="K321" s="2" t="s">
        <v>1624</v>
      </c>
      <c r="L321" s="2" t="s">
        <v>29</v>
      </c>
      <c r="M321" s="2" t="s">
        <v>653</v>
      </c>
      <c r="N321" s="2" t="s">
        <v>1520</v>
      </c>
      <c r="O321" s="4">
        <v>1024</v>
      </c>
      <c r="P321" s="2" t="s">
        <v>2512</v>
      </c>
      <c r="Q321" s="2" t="s">
        <v>33</v>
      </c>
      <c r="R321" s="2" t="s">
        <v>2513</v>
      </c>
      <c r="S321" s="2" t="s">
        <v>908</v>
      </c>
      <c r="T321" s="2" t="s">
        <v>2514</v>
      </c>
      <c r="U321" s="2" t="s">
        <v>2515</v>
      </c>
      <c r="V321" s="2" t="s">
        <v>911</v>
      </c>
    </row>
    <row r="322" spans="1:22">
      <c r="A322" s="2" t="s">
        <v>622</v>
      </c>
      <c r="B322" s="2" t="s">
        <v>2516</v>
      </c>
      <c r="C322" s="2" t="s">
        <v>2517</v>
      </c>
      <c r="D322" s="2">
        <v>2024</v>
      </c>
      <c r="E322" s="3">
        <v>45292</v>
      </c>
      <c r="F322" s="2" t="s">
        <v>2518</v>
      </c>
      <c r="G322" s="2">
        <v>51</v>
      </c>
      <c r="H322" s="2" t="s">
        <v>43</v>
      </c>
      <c r="I322" s="2" t="s">
        <v>2519</v>
      </c>
      <c r="J322" s="2" t="s">
        <v>2520</v>
      </c>
      <c r="K322" s="2" t="s">
        <v>2521</v>
      </c>
      <c r="L322" s="2" t="s">
        <v>1867</v>
      </c>
      <c r="M322" s="2" t="s">
        <v>2522</v>
      </c>
      <c r="N322" s="2" t="s">
        <v>498</v>
      </c>
      <c r="O322" s="2" t="s">
        <v>2523</v>
      </c>
      <c r="P322" s="2" t="s">
        <v>2524</v>
      </c>
      <c r="Q322" s="2" t="s">
        <v>33</v>
      </c>
      <c r="R322" s="2" t="s">
        <v>2525</v>
      </c>
      <c r="S322" s="2" t="s">
        <v>2526</v>
      </c>
      <c r="T322" s="2" t="s">
        <v>2527</v>
      </c>
      <c r="U322" s="2" t="s">
        <v>2528</v>
      </c>
      <c r="V322" s="2" t="s">
        <v>275</v>
      </c>
    </row>
    <row r="323" spans="1:22" ht="28.8">
      <c r="A323" s="2" t="s">
        <v>276</v>
      </c>
      <c r="B323" s="2" t="s">
        <v>2529</v>
      </c>
      <c r="C323" s="2" t="s">
        <v>2530</v>
      </c>
      <c r="D323" s="2">
        <v>2025</v>
      </c>
      <c r="E323" s="3">
        <v>45901</v>
      </c>
      <c r="F323" s="2" t="s">
        <v>1819</v>
      </c>
      <c r="G323" s="2">
        <v>201</v>
      </c>
      <c r="H323" s="2" t="s">
        <v>43</v>
      </c>
      <c r="I323" s="2" t="s">
        <v>43</v>
      </c>
      <c r="J323" s="2" t="s">
        <v>1821</v>
      </c>
      <c r="K323" s="2" t="s">
        <v>734</v>
      </c>
      <c r="L323" s="2" t="s">
        <v>29</v>
      </c>
      <c r="M323" s="2" t="s">
        <v>195</v>
      </c>
      <c r="N323" s="2" t="s">
        <v>1520</v>
      </c>
      <c r="O323" s="2" t="s">
        <v>2531</v>
      </c>
      <c r="P323" s="2" t="s">
        <v>2532</v>
      </c>
      <c r="Q323" s="2" t="s">
        <v>49</v>
      </c>
      <c r="R323" s="2" t="s">
        <v>2533</v>
      </c>
      <c r="S323" s="2" t="s">
        <v>2534</v>
      </c>
      <c r="T323" s="2" t="s">
        <v>2535</v>
      </c>
      <c r="U323" s="2" t="s">
        <v>2536</v>
      </c>
      <c r="V323" s="2" t="s">
        <v>2537</v>
      </c>
    </row>
    <row r="324" spans="1:22">
      <c r="A324" s="2" t="s">
        <v>1024</v>
      </c>
      <c r="B324" s="2" t="s">
        <v>2538</v>
      </c>
      <c r="C324" s="2" t="s">
        <v>2539</v>
      </c>
      <c r="D324" s="2">
        <v>2025</v>
      </c>
      <c r="E324" s="3">
        <v>45962</v>
      </c>
      <c r="F324" s="2" t="s">
        <v>167</v>
      </c>
      <c r="G324" s="2">
        <v>17</v>
      </c>
      <c r="H324" s="2">
        <v>21</v>
      </c>
      <c r="I324" s="2" t="s">
        <v>43</v>
      </c>
      <c r="J324" s="2" t="s">
        <v>279</v>
      </c>
      <c r="K324" s="2" t="s">
        <v>61</v>
      </c>
      <c r="L324" s="2" t="s">
        <v>29</v>
      </c>
      <c r="M324" s="2" t="s">
        <v>1285</v>
      </c>
      <c r="N324" s="2" t="s">
        <v>247</v>
      </c>
      <c r="O324" s="4">
        <v>1499</v>
      </c>
      <c r="P324" s="2" t="s">
        <v>2540</v>
      </c>
      <c r="Q324" s="2" t="s">
        <v>33</v>
      </c>
      <c r="R324" s="2" t="s">
        <v>2541</v>
      </c>
      <c r="S324" s="2" t="s">
        <v>2542</v>
      </c>
      <c r="T324" s="2" t="s">
        <v>2543</v>
      </c>
      <c r="U324" s="2" t="s">
        <v>2544</v>
      </c>
      <c r="V324" s="2" t="s">
        <v>80</v>
      </c>
    </row>
    <row r="325" spans="1:22">
      <c r="A325" s="2" t="s">
        <v>1013</v>
      </c>
      <c r="B325" s="2" t="s">
        <v>2538</v>
      </c>
      <c r="C325" s="2" t="s">
        <v>2539</v>
      </c>
      <c r="D325" s="2">
        <v>2025</v>
      </c>
      <c r="E325" s="3">
        <v>45962</v>
      </c>
      <c r="F325" s="2" t="s">
        <v>167</v>
      </c>
      <c r="G325" s="2">
        <v>17</v>
      </c>
      <c r="H325" s="2">
        <v>21</v>
      </c>
      <c r="I325" s="2" t="s">
        <v>43</v>
      </c>
      <c r="J325" s="2" t="s">
        <v>279</v>
      </c>
      <c r="K325" s="2" t="s">
        <v>61</v>
      </c>
      <c r="L325" s="2" t="s">
        <v>29</v>
      </c>
      <c r="M325" s="2" t="s">
        <v>1285</v>
      </c>
      <c r="N325" s="2" t="s">
        <v>247</v>
      </c>
      <c r="O325" s="4">
        <v>1499</v>
      </c>
      <c r="P325" s="2" t="s">
        <v>2540</v>
      </c>
      <c r="Q325" s="2" t="s">
        <v>33</v>
      </c>
      <c r="R325" s="2" t="s">
        <v>2541</v>
      </c>
      <c r="S325" s="2" t="s">
        <v>2542</v>
      </c>
      <c r="T325" s="2" t="s">
        <v>2543</v>
      </c>
      <c r="U325" s="2" t="s">
        <v>2544</v>
      </c>
      <c r="V325" s="2" t="s">
        <v>80</v>
      </c>
    </row>
    <row r="326" spans="1:22" ht="28.8">
      <c r="A326" s="2" t="s">
        <v>276</v>
      </c>
      <c r="B326" s="2" t="s">
        <v>2545</v>
      </c>
      <c r="C326" s="2" t="s">
        <v>2546</v>
      </c>
      <c r="D326" s="2">
        <v>2025</v>
      </c>
      <c r="E326" s="3">
        <v>45901</v>
      </c>
      <c r="F326" s="2" t="s">
        <v>73</v>
      </c>
      <c r="G326" s="2">
        <v>26</v>
      </c>
      <c r="H326" s="2">
        <v>17</v>
      </c>
      <c r="I326" s="2" t="s">
        <v>43</v>
      </c>
      <c r="J326" s="2" t="s">
        <v>74</v>
      </c>
      <c r="K326" s="2" t="s">
        <v>61</v>
      </c>
      <c r="L326" s="2" t="s">
        <v>29</v>
      </c>
      <c r="M326" s="2" t="s">
        <v>76</v>
      </c>
      <c r="N326" s="2" t="s">
        <v>76</v>
      </c>
      <c r="O326" s="4">
        <v>1316</v>
      </c>
      <c r="P326" s="2" t="s">
        <v>2547</v>
      </c>
      <c r="Q326" s="2" t="s">
        <v>49</v>
      </c>
      <c r="R326" s="2" t="s">
        <v>2548</v>
      </c>
      <c r="S326" s="2" t="s">
        <v>2549</v>
      </c>
      <c r="T326" s="2" t="s">
        <v>2550</v>
      </c>
      <c r="U326" s="2" t="s">
        <v>2551</v>
      </c>
      <c r="V326" s="2" t="s">
        <v>2552</v>
      </c>
    </row>
    <row r="327" spans="1:22">
      <c r="A327" s="2" t="s">
        <v>2553</v>
      </c>
      <c r="B327" s="2" t="s">
        <v>2554</v>
      </c>
      <c r="C327" s="2" t="s">
        <v>2555</v>
      </c>
      <c r="D327" s="2">
        <v>2025</v>
      </c>
      <c r="E327" s="3">
        <v>45717</v>
      </c>
      <c r="F327" s="2" t="s">
        <v>2556</v>
      </c>
      <c r="G327" s="2">
        <v>22</v>
      </c>
      <c r="H327" s="2" t="s">
        <v>43</v>
      </c>
      <c r="I327" s="2" t="s">
        <v>43</v>
      </c>
      <c r="J327" s="2" t="s">
        <v>2557</v>
      </c>
      <c r="K327" s="2" t="s">
        <v>678</v>
      </c>
      <c r="L327" s="2" t="s">
        <v>29</v>
      </c>
      <c r="M327" s="2" t="s">
        <v>2558</v>
      </c>
      <c r="N327" s="2" t="s">
        <v>476</v>
      </c>
      <c r="O327" s="4">
        <v>1117</v>
      </c>
      <c r="P327" s="2" t="s">
        <v>2559</v>
      </c>
      <c r="Q327" s="2" t="s">
        <v>33</v>
      </c>
      <c r="R327" s="2" t="s">
        <v>2560</v>
      </c>
      <c r="S327" s="2" t="s">
        <v>1681</v>
      </c>
      <c r="T327" s="2" t="s">
        <v>2561</v>
      </c>
      <c r="U327" s="2" t="s">
        <v>2562</v>
      </c>
      <c r="V327" s="2" t="s">
        <v>80</v>
      </c>
    </row>
    <row r="328" spans="1:22">
      <c r="A328" s="2" t="s">
        <v>2563</v>
      </c>
      <c r="B328" s="2" t="s">
        <v>2554</v>
      </c>
      <c r="C328" s="2" t="s">
        <v>2555</v>
      </c>
      <c r="D328" s="2">
        <v>2025</v>
      </c>
      <c r="E328" s="3">
        <v>45717</v>
      </c>
      <c r="F328" s="2" t="s">
        <v>2556</v>
      </c>
      <c r="G328" s="2">
        <v>22</v>
      </c>
      <c r="H328" s="2" t="s">
        <v>43</v>
      </c>
      <c r="I328" s="2" t="s">
        <v>43</v>
      </c>
      <c r="J328" s="2" t="s">
        <v>2557</v>
      </c>
      <c r="K328" s="2" t="s">
        <v>678</v>
      </c>
      <c r="L328" s="2" t="s">
        <v>29</v>
      </c>
      <c r="M328" s="2" t="s">
        <v>2558</v>
      </c>
      <c r="N328" s="2" t="s">
        <v>476</v>
      </c>
      <c r="O328" s="4">
        <v>1117</v>
      </c>
      <c r="P328" s="2" t="s">
        <v>2559</v>
      </c>
      <c r="Q328" s="2" t="s">
        <v>33</v>
      </c>
      <c r="R328" s="2" t="s">
        <v>2560</v>
      </c>
      <c r="S328" s="2" t="s">
        <v>1681</v>
      </c>
      <c r="T328" s="2" t="s">
        <v>2561</v>
      </c>
      <c r="U328" s="2" t="s">
        <v>2562</v>
      </c>
      <c r="V328" s="2" t="s">
        <v>80</v>
      </c>
    </row>
    <row r="329" spans="1:22">
      <c r="A329" s="2" t="s">
        <v>1916</v>
      </c>
      <c r="B329" s="2" t="s">
        <v>2554</v>
      </c>
      <c r="C329" s="2" t="s">
        <v>2555</v>
      </c>
      <c r="D329" s="2">
        <v>2025</v>
      </c>
      <c r="E329" s="3">
        <v>45717</v>
      </c>
      <c r="F329" s="2" t="s">
        <v>2556</v>
      </c>
      <c r="G329" s="2">
        <v>22</v>
      </c>
      <c r="H329" s="2" t="s">
        <v>43</v>
      </c>
      <c r="I329" s="2" t="s">
        <v>43</v>
      </c>
      <c r="J329" s="2" t="s">
        <v>2557</v>
      </c>
      <c r="K329" s="2" t="s">
        <v>678</v>
      </c>
      <c r="L329" s="2" t="s">
        <v>29</v>
      </c>
      <c r="M329" s="2" t="s">
        <v>2558</v>
      </c>
      <c r="N329" s="2" t="s">
        <v>476</v>
      </c>
      <c r="O329" s="4">
        <v>1117</v>
      </c>
      <c r="P329" s="2" t="s">
        <v>2559</v>
      </c>
      <c r="Q329" s="2" t="s">
        <v>33</v>
      </c>
      <c r="R329" s="2" t="s">
        <v>2560</v>
      </c>
      <c r="S329" s="2" t="s">
        <v>1681</v>
      </c>
      <c r="T329" s="2" t="s">
        <v>2561</v>
      </c>
      <c r="U329" s="2" t="s">
        <v>2562</v>
      </c>
      <c r="V329" s="2" t="s">
        <v>80</v>
      </c>
    </row>
    <row r="330" spans="1:22">
      <c r="A330" s="2" t="s">
        <v>1344</v>
      </c>
      <c r="B330" s="2" t="s">
        <v>2554</v>
      </c>
      <c r="C330" s="2" t="s">
        <v>2555</v>
      </c>
      <c r="D330" s="2">
        <v>2025</v>
      </c>
      <c r="E330" s="3">
        <v>45717</v>
      </c>
      <c r="F330" s="2" t="s">
        <v>2556</v>
      </c>
      <c r="G330" s="2">
        <v>22</v>
      </c>
      <c r="H330" s="2" t="s">
        <v>43</v>
      </c>
      <c r="I330" s="2" t="s">
        <v>43</v>
      </c>
      <c r="J330" s="2" t="s">
        <v>2557</v>
      </c>
      <c r="K330" s="2" t="s">
        <v>678</v>
      </c>
      <c r="L330" s="2" t="s">
        <v>29</v>
      </c>
      <c r="M330" s="2" t="s">
        <v>2558</v>
      </c>
      <c r="N330" s="2" t="s">
        <v>476</v>
      </c>
      <c r="O330" s="4">
        <v>1117</v>
      </c>
      <c r="P330" s="2" t="s">
        <v>2559</v>
      </c>
      <c r="Q330" s="2" t="s">
        <v>33</v>
      </c>
      <c r="R330" s="2" t="s">
        <v>2560</v>
      </c>
      <c r="S330" s="2" t="s">
        <v>1681</v>
      </c>
      <c r="T330" s="2" t="s">
        <v>2561</v>
      </c>
      <c r="U330" s="2" t="s">
        <v>2562</v>
      </c>
      <c r="V330" s="2" t="s">
        <v>80</v>
      </c>
    </row>
    <row r="331" spans="1:22">
      <c r="A331" s="2" t="s">
        <v>2564</v>
      </c>
      <c r="B331" s="2" t="s">
        <v>2565</v>
      </c>
      <c r="C331" s="2" t="s">
        <v>2566</v>
      </c>
      <c r="D331" s="2">
        <v>2025</v>
      </c>
      <c r="E331" s="3">
        <v>45992</v>
      </c>
      <c r="F331" s="2" t="s">
        <v>2567</v>
      </c>
      <c r="G331" s="2">
        <v>23</v>
      </c>
      <c r="H331" s="2">
        <v>4</v>
      </c>
      <c r="I331" s="2" t="s">
        <v>2568</v>
      </c>
      <c r="J331" s="2" t="s">
        <v>2569</v>
      </c>
      <c r="K331" s="2" t="s">
        <v>1462</v>
      </c>
      <c r="L331" s="2" t="s">
        <v>29</v>
      </c>
      <c r="M331" s="2" t="s">
        <v>498</v>
      </c>
      <c r="N331" s="2" t="s">
        <v>105</v>
      </c>
      <c r="O331" s="4">
        <v>1004</v>
      </c>
      <c r="P331" s="2" t="s">
        <v>2570</v>
      </c>
      <c r="Q331" s="2" t="s">
        <v>33</v>
      </c>
      <c r="R331" s="2" t="s">
        <v>2571</v>
      </c>
      <c r="S331" s="2" t="s">
        <v>511</v>
      </c>
      <c r="T331" s="2" t="s">
        <v>885</v>
      </c>
      <c r="U331" s="2" t="s">
        <v>886</v>
      </c>
      <c r="V331" s="2" t="s">
        <v>80</v>
      </c>
    </row>
    <row r="332" spans="1:22">
      <c r="A332" s="2" t="s">
        <v>2572</v>
      </c>
      <c r="B332" s="2" t="s">
        <v>2573</v>
      </c>
      <c r="C332" s="2" t="s">
        <v>2574</v>
      </c>
      <c r="D332" s="2">
        <v>2024</v>
      </c>
      <c r="E332" s="3">
        <v>45292</v>
      </c>
      <c r="F332" s="2" t="s">
        <v>2575</v>
      </c>
      <c r="G332" s="2" t="s">
        <v>43</v>
      </c>
      <c r="H332" s="2" t="s">
        <v>43</v>
      </c>
      <c r="I332" s="2" t="s">
        <v>2576</v>
      </c>
      <c r="J332" s="2" t="s">
        <v>43</v>
      </c>
      <c r="K332" s="2" t="s">
        <v>2577</v>
      </c>
      <c r="L332" s="2" t="s">
        <v>29</v>
      </c>
      <c r="M332" s="2" t="s">
        <v>43</v>
      </c>
      <c r="N332" s="2" t="s">
        <v>43</v>
      </c>
      <c r="O332" s="2" t="s">
        <v>43</v>
      </c>
      <c r="P332" s="2" t="s">
        <v>2578</v>
      </c>
      <c r="Q332" s="2" t="s">
        <v>1125</v>
      </c>
      <c r="R332" s="2" t="s">
        <v>2579</v>
      </c>
      <c r="S332" s="2" t="s">
        <v>79</v>
      </c>
      <c r="T332" s="5">
        <v>601053680000000</v>
      </c>
      <c r="U332" s="2" t="s">
        <v>79</v>
      </c>
      <c r="V332" s="2" t="s">
        <v>80</v>
      </c>
    </row>
    <row r="333" spans="1:22" ht="28.8">
      <c r="A333" s="2" t="s">
        <v>2580</v>
      </c>
      <c r="B333" s="2" t="s">
        <v>2581</v>
      </c>
      <c r="C333" s="2" t="s">
        <v>2582</v>
      </c>
      <c r="D333" s="2">
        <v>2025</v>
      </c>
      <c r="E333" s="3">
        <v>45992</v>
      </c>
      <c r="F333" s="2" t="s">
        <v>2583</v>
      </c>
      <c r="G333" s="2">
        <v>272</v>
      </c>
      <c r="H333" s="2" t="s">
        <v>43</v>
      </c>
      <c r="I333" s="2" t="s">
        <v>43</v>
      </c>
      <c r="J333" s="2" t="s">
        <v>2584</v>
      </c>
      <c r="K333" s="2" t="s">
        <v>2226</v>
      </c>
      <c r="L333" s="2" t="s">
        <v>29</v>
      </c>
      <c r="M333" s="2" t="s">
        <v>2191</v>
      </c>
      <c r="N333" s="2" t="s">
        <v>75</v>
      </c>
      <c r="O333" s="4">
        <v>1233</v>
      </c>
      <c r="P333" s="2" t="s">
        <v>2585</v>
      </c>
      <c r="Q333" s="2" t="s">
        <v>33</v>
      </c>
      <c r="R333" s="2" t="s">
        <v>2586</v>
      </c>
      <c r="S333" s="2" t="s">
        <v>2587</v>
      </c>
      <c r="T333" s="2" t="s">
        <v>2588</v>
      </c>
      <c r="U333" s="2" t="s">
        <v>2589</v>
      </c>
      <c r="V333" s="2" t="s">
        <v>2590</v>
      </c>
    </row>
    <row r="334" spans="1:22">
      <c r="A334" s="2" t="s">
        <v>789</v>
      </c>
      <c r="B334" s="2" t="s">
        <v>2591</v>
      </c>
      <c r="C334" s="2" t="s">
        <v>2592</v>
      </c>
      <c r="D334" s="2">
        <v>2025</v>
      </c>
      <c r="E334" s="3">
        <v>45992</v>
      </c>
      <c r="F334" s="2" t="s">
        <v>73</v>
      </c>
      <c r="G334" s="2">
        <v>26</v>
      </c>
      <c r="H334" s="2">
        <v>23</v>
      </c>
      <c r="I334" s="2" t="s">
        <v>43</v>
      </c>
      <c r="J334" s="2" t="s">
        <v>74</v>
      </c>
      <c r="K334" s="2" t="s">
        <v>61</v>
      </c>
      <c r="L334" s="2" t="s">
        <v>29</v>
      </c>
      <c r="M334" s="2" t="s">
        <v>76</v>
      </c>
      <c r="N334" s="2" t="s">
        <v>76</v>
      </c>
      <c r="O334" s="4">
        <v>1316</v>
      </c>
      <c r="P334" s="2" t="s">
        <v>2593</v>
      </c>
      <c r="Q334" s="2" t="s">
        <v>49</v>
      </c>
      <c r="R334" s="2" t="s">
        <v>2594</v>
      </c>
      <c r="S334" s="2" t="s">
        <v>79</v>
      </c>
      <c r="T334" s="2" t="s">
        <v>2595</v>
      </c>
      <c r="U334" s="2" t="s">
        <v>2596</v>
      </c>
      <c r="V334" s="2" t="s">
        <v>80</v>
      </c>
    </row>
    <row r="335" spans="1:22">
      <c r="A335" s="2" t="s">
        <v>2597</v>
      </c>
      <c r="B335" s="2" t="s">
        <v>2598</v>
      </c>
      <c r="C335" s="2" t="s">
        <v>2599</v>
      </c>
      <c r="D335" s="2">
        <v>2025</v>
      </c>
      <c r="E335" s="3">
        <v>45748</v>
      </c>
      <c r="F335" s="2" t="s">
        <v>2600</v>
      </c>
      <c r="G335" s="2">
        <v>51</v>
      </c>
      <c r="H335" s="2">
        <v>4</v>
      </c>
      <c r="I335" s="2" t="s">
        <v>2601</v>
      </c>
      <c r="J335" s="2" t="s">
        <v>2602</v>
      </c>
      <c r="K335" s="2" t="s">
        <v>718</v>
      </c>
      <c r="L335" s="2" t="s">
        <v>29</v>
      </c>
      <c r="M335" s="2" t="s">
        <v>2603</v>
      </c>
      <c r="N335" s="2" t="s">
        <v>105</v>
      </c>
      <c r="O335" s="4">
        <v>4066</v>
      </c>
      <c r="P335" s="2" t="s">
        <v>2604</v>
      </c>
      <c r="Q335" s="2" t="s">
        <v>644</v>
      </c>
      <c r="R335" s="2" t="s">
        <v>2605</v>
      </c>
      <c r="S335" s="2" t="s">
        <v>1681</v>
      </c>
      <c r="T335" s="2" t="s">
        <v>2606</v>
      </c>
      <c r="U335" s="2" t="s">
        <v>1681</v>
      </c>
      <c r="V335" s="2" t="s">
        <v>80</v>
      </c>
    </row>
    <row r="336" spans="1:22">
      <c r="A336" s="2" t="s">
        <v>2607</v>
      </c>
      <c r="B336" s="2" t="s">
        <v>2598</v>
      </c>
      <c r="C336" s="2" t="s">
        <v>2599</v>
      </c>
      <c r="D336" s="2">
        <v>2025</v>
      </c>
      <c r="E336" s="3">
        <v>45748</v>
      </c>
      <c r="F336" s="2" t="s">
        <v>2600</v>
      </c>
      <c r="G336" s="2">
        <v>51</v>
      </c>
      <c r="H336" s="2">
        <v>4</v>
      </c>
      <c r="I336" s="2" t="s">
        <v>2601</v>
      </c>
      <c r="J336" s="2" t="s">
        <v>2602</v>
      </c>
      <c r="K336" s="2" t="s">
        <v>718</v>
      </c>
      <c r="L336" s="2" t="s">
        <v>29</v>
      </c>
      <c r="M336" s="2" t="s">
        <v>2603</v>
      </c>
      <c r="N336" s="2" t="s">
        <v>105</v>
      </c>
      <c r="O336" s="4">
        <v>4066</v>
      </c>
      <c r="P336" s="2" t="s">
        <v>2604</v>
      </c>
      <c r="Q336" s="2" t="s">
        <v>644</v>
      </c>
      <c r="R336" s="2" t="s">
        <v>2605</v>
      </c>
      <c r="S336" s="2" t="s">
        <v>1681</v>
      </c>
      <c r="T336" s="2" t="s">
        <v>2606</v>
      </c>
      <c r="U336" s="2" t="s">
        <v>1681</v>
      </c>
      <c r="V336" s="2" t="s">
        <v>80</v>
      </c>
    </row>
    <row r="337" spans="1:22">
      <c r="A337" s="2" t="s">
        <v>2608</v>
      </c>
      <c r="B337" s="2" t="s">
        <v>2598</v>
      </c>
      <c r="C337" s="2" t="s">
        <v>2599</v>
      </c>
      <c r="D337" s="2">
        <v>2025</v>
      </c>
      <c r="E337" s="3">
        <v>45748</v>
      </c>
      <c r="F337" s="2" t="s">
        <v>2600</v>
      </c>
      <c r="G337" s="2">
        <v>51</v>
      </c>
      <c r="H337" s="2">
        <v>4</v>
      </c>
      <c r="I337" s="2" t="s">
        <v>2601</v>
      </c>
      <c r="J337" s="2" t="s">
        <v>2602</v>
      </c>
      <c r="K337" s="2" t="s">
        <v>718</v>
      </c>
      <c r="L337" s="2" t="s">
        <v>29</v>
      </c>
      <c r="M337" s="2" t="s">
        <v>2603</v>
      </c>
      <c r="N337" s="2" t="s">
        <v>105</v>
      </c>
      <c r="O337" s="4">
        <v>4066</v>
      </c>
      <c r="P337" s="2" t="s">
        <v>2604</v>
      </c>
      <c r="Q337" s="2" t="s">
        <v>644</v>
      </c>
      <c r="R337" s="2" t="s">
        <v>2605</v>
      </c>
      <c r="S337" s="2" t="s">
        <v>1681</v>
      </c>
      <c r="T337" s="2" t="s">
        <v>2606</v>
      </c>
      <c r="U337" s="2" t="s">
        <v>1681</v>
      </c>
      <c r="V337" s="2" t="s">
        <v>80</v>
      </c>
    </row>
    <row r="338" spans="1:22">
      <c r="A338" s="2" t="s">
        <v>1344</v>
      </c>
      <c r="B338" s="2" t="s">
        <v>2598</v>
      </c>
      <c r="C338" s="2" t="s">
        <v>2599</v>
      </c>
      <c r="D338" s="2">
        <v>2025</v>
      </c>
      <c r="E338" s="3">
        <v>45748</v>
      </c>
      <c r="F338" s="2" t="s">
        <v>2600</v>
      </c>
      <c r="G338" s="2">
        <v>51</v>
      </c>
      <c r="H338" s="2">
        <v>4</v>
      </c>
      <c r="I338" s="2" t="s">
        <v>2601</v>
      </c>
      <c r="J338" s="2" t="s">
        <v>2602</v>
      </c>
      <c r="K338" s="2" t="s">
        <v>718</v>
      </c>
      <c r="L338" s="2" t="s">
        <v>29</v>
      </c>
      <c r="M338" s="2" t="s">
        <v>2603</v>
      </c>
      <c r="N338" s="2" t="s">
        <v>105</v>
      </c>
      <c r="O338" s="4">
        <v>4066</v>
      </c>
      <c r="P338" s="2" t="s">
        <v>2604</v>
      </c>
      <c r="Q338" s="2" t="s">
        <v>644</v>
      </c>
      <c r="R338" s="2" t="s">
        <v>2605</v>
      </c>
      <c r="S338" s="2" t="s">
        <v>1681</v>
      </c>
      <c r="T338" s="2" t="s">
        <v>2606</v>
      </c>
      <c r="U338" s="2" t="s">
        <v>1681</v>
      </c>
      <c r="V338" s="2" t="s">
        <v>80</v>
      </c>
    </row>
    <row r="339" spans="1:22" ht="28.8">
      <c r="A339" s="2" t="s">
        <v>1282</v>
      </c>
      <c r="B339" s="2" t="s">
        <v>2609</v>
      </c>
      <c r="C339" s="2" t="s">
        <v>2610</v>
      </c>
      <c r="D339" s="2">
        <v>2024</v>
      </c>
      <c r="E339" s="3">
        <v>45292</v>
      </c>
      <c r="F339" s="2" t="s">
        <v>2611</v>
      </c>
      <c r="G339" s="2">
        <v>12</v>
      </c>
      <c r="H339" s="2" t="s">
        <v>43</v>
      </c>
      <c r="I339" s="2" t="s">
        <v>43</v>
      </c>
      <c r="J339" s="2" t="s">
        <v>2612</v>
      </c>
      <c r="K339" s="2" t="s">
        <v>183</v>
      </c>
      <c r="L339" s="2" t="s">
        <v>29</v>
      </c>
      <c r="M339" s="2" t="s">
        <v>2613</v>
      </c>
      <c r="N339" s="2" t="s">
        <v>827</v>
      </c>
      <c r="O339" s="4">
        <v>1027</v>
      </c>
      <c r="P339" s="2" t="s">
        <v>2614</v>
      </c>
      <c r="Q339" s="2" t="s">
        <v>33</v>
      </c>
      <c r="R339" s="2" t="s">
        <v>2615</v>
      </c>
      <c r="S339" s="2" t="s">
        <v>2616</v>
      </c>
      <c r="T339" s="2" t="s">
        <v>2617</v>
      </c>
      <c r="U339" s="2" t="s">
        <v>2618</v>
      </c>
      <c r="V339" s="2" t="s">
        <v>1249</v>
      </c>
    </row>
    <row r="340" spans="1:22">
      <c r="A340" s="2" t="s">
        <v>1344</v>
      </c>
      <c r="B340" s="2" t="s">
        <v>2619</v>
      </c>
      <c r="C340" s="2" t="s">
        <v>2620</v>
      </c>
      <c r="D340" s="2">
        <v>2024</v>
      </c>
      <c r="E340" s="3">
        <v>45536</v>
      </c>
      <c r="F340" s="2" t="s">
        <v>2621</v>
      </c>
      <c r="G340" s="2">
        <v>39</v>
      </c>
      <c r="H340" s="2">
        <v>9</v>
      </c>
      <c r="I340" s="2" t="s">
        <v>2622</v>
      </c>
      <c r="J340" s="2" t="s">
        <v>2623</v>
      </c>
      <c r="K340" s="2" t="s">
        <v>796</v>
      </c>
      <c r="L340" s="2" t="s">
        <v>29</v>
      </c>
      <c r="M340" s="2" t="s">
        <v>246</v>
      </c>
      <c r="N340" s="2" t="s">
        <v>476</v>
      </c>
      <c r="O340" s="2" t="s">
        <v>2624</v>
      </c>
      <c r="P340" s="2" t="s">
        <v>2625</v>
      </c>
      <c r="Q340" s="2" t="s">
        <v>33</v>
      </c>
      <c r="R340" s="2" t="s">
        <v>2626</v>
      </c>
      <c r="S340" s="2" t="s">
        <v>2399</v>
      </c>
      <c r="T340" s="2" t="s">
        <v>2627</v>
      </c>
      <c r="U340" s="2" t="s">
        <v>2628</v>
      </c>
      <c r="V340" s="2" t="s">
        <v>80</v>
      </c>
    </row>
    <row r="341" spans="1:22">
      <c r="A341" s="2" t="s">
        <v>1916</v>
      </c>
      <c r="B341" s="2" t="s">
        <v>2619</v>
      </c>
      <c r="C341" s="2" t="s">
        <v>2620</v>
      </c>
      <c r="D341" s="2">
        <v>2024</v>
      </c>
      <c r="E341" s="3">
        <v>45536</v>
      </c>
      <c r="F341" s="2" t="s">
        <v>2621</v>
      </c>
      <c r="G341" s="2">
        <v>39</v>
      </c>
      <c r="H341" s="2">
        <v>9</v>
      </c>
      <c r="I341" s="2" t="s">
        <v>2622</v>
      </c>
      <c r="J341" s="2" t="s">
        <v>2623</v>
      </c>
      <c r="K341" s="2" t="s">
        <v>796</v>
      </c>
      <c r="L341" s="2" t="s">
        <v>29</v>
      </c>
      <c r="M341" s="2" t="s">
        <v>246</v>
      </c>
      <c r="N341" s="2" t="s">
        <v>476</v>
      </c>
      <c r="O341" s="2" t="s">
        <v>2624</v>
      </c>
      <c r="P341" s="2" t="s">
        <v>2625</v>
      </c>
      <c r="Q341" s="2" t="s">
        <v>33</v>
      </c>
      <c r="R341" s="2" t="s">
        <v>2626</v>
      </c>
      <c r="S341" s="2" t="s">
        <v>2399</v>
      </c>
      <c r="T341" s="2" t="s">
        <v>2627</v>
      </c>
      <c r="U341" s="2" t="s">
        <v>2628</v>
      </c>
      <c r="V341" s="2" t="s">
        <v>80</v>
      </c>
    </row>
    <row r="342" spans="1:22">
      <c r="A342" s="2" t="s">
        <v>1967</v>
      </c>
      <c r="B342" s="2" t="s">
        <v>2619</v>
      </c>
      <c r="C342" s="2" t="s">
        <v>2620</v>
      </c>
      <c r="D342" s="2">
        <v>2024</v>
      </c>
      <c r="E342" s="3">
        <v>45536</v>
      </c>
      <c r="F342" s="2" t="s">
        <v>2621</v>
      </c>
      <c r="G342" s="2">
        <v>39</v>
      </c>
      <c r="H342" s="2">
        <v>9</v>
      </c>
      <c r="I342" s="2" t="s">
        <v>2622</v>
      </c>
      <c r="J342" s="2" t="s">
        <v>2623</v>
      </c>
      <c r="K342" s="2" t="s">
        <v>796</v>
      </c>
      <c r="L342" s="2" t="s">
        <v>29</v>
      </c>
      <c r="M342" s="2" t="s">
        <v>246</v>
      </c>
      <c r="N342" s="2" t="s">
        <v>476</v>
      </c>
      <c r="O342" s="2" t="s">
        <v>2624</v>
      </c>
      <c r="P342" s="2" t="s">
        <v>2625</v>
      </c>
      <c r="Q342" s="2" t="s">
        <v>33</v>
      </c>
      <c r="R342" s="2" t="s">
        <v>2626</v>
      </c>
      <c r="S342" s="2" t="s">
        <v>2399</v>
      </c>
      <c r="T342" s="2" t="s">
        <v>2627</v>
      </c>
      <c r="U342" s="2" t="s">
        <v>2628</v>
      </c>
      <c r="V342" s="2" t="s">
        <v>80</v>
      </c>
    </row>
    <row r="343" spans="1:22">
      <c r="A343" s="2" t="s">
        <v>2629</v>
      </c>
      <c r="B343" s="2" t="s">
        <v>2619</v>
      </c>
      <c r="C343" s="2" t="s">
        <v>2620</v>
      </c>
      <c r="D343" s="2">
        <v>2024</v>
      </c>
      <c r="E343" s="3">
        <v>45536</v>
      </c>
      <c r="F343" s="2" t="s">
        <v>2621</v>
      </c>
      <c r="G343" s="2">
        <v>39</v>
      </c>
      <c r="H343" s="2">
        <v>9</v>
      </c>
      <c r="I343" s="2" t="s">
        <v>2622</v>
      </c>
      <c r="J343" s="2" t="s">
        <v>2623</v>
      </c>
      <c r="K343" s="2" t="s">
        <v>796</v>
      </c>
      <c r="L343" s="2" t="s">
        <v>29</v>
      </c>
      <c r="M343" s="2" t="s">
        <v>246</v>
      </c>
      <c r="N343" s="2" t="s">
        <v>476</v>
      </c>
      <c r="O343" s="2" t="s">
        <v>2624</v>
      </c>
      <c r="P343" s="2" t="s">
        <v>2625</v>
      </c>
      <c r="Q343" s="2" t="s">
        <v>33</v>
      </c>
      <c r="R343" s="2" t="s">
        <v>2626</v>
      </c>
      <c r="S343" s="2" t="s">
        <v>2399</v>
      </c>
      <c r="T343" s="2" t="s">
        <v>2627</v>
      </c>
      <c r="U343" s="2" t="s">
        <v>2628</v>
      </c>
      <c r="V343" s="2" t="s">
        <v>80</v>
      </c>
    </row>
    <row r="344" spans="1:22">
      <c r="A344" s="2" t="s">
        <v>433</v>
      </c>
      <c r="B344" s="2" t="s">
        <v>2619</v>
      </c>
      <c r="C344" s="2" t="s">
        <v>2620</v>
      </c>
      <c r="D344" s="2">
        <v>2024</v>
      </c>
      <c r="E344" s="3">
        <v>45536</v>
      </c>
      <c r="F344" s="2" t="s">
        <v>2621</v>
      </c>
      <c r="G344" s="2">
        <v>39</v>
      </c>
      <c r="H344" s="2">
        <v>9</v>
      </c>
      <c r="I344" s="2" t="s">
        <v>2622</v>
      </c>
      <c r="J344" s="2" t="s">
        <v>2623</v>
      </c>
      <c r="K344" s="2" t="s">
        <v>796</v>
      </c>
      <c r="L344" s="2" t="s">
        <v>29</v>
      </c>
      <c r="M344" s="2" t="s">
        <v>246</v>
      </c>
      <c r="N344" s="2" t="s">
        <v>476</v>
      </c>
      <c r="O344" s="2" t="s">
        <v>2624</v>
      </c>
      <c r="P344" s="2" t="s">
        <v>2625</v>
      </c>
      <c r="Q344" s="2" t="s">
        <v>33</v>
      </c>
      <c r="R344" s="2" t="s">
        <v>2626</v>
      </c>
      <c r="S344" s="2" t="s">
        <v>2399</v>
      </c>
      <c r="T344" s="2" t="s">
        <v>2627</v>
      </c>
      <c r="U344" s="2" t="s">
        <v>2628</v>
      </c>
      <c r="V344" s="2" t="s">
        <v>80</v>
      </c>
    </row>
    <row r="345" spans="1:22">
      <c r="A345" s="2" t="s">
        <v>1969</v>
      </c>
      <c r="B345" s="2" t="s">
        <v>2619</v>
      </c>
      <c r="C345" s="2" t="s">
        <v>2620</v>
      </c>
      <c r="D345" s="2">
        <v>2024</v>
      </c>
      <c r="E345" s="3">
        <v>45536</v>
      </c>
      <c r="F345" s="2" t="s">
        <v>2621</v>
      </c>
      <c r="G345" s="2">
        <v>39</v>
      </c>
      <c r="H345" s="2">
        <v>9</v>
      </c>
      <c r="I345" s="2" t="s">
        <v>2622</v>
      </c>
      <c r="J345" s="2" t="s">
        <v>2623</v>
      </c>
      <c r="K345" s="2" t="s">
        <v>796</v>
      </c>
      <c r="L345" s="2" t="s">
        <v>29</v>
      </c>
      <c r="M345" s="2" t="s">
        <v>246</v>
      </c>
      <c r="N345" s="2" t="s">
        <v>476</v>
      </c>
      <c r="O345" s="2" t="s">
        <v>2624</v>
      </c>
      <c r="P345" s="2" t="s">
        <v>2625</v>
      </c>
      <c r="Q345" s="2" t="s">
        <v>33</v>
      </c>
      <c r="R345" s="2" t="s">
        <v>2626</v>
      </c>
      <c r="S345" s="2" t="s">
        <v>2399</v>
      </c>
      <c r="T345" s="2" t="s">
        <v>2627</v>
      </c>
      <c r="U345" s="2" t="s">
        <v>2628</v>
      </c>
      <c r="V345" s="2" t="s">
        <v>80</v>
      </c>
    </row>
    <row r="346" spans="1:22">
      <c r="A346" s="2" t="s">
        <v>2630</v>
      </c>
      <c r="B346" s="2" t="s">
        <v>2631</v>
      </c>
      <c r="C346" s="2" t="s">
        <v>2632</v>
      </c>
      <c r="D346" s="2">
        <v>2024</v>
      </c>
      <c r="E346" s="3">
        <v>45566</v>
      </c>
      <c r="F346" s="2" t="s">
        <v>2633</v>
      </c>
      <c r="G346" s="2">
        <v>11</v>
      </c>
      <c r="H346" s="2">
        <v>4</v>
      </c>
      <c r="I346" s="2" t="s">
        <v>43</v>
      </c>
      <c r="J346" s="2" t="s">
        <v>2634</v>
      </c>
      <c r="K346" s="2" t="s">
        <v>119</v>
      </c>
      <c r="L346" s="2" t="s">
        <v>29</v>
      </c>
      <c r="M346" s="2" t="s">
        <v>1362</v>
      </c>
      <c r="N346" s="2" t="s">
        <v>196</v>
      </c>
      <c r="O346" s="2" t="s">
        <v>2635</v>
      </c>
      <c r="P346" s="2" t="s">
        <v>2636</v>
      </c>
      <c r="Q346" s="2" t="s">
        <v>33</v>
      </c>
      <c r="R346" s="2" t="s">
        <v>2637</v>
      </c>
      <c r="S346" s="2" t="s">
        <v>1681</v>
      </c>
      <c r="T346" s="2" t="s">
        <v>2638</v>
      </c>
      <c r="U346" s="2" t="s">
        <v>2639</v>
      </c>
      <c r="V346" s="2" t="s">
        <v>80</v>
      </c>
    </row>
    <row r="347" spans="1:22">
      <c r="A347" s="2" t="s">
        <v>2640</v>
      </c>
      <c r="B347" s="2" t="s">
        <v>2641</v>
      </c>
      <c r="C347" s="2" t="s">
        <v>2642</v>
      </c>
      <c r="D347" s="2">
        <v>2025</v>
      </c>
      <c r="E347" s="3">
        <v>45658</v>
      </c>
      <c r="F347" s="2" t="s">
        <v>2643</v>
      </c>
      <c r="G347" s="2">
        <v>17</v>
      </c>
      <c r="H347" s="2" t="s">
        <v>43</v>
      </c>
      <c r="I347" s="2" t="s">
        <v>2644</v>
      </c>
      <c r="J347" s="2" t="s">
        <v>2645</v>
      </c>
      <c r="K347" s="2" t="s">
        <v>2646</v>
      </c>
      <c r="L347" s="2" t="s">
        <v>29</v>
      </c>
      <c r="M347" s="2" t="s">
        <v>144</v>
      </c>
      <c r="N347" s="2" t="s">
        <v>2647</v>
      </c>
      <c r="O347" s="4">
        <v>1025</v>
      </c>
      <c r="P347" s="2" t="s">
        <v>2648</v>
      </c>
      <c r="Q347" s="2" t="s">
        <v>33</v>
      </c>
      <c r="R347" s="2" t="s">
        <v>2649</v>
      </c>
      <c r="S347" s="2" t="s">
        <v>2650</v>
      </c>
      <c r="T347" s="2" t="s">
        <v>2651</v>
      </c>
      <c r="U347" s="2" t="s">
        <v>2652</v>
      </c>
      <c r="V347" s="2" t="s">
        <v>594</v>
      </c>
    </row>
    <row r="348" spans="1:22">
      <c r="A348" s="2" t="s">
        <v>39</v>
      </c>
      <c r="B348" s="2" t="s">
        <v>2653</v>
      </c>
      <c r="C348" s="2" t="s">
        <v>2654</v>
      </c>
      <c r="D348" s="2">
        <v>2025</v>
      </c>
      <c r="E348" s="3">
        <v>45992</v>
      </c>
      <c r="F348" s="2" t="s">
        <v>2655</v>
      </c>
      <c r="G348" s="2">
        <v>110</v>
      </c>
      <c r="H348" s="2">
        <v>12</v>
      </c>
      <c r="I348" s="2" t="s">
        <v>2656</v>
      </c>
      <c r="J348" s="2" t="s">
        <v>2657</v>
      </c>
      <c r="K348" s="2" t="s">
        <v>2314</v>
      </c>
      <c r="L348" s="2" t="s">
        <v>29</v>
      </c>
      <c r="M348" s="2" t="s">
        <v>374</v>
      </c>
      <c r="N348" s="2" t="s">
        <v>76</v>
      </c>
      <c r="O348" s="4">
        <v>2155</v>
      </c>
      <c r="P348" s="2" t="s">
        <v>2658</v>
      </c>
      <c r="Q348" s="2" t="s">
        <v>33</v>
      </c>
      <c r="R348" s="2" t="s">
        <v>2659</v>
      </c>
      <c r="S348" s="2" t="s">
        <v>1504</v>
      </c>
      <c r="T348" s="2" t="s">
        <v>2660</v>
      </c>
      <c r="U348" s="2" t="s">
        <v>2661</v>
      </c>
      <c r="V348" s="2" t="s">
        <v>621</v>
      </c>
    </row>
    <row r="349" spans="1:22">
      <c r="A349" s="2" t="s">
        <v>1983</v>
      </c>
      <c r="B349" s="2" t="s">
        <v>2662</v>
      </c>
      <c r="C349" s="2" t="s">
        <v>2663</v>
      </c>
      <c r="D349" s="2">
        <v>2025</v>
      </c>
      <c r="E349" s="3">
        <v>45901</v>
      </c>
      <c r="F349" s="2" t="s">
        <v>2664</v>
      </c>
      <c r="G349" s="2">
        <v>14</v>
      </c>
      <c r="H349" s="2">
        <v>9</v>
      </c>
      <c r="I349" s="2" t="s">
        <v>43</v>
      </c>
      <c r="J349" s="2" t="s">
        <v>2665</v>
      </c>
      <c r="K349" s="2" t="s">
        <v>61</v>
      </c>
      <c r="L349" s="2" t="s">
        <v>29</v>
      </c>
      <c r="M349" s="2" t="s">
        <v>1182</v>
      </c>
      <c r="N349" s="2" t="s">
        <v>134</v>
      </c>
      <c r="O349" s="2" t="s">
        <v>2666</v>
      </c>
      <c r="P349" s="2" t="s">
        <v>2667</v>
      </c>
      <c r="Q349" s="2" t="s">
        <v>33</v>
      </c>
      <c r="R349" s="2" t="s">
        <v>2668</v>
      </c>
      <c r="S349" s="2" t="s">
        <v>2669</v>
      </c>
      <c r="T349" s="2" t="s">
        <v>2670</v>
      </c>
      <c r="U349" s="2" t="s">
        <v>2671</v>
      </c>
      <c r="V349" s="2" t="s">
        <v>594</v>
      </c>
    </row>
    <row r="350" spans="1:22" ht="28.8">
      <c r="A350" s="2" t="s">
        <v>2672</v>
      </c>
      <c r="B350" s="2" t="s">
        <v>2673</v>
      </c>
      <c r="C350" s="2" t="s">
        <v>2674</v>
      </c>
      <c r="D350" s="2">
        <v>2024</v>
      </c>
      <c r="E350" s="3">
        <v>45474</v>
      </c>
      <c r="F350" s="2" t="s">
        <v>2675</v>
      </c>
      <c r="G350" s="2">
        <v>14</v>
      </c>
      <c r="H350" s="2">
        <v>14</v>
      </c>
      <c r="I350" s="2" t="s">
        <v>43</v>
      </c>
      <c r="J350" s="2" t="s">
        <v>2676</v>
      </c>
      <c r="K350" s="2" t="s">
        <v>61</v>
      </c>
      <c r="L350" s="2" t="s">
        <v>29</v>
      </c>
      <c r="M350" s="2" t="s">
        <v>2677</v>
      </c>
      <c r="N350" s="2" t="s">
        <v>961</v>
      </c>
      <c r="O350" s="2" t="s">
        <v>2678</v>
      </c>
      <c r="P350" s="2" t="s">
        <v>2679</v>
      </c>
      <c r="Q350" s="2" t="s">
        <v>33</v>
      </c>
      <c r="R350" s="2" t="s">
        <v>2680</v>
      </c>
      <c r="S350" s="2" t="s">
        <v>1556</v>
      </c>
      <c r="T350" s="2" t="s">
        <v>2681</v>
      </c>
      <c r="U350" s="2" t="s">
        <v>2682</v>
      </c>
      <c r="V350" s="2" t="s">
        <v>80</v>
      </c>
    </row>
    <row r="351" spans="1:22">
      <c r="A351" s="2" t="s">
        <v>2683</v>
      </c>
      <c r="B351" s="2" t="s">
        <v>2684</v>
      </c>
      <c r="C351" s="2" t="s">
        <v>2685</v>
      </c>
      <c r="D351" s="2">
        <v>2024</v>
      </c>
      <c r="E351" s="3">
        <v>45323</v>
      </c>
      <c r="F351" s="2" t="s">
        <v>2509</v>
      </c>
      <c r="G351" s="2">
        <v>43</v>
      </c>
      <c r="H351" s="2">
        <v>7</v>
      </c>
      <c r="I351" s="2" t="s">
        <v>2686</v>
      </c>
      <c r="J351" s="2" t="s">
        <v>2511</v>
      </c>
      <c r="K351" s="2" t="s">
        <v>1624</v>
      </c>
      <c r="L351" s="2" t="s">
        <v>29</v>
      </c>
      <c r="M351" s="2" t="s">
        <v>653</v>
      </c>
      <c r="N351" s="2" t="s">
        <v>1520</v>
      </c>
      <c r="O351" s="4">
        <v>1024</v>
      </c>
      <c r="P351" s="2" t="s">
        <v>2687</v>
      </c>
      <c r="Q351" s="2" t="s">
        <v>33</v>
      </c>
      <c r="R351" s="2" t="s">
        <v>2688</v>
      </c>
      <c r="S351" s="2" t="s">
        <v>2689</v>
      </c>
      <c r="T351" s="2" t="s">
        <v>2690</v>
      </c>
      <c r="U351" s="2" t="s">
        <v>2691</v>
      </c>
      <c r="V351" s="2" t="s">
        <v>80</v>
      </c>
    </row>
    <row r="352" spans="1:22">
      <c r="A352" s="2" t="s">
        <v>39</v>
      </c>
      <c r="B352" s="2" t="s">
        <v>2692</v>
      </c>
      <c r="C352" s="2" t="s">
        <v>2693</v>
      </c>
      <c r="D352" s="2">
        <v>2024</v>
      </c>
      <c r="E352" s="3">
        <v>45627</v>
      </c>
      <c r="F352" s="2" t="s">
        <v>2694</v>
      </c>
      <c r="G352" s="2">
        <v>19</v>
      </c>
      <c r="H352" s="2">
        <v>12</v>
      </c>
      <c r="I352" s="2" t="s">
        <v>43</v>
      </c>
      <c r="J352" s="2" t="s">
        <v>2695</v>
      </c>
      <c r="K352" s="2" t="s">
        <v>1258</v>
      </c>
      <c r="L352" s="2" t="s">
        <v>29</v>
      </c>
      <c r="M352" s="2" t="s">
        <v>1637</v>
      </c>
      <c r="N352" s="2" t="s">
        <v>121</v>
      </c>
      <c r="O352" s="4">
        <v>1137</v>
      </c>
      <c r="P352" s="2" t="s">
        <v>2696</v>
      </c>
      <c r="Q352" s="2" t="s">
        <v>33</v>
      </c>
      <c r="R352" s="2" t="s">
        <v>2697</v>
      </c>
      <c r="S352" s="2" t="s">
        <v>2698</v>
      </c>
      <c r="T352" s="2" t="s">
        <v>2699</v>
      </c>
      <c r="U352" s="2" t="s">
        <v>2700</v>
      </c>
      <c r="V352" s="2" t="s">
        <v>621</v>
      </c>
    </row>
    <row r="353" spans="1:22" ht="28.8">
      <c r="A353" s="2" t="s">
        <v>2701</v>
      </c>
      <c r="B353" s="2" t="s">
        <v>2702</v>
      </c>
      <c r="C353" s="2" t="s">
        <v>2703</v>
      </c>
      <c r="D353" s="2">
        <v>2025</v>
      </c>
      <c r="E353" s="3">
        <v>45817</v>
      </c>
      <c r="F353" s="2" t="s">
        <v>2704</v>
      </c>
      <c r="G353" s="2">
        <v>65</v>
      </c>
      <c r="H353" s="2">
        <v>11</v>
      </c>
      <c r="I353" s="2" t="s">
        <v>2705</v>
      </c>
      <c r="J353" s="2" t="s">
        <v>2706</v>
      </c>
      <c r="K353" s="2" t="s">
        <v>2707</v>
      </c>
      <c r="L353" s="2" t="s">
        <v>29</v>
      </c>
      <c r="M353" s="2" t="s">
        <v>62</v>
      </c>
      <c r="N353" s="2" t="s">
        <v>281</v>
      </c>
      <c r="O353" s="2" t="s">
        <v>2708</v>
      </c>
      <c r="P353" s="2" t="s">
        <v>2709</v>
      </c>
      <c r="Q353" s="2" t="s">
        <v>33</v>
      </c>
      <c r="R353" s="2" t="s">
        <v>2710</v>
      </c>
      <c r="S353" s="2" t="s">
        <v>2711</v>
      </c>
      <c r="T353" s="2" t="s">
        <v>2712</v>
      </c>
      <c r="U353" s="2" t="s">
        <v>2713</v>
      </c>
      <c r="V353" s="2" t="s">
        <v>2714</v>
      </c>
    </row>
    <row r="354" spans="1:22" ht="28.8">
      <c r="A354" s="2" t="s">
        <v>996</v>
      </c>
      <c r="B354" s="2" t="s">
        <v>2702</v>
      </c>
      <c r="C354" s="2" t="s">
        <v>2703</v>
      </c>
      <c r="D354" s="2">
        <v>2025</v>
      </c>
      <c r="E354" s="3">
        <v>45817</v>
      </c>
      <c r="F354" s="2" t="s">
        <v>2704</v>
      </c>
      <c r="G354" s="2">
        <v>65</v>
      </c>
      <c r="H354" s="2">
        <v>11</v>
      </c>
      <c r="I354" s="2" t="s">
        <v>2705</v>
      </c>
      <c r="J354" s="2" t="s">
        <v>2706</v>
      </c>
      <c r="K354" s="2" t="s">
        <v>2707</v>
      </c>
      <c r="L354" s="2" t="s">
        <v>29</v>
      </c>
      <c r="M354" s="2" t="s">
        <v>62</v>
      </c>
      <c r="N354" s="2" t="s">
        <v>281</v>
      </c>
      <c r="O354" s="2" t="s">
        <v>2708</v>
      </c>
      <c r="P354" s="2" t="s">
        <v>2709</v>
      </c>
      <c r="Q354" s="2" t="s">
        <v>33</v>
      </c>
      <c r="R354" s="2" t="s">
        <v>2710</v>
      </c>
      <c r="S354" s="2" t="s">
        <v>2711</v>
      </c>
      <c r="T354" s="2" t="s">
        <v>2712</v>
      </c>
      <c r="U354" s="2" t="s">
        <v>2713</v>
      </c>
      <c r="V354" s="2" t="s">
        <v>2714</v>
      </c>
    </row>
    <row r="355" spans="1:22">
      <c r="A355" s="2" t="s">
        <v>2018</v>
      </c>
      <c r="B355" s="2" t="s">
        <v>2715</v>
      </c>
      <c r="C355" s="2" t="s">
        <v>2716</v>
      </c>
      <c r="D355" s="2">
        <v>2025</v>
      </c>
      <c r="E355" s="3">
        <v>45658</v>
      </c>
      <c r="F355" s="2" t="s">
        <v>2717</v>
      </c>
      <c r="G355" s="2">
        <v>21</v>
      </c>
      <c r="H355" s="2">
        <v>2</v>
      </c>
      <c r="I355" s="2" t="s">
        <v>43</v>
      </c>
      <c r="J355" s="2" t="s">
        <v>2718</v>
      </c>
      <c r="K355" s="2" t="s">
        <v>2719</v>
      </c>
      <c r="L355" s="2" t="s">
        <v>29</v>
      </c>
      <c r="M355" s="2" t="s">
        <v>464</v>
      </c>
      <c r="N355" s="2" t="s">
        <v>234</v>
      </c>
      <c r="O355" s="2" t="s">
        <v>2720</v>
      </c>
      <c r="P355" s="2" t="s">
        <v>2721</v>
      </c>
      <c r="Q355" s="2" t="s">
        <v>33</v>
      </c>
      <c r="R355" s="2" t="s">
        <v>2722</v>
      </c>
      <c r="S355" s="2" t="s">
        <v>2723</v>
      </c>
      <c r="T355" s="2" t="s">
        <v>2724</v>
      </c>
      <c r="U355" s="2" t="s">
        <v>2725</v>
      </c>
      <c r="V355" s="2" t="s">
        <v>2726</v>
      </c>
    </row>
    <row r="356" spans="1:22">
      <c r="A356" s="2" t="s">
        <v>2727</v>
      </c>
      <c r="B356" s="2" t="s">
        <v>2715</v>
      </c>
      <c r="C356" s="2" t="s">
        <v>2716</v>
      </c>
      <c r="D356" s="2">
        <v>2025</v>
      </c>
      <c r="E356" s="3">
        <v>45658</v>
      </c>
      <c r="F356" s="2" t="s">
        <v>2717</v>
      </c>
      <c r="G356" s="2">
        <v>21</v>
      </c>
      <c r="H356" s="2">
        <v>2</v>
      </c>
      <c r="I356" s="2" t="s">
        <v>43</v>
      </c>
      <c r="J356" s="2" t="s">
        <v>2718</v>
      </c>
      <c r="K356" s="2" t="s">
        <v>2719</v>
      </c>
      <c r="L356" s="2" t="s">
        <v>29</v>
      </c>
      <c r="M356" s="2" t="s">
        <v>464</v>
      </c>
      <c r="N356" s="2" t="s">
        <v>234</v>
      </c>
      <c r="O356" s="2" t="s">
        <v>2720</v>
      </c>
      <c r="P356" s="2" t="s">
        <v>2721</v>
      </c>
      <c r="Q356" s="2" t="s">
        <v>33</v>
      </c>
      <c r="R356" s="2" t="s">
        <v>2722</v>
      </c>
      <c r="S356" s="2" t="s">
        <v>2723</v>
      </c>
      <c r="T356" s="2" t="s">
        <v>2724</v>
      </c>
      <c r="U356" s="2" t="s">
        <v>2725</v>
      </c>
      <c r="V356" s="2" t="s">
        <v>2726</v>
      </c>
    </row>
    <row r="357" spans="1:22">
      <c r="A357" s="2" t="s">
        <v>2728</v>
      </c>
      <c r="B357" s="2" t="s">
        <v>2729</v>
      </c>
      <c r="C357" s="2" t="s">
        <v>2730</v>
      </c>
      <c r="D357" s="2">
        <v>2024</v>
      </c>
      <c r="E357" s="3">
        <v>45566</v>
      </c>
      <c r="F357" s="2" t="s">
        <v>2731</v>
      </c>
      <c r="G357" s="2">
        <v>16</v>
      </c>
      <c r="H357" s="2">
        <v>2</v>
      </c>
      <c r="I357" s="2" t="s">
        <v>2732</v>
      </c>
      <c r="J357" s="2" t="s">
        <v>2733</v>
      </c>
      <c r="K357" s="2" t="s">
        <v>2734</v>
      </c>
      <c r="L357" s="2" t="s">
        <v>29</v>
      </c>
      <c r="M357" s="2" t="s">
        <v>2735</v>
      </c>
      <c r="N357" s="2" t="s">
        <v>1544</v>
      </c>
      <c r="O357" s="2" t="s">
        <v>2736</v>
      </c>
      <c r="P357" s="2" t="s">
        <v>2737</v>
      </c>
      <c r="Q357" s="2" t="s">
        <v>33</v>
      </c>
      <c r="R357" s="2" t="s">
        <v>2738</v>
      </c>
      <c r="S357" s="2" t="s">
        <v>2739</v>
      </c>
      <c r="T357" s="2" t="s">
        <v>2740</v>
      </c>
      <c r="U357" s="2" t="s">
        <v>2741</v>
      </c>
      <c r="V357" s="2" t="s">
        <v>594</v>
      </c>
    </row>
    <row r="358" spans="1:22" ht="28.8">
      <c r="A358" s="2" t="s">
        <v>276</v>
      </c>
      <c r="B358" s="2" t="s">
        <v>2742</v>
      </c>
      <c r="C358" s="2" t="s">
        <v>2743</v>
      </c>
      <c r="D358" s="2">
        <v>2025</v>
      </c>
      <c r="E358" s="3">
        <v>45870</v>
      </c>
      <c r="F358" s="2" t="s">
        <v>1470</v>
      </c>
      <c r="G358" s="2">
        <v>15</v>
      </c>
      <c r="H358" s="2">
        <v>15</v>
      </c>
      <c r="I358" s="2" t="s">
        <v>43</v>
      </c>
      <c r="J358" s="2" t="s">
        <v>1471</v>
      </c>
      <c r="K358" s="2" t="s">
        <v>61</v>
      </c>
      <c r="L358" s="2" t="s">
        <v>29</v>
      </c>
      <c r="M358" s="2" t="s">
        <v>246</v>
      </c>
      <c r="N358" s="2" t="s">
        <v>1581</v>
      </c>
      <c r="O358" s="2" t="s">
        <v>2336</v>
      </c>
      <c r="P358" s="2" t="s">
        <v>2744</v>
      </c>
      <c r="Q358" s="2" t="s">
        <v>49</v>
      </c>
      <c r="R358" s="2" t="s">
        <v>2745</v>
      </c>
      <c r="S358" s="2" t="s">
        <v>2746</v>
      </c>
      <c r="T358" s="2" t="s">
        <v>2747</v>
      </c>
      <c r="U358" s="2" t="s">
        <v>2748</v>
      </c>
      <c r="V358" s="2" t="s">
        <v>594</v>
      </c>
    </row>
    <row r="359" spans="1:22">
      <c r="A359" s="2" t="s">
        <v>2749</v>
      </c>
      <c r="B359" s="2" t="s">
        <v>2750</v>
      </c>
      <c r="C359" s="2" t="s">
        <v>2751</v>
      </c>
      <c r="D359" s="2">
        <v>2024</v>
      </c>
      <c r="E359" s="3">
        <v>45383</v>
      </c>
      <c r="F359" s="2" t="s">
        <v>2752</v>
      </c>
      <c r="G359" s="2">
        <v>12</v>
      </c>
      <c r="H359" s="2">
        <v>8</v>
      </c>
      <c r="I359" s="2" t="s">
        <v>43</v>
      </c>
      <c r="J359" s="2" t="s">
        <v>2753</v>
      </c>
      <c r="K359" s="2" t="s">
        <v>2328</v>
      </c>
      <c r="L359" s="2" t="s">
        <v>29</v>
      </c>
      <c r="M359" s="2" t="s">
        <v>2110</v>
      </c>
      <c r="N359" s="2" t="s">
        <v>2754</v>
      </c>
      <c r="O359" s="2" t="s">
        <v>2755</v>
      </c>
      <c r="P359" s="2" t="s">
        <v>2756</v>
      </c>
      <c r="Q359" s="2" t="s">
        <v>33</v>
      </c>
      <c r="R359" s="2" t="s">
        <v>2757</v>
      </c>
      <c r="S359" s="2" t="s">
        <v>1140</v>
      </c>
      <c r="T359" s="2" t="s">
        <v>2758</v>
      </c>
      <c r="U359" s="2" t="s">
        <v>2759</v>
      </c>
      <c r="V359" s="2" t="s">
        <v>594</v>
      </c>
    </row>
    <row r="360" spans="1:22">
      <c r="A360" s="2" t="s">
        <v>2309</v>
      </c>
      <c r="B360" s="2" t="s">
        <v>2750</v>
      </c>
      <c r="C360" s="2" t="s">
        <v>2751</v>
      </c>
      <c r="D360" s="2">
        <v>2024</v>
      </c>
      <c r="E360" s="3">
        <v>45383</v>
      </c>
      <c r="F360" s="2" t="s">
        <v>2752</v>
      </c>
      <c r="G360" s="2">
        <v>12</v>
      </c>
      <c r="H360" s="2">
        <v>8</v>
      </c>
      <c r="I360" s="2" t="s">
        <v>43</v>
      </c>
      <c r="J360" s="2" t="s">
        <v>2753</v>
      </c>
      <c r="K360" s="2" t="s">
        <v>2328</v>
      </c>
      <c r="L360" s="2" t="s">
        <v>29</v>
      </c>
      <c r="M360" s="2" t="s">
        <v>2110</v>
      </c>
      <c r="N360" s="2" t="s">
        <v>2754</v>
      </c>
      <c r="O360" s="2" t="s">
        <v>2755</v>
      </c>
      <c r="P360" s="2" t="s">
        <v>2756</v>
      </c>
      <c r="Q360" s="2" t="s">
        <v>33</v>
      </c>
      <c r="R360" s="2" t="s">
        <v>2757</v>
      </c>
      <c r="S360" s="2" t="s">
        <v>1140</v>
      </c>
      <c r="T360" s="2" t="s">
        <v>2758</v>
      </c>
      <c r="U360" s="2" t="s">
        <v>2759</v>
      </c>
      <c r="V360" s="2" t="s">
        <v>594</v>
      </c>
    </row>
    <row r="361" spans="1:22">
      <c r="A361" s="2" t="s">
        <v>384</v>
      </c>
      <c r="B361" s="2" t="s">
        <v>2750</v>
      </c>
      <c r="C361" s="2" t="s">
        <v>2751</v>
      </c>
      <c r="D361" s="2">
        <v>2024</v>
      </c>
      <c r="E361" s="3">
        <v>45383</v>
      </c>
      <c r="F361" s="2" t="s">
        <v>2752</v>
      </c>
      <c r="G361" s="2">
        <v>12</v>
      </c>
      <c r="H361" s="2">
        <v>8</v>
      </c>
      <c r="I361" s="2" t="s">
        <v>43</v>
      </c>
      <c r="J361" s="2" t="s">
        <v>2753</v>
      </c>
      <c r="K361" s="2" t="s">
        <v>2328</v>
      </c>
      <c r="L361" s="2" t="s">
        <v>29</v>
      </c>
      <c r="M361" s="2" t="s">
        <v>2110</v>
      </c>
      <c r="N361" s="2" t="s">
        <v>2754</v>
      </c>
      <c r="O361" s="2" t="s">
        <v>2755</v>
      </c>
      <c r="P361" s="2" t="s">
        <v>2756</v>
      </c>
      <c r="Q361" s="2" t="s">
        <v>33</v>
      </c>
      <c r="R361" s="2" t="s">
        <v>2757</v>
      </c>
      <c r="S361" s="2" t="s">
        <v>1140</v>
      </c>
      <c r="T361" s="2" t="s">
        <v>2758</v>
      </c>
      <c r="U361" s="2" t="s">
        <v>2759</v>
      </c>
      <c r="V361" s="2" t="s">
        <v>594</v>
      </c>
    </row>
    <row r="362" spans="1:22">
      <c r="A362" s="2" t="s">
        <v>422</v>
      </c>
      <c r="B362" s="2" t="s">
        <v>2760</v>
      </c>
      <c r="C362" s="2" t="s">
        <v>424</v>
      </c>
      <c r="D362" s="2">
        <v>2025</v>
      </c>
      <c r="E362" s="3">
        <v>45778</v>
      </c>
      <c r="F362" s="2" t="s">
        <v>1784</v>
      </c>
      <c r="G362" s="2">
        <v>13</v>
      </c>
      <c r="H362" s="2">
        <v>5</v>
      </c>
      <c r="I362" s="2" t="s">
        <v>43</v>
      </c>
      <c r="J362" s="2" t="s">
        <v>1785</v>
      </c>
      <c r="K362" s="2" t="s">
        <v>61</v>
      </c>
      <c r="L362" s="2" t="s">
        <v>29</v>
      </c>
      <c r="M362" s="2" t="s">
        <v>2492</v>
      </c>
      <c r="N362" s="2" t="s">
        <v>348</v>
      </c>
      <c r="O362" s="4">
        <v>1165</v>
      </c>
      <c r="P362" s="2" t="s">
        <v>2761</v>
      </c>
      <c r="Q362" s="2" t="s">
        <v>49</v>
      </c>
      <c r="R362" s="2" t="s">
        <v>2762</v>
      </c>
      <c r="S362" s="2" t="s">
        <v>79</v>
      </c>
      <c r="T362" s="2" t="s">
        <v>431</v>
      </c>
      <c r="U362" s="2" t="s">
        <v>432</v>
      </c>
      <c r="V362" s="2" t="s">
        <v>80</v>
      </c>
    </row>
    <row r="363" spans="1:22">
      <c r="A363" s="2" t="s">
        <v>2763</v>
      </c>
      <c r="B363" s="2" t="s">
        <v>2764</v>
      </c>
      <c r="C363" s="2" t="s">
        <v>2765</v>
      </c>
      <c r="D363" s="2">
        <v>2025</v>
      </c>
      <c r="E363" s="3">
        <v>45658</v>
      </c>
      <c r="F363" s="2" t="s">
        <v>2766</v>
      </c>
      <c r="G363" s="2">
        <v>62</v>
      </c>
      <c r="H363" s="2">
        <v>2</v>
      </c>
      <c r="I363" s="2" t="s">
        <v>43</v>
      </c>
      <c r="J363" s="2" t="s">
        <v>2767</v>
      </c>
      <c r="K363" s="2" t="s">
        <v>2768</v>
      </c>
      <c r="L363" s="2" t="s">
        <v>1867</v>
      </c>
      <c r="M363" s="2" t="s">
        <v>2735</v>
      </c>
      <c r="N363" s="2" t="s">
        <v>428</v>
      </c>
      <c r="O363" s="2" t="s">
        <v>2769</v>
      </c>
      <c r="P363" s="2" t="s">
        <v>2770</v>
      </c>
      <c r="Q363" s="2" t="s">
        <v>33</v>
      </c>
      <c r="R363" s="2" t="s">
        <v>2771</v>
      </c>
      <c r="S363" s="2" t="s">
        <v>398</v>
      </c>
      <c r="T363" s="2" t="s">
        <v>2772</v>
      </c>
      <c r="U363" s="2" t="s">
        <v>2773</v>
      </c>
      <c r="V363" s="2" t="s">
        <v>80</v>
      </c>
    </row>
    <row r="364" spans="1:22">
      <c r="A364" s="2" t="s">
        <v>2774</v>
      </c>
      <c r="B364" s="2" t="s">
        <v>2775</v>
      </c>
      <c r="C364" s="2" t="s">
        <v>2776</v>
      </c>
      <c r="D364" s="2">
        <v>2025</v>
      </c>
      <c r="E364" s="3">
        <v>45658</v>
      </c>
      <c r="F364" s="2" t="s">
        <v>1132</v>
      </c>
      <c r="G364" s="2">
        <v>12</v>
      </c>
      <c r="H364" s="2">
        <v>1</v>
      </c>
      <c r="I364" s="2" t="s">
        <v>43</v>
      </c>
      <c r="J364" s="2" t="s">
        <v>1133</v>
      </c>
      <c r="K364" s="2" t="s">
        <v>1134</v>
      </c>
      <c r="L364" s="2" t="s">
        <v>29</v>
      </c>
      <c r="M364" s="2" t="s">
        <v>839</v>
      </c>
      <c r="N364" s="2" t="s">
        <v>1520</v>
      </c>
      <c r="O364" s="2" t="s">
        <v>1658</v>
      </c>
      <c r="P364" s="2" t="s">
        <v>2777</v>
      </c>
      <c r="Q364" s="2" t="s">
        <v>33</v>
      </c>
      <c r="R364" s="2" t="s">
        <v>2778</v>
      </c>
      <c r="S364" s="2" t="s">
        <v>1140</v>
      </c>
      <c r="T364" s="2" t="s">
        <v>2779</v>
      </c>
      <c r="U364" s="2" t="s">
        <v>2780</v>
      </c>
      <c r="V364" s="2" t="s">
        <v>594</v>
      </c>
    </row>
    <row r="365" spans="1:22">
      <c r="A365" s="2" t="s">
        <v>1551</v>
      </c>
      <c r="B365" s="2" t="s">
        <v>2781</v>
      </c>
      <c r="C365" s="2" t="s">
        <v>2782</v>
      </c>
      <c r="D365" s="2">
        <v>2024</v>
      </c>
      <c r="E365" s="3">
        <v>45627</v>
      </c>
      <c r="F365" s="2" t="s">
        <v>2783</v>
      </c>
      <c r="G365" s="2">
        <v>75</v>
      </c>
      <c r="H365" s="2" t="s">
        <v>43</v>
      </c>
      <c r="I365" s="2" t="s">
        <v>43</v>
      </c>
      <c r="J365" s="2" t="s">
        <v>2784</v>
      </c>
      <c r="K365" s="2" t="s">
        <v>45</v>
      </c>
      <c r="L365" s="2" t="s">
        <v>29</v>
      </c>
      <c r="M365" s="2" t="s">
        <v>2785</v>
      </c>
      <c r="N365" s="2" t="s">
        <v>961</v>
      </c>
      <c r="O365" s="2" t="s">
        <v>2786</v>
      </c>
      <c r="P365" s="2" t="s">
        <v>2787</v>
      </c>
      <c r="Q365" s="2" t="s">
        <v>33</v>
      </c>
      <c r="R365" s="2" t="s">
        <v>2788</v>
      </c>
      <c r="S365" s="2" t="s">
        <v>2789</v>
      </c>
      <c r="T365" s="2" t="s">
        <v>2790</v>
      </c>
      <c r="U365" s="2" t="s">
        <v>2791</v>
      </c>
      <c r="V365" s="2" t="s">
        <v>80</v>
      </c>
    </row>
    <row r="366" spans="1:22">
      <c r="A366" s="2" t="s">
        <v>1559</v>
      </c>
      <c r="B366" s="2" t="s">
        <v>2781</v>
      </c>
      <c r="C366" s="2" t="s">
        <v>2782</v>
      </c>
      <c r="D366" s="2">
        <v>2024</v>
      </c>
      <c r="E366" s="3">
        <v>45627</v>
      </c>
      <c r="F366" s="2" t="s">
        <v>2783</v>
      </c>
      <c r="G366" s="2">
        <v>75</v>
      </c>
      <c r="H366" s="2" t="s">
        <v>43</v>
      </c>
      <c r="I366" s="2" t="s">
        <v>43</v>
      </c>
      <c r="J366" s="2" t="s">
        <v>2784</v>
      </c>
      <c r="K366" s="2" t="s">
        <v>45</v>
      </c>
      <c r="L366" s="2" t="s">
        <v>29</v>
      </c>
      <c r="M366" s="2" t="s">
        <v>2785</v>
      </c>
      <c r="N366" s="2" t="s">
        <v>961</v>
      </c>
      <c r="O366" s="2" t="s">
        <v>2786</v>
      </c>
      <c r="P366" s="2" t="s">
        <v>2787</v>
      </c>
      <c r="Q366" s="2" t="s">
        <v>33</v>
      </c>
      <c r="R366" s="2" t="s">
        <v>2788</v>
      </c>
      <c r="S366" s="2" t="s">
        <v>2789</v>
      </c>
      <c r="T366" s="2" t="s">
        <v>2790</v>
      </c>
      <c r="U366" s="2" t="s">
        <v>2791</v>
      </c>
      <c r="V366" s="2" t="s">
        <v>80</v>
      </c>
    </row>
    <row r="367" spans="1:22" ht="43.2">
      <c r="A367" s="2" t="s">
        <v>2792</v>
      </c>
      <c r="B367" s="2" t="s">
        <v>2793</v>
      </c>
      <c r="C367" s="2" t="s">
        <v>2794</v>
      </c>
      <c r="D367" s="2">
        <v>2025</v>
      </c>
      <c r="E367" s="3">
        <v>45809</v>
      </c>
      <c r="F367" s="2" t="s">
        <v>2795</v>
      </c>
      <c r="G367" s="2">
        <v>15</v>
      </c>
      <c r="H367" s="2">
        <v>6</v>
      </c>
      <c r="I367" s="2" t="s">
        <v>43</v>
      </c>
      <c r="J367" s="2" t="s">
        <v>2796</v>
      </c>
      <c r="K367" s="2" t="s">
        <v>1258</v>
      </c>
      <c r="L367" s="2" t="s">
        <v>29</v>
      </c>
      <c r="M367" s="2" t="s">
        <v>2052</v>
      </c>
      <c r="N367" s="2" t="s">
        <v>2797</v>
      </c>
      <c r="O367" s="2" t="s">
        <v>2798</v>
      </c>
      <c r="P367" s="2" t="s">
        <v>2799</v>
      </c>
      <c r="Q367" s="2" t="s">
        <v>33</v>
      </c>
      <c r="R367" s="2" t="s">
        <v>2800</v>
      </c>
      <c r="S367" s="2" t="s">
        <v>2801</v>
      </c>
      <c r="T367" s="2" t="s">
        <v>2802</v>
      </c>
      <c r="U367" s="2" t="s">
        <v>2803</v>
      </c>
      <c r="V367" s="2" t="s">
        <v>2804</v>
      </c>
    </row>
    <row r="368" spans="1:22">
      <c r="A368" s="2" t="s">
        <v>1916</v>
      </c>
      <c r="B368" s="2" t="s">
        <v>2805</v>
      </c>
      <c r="C368" s="2" t="s">
        <v>2806</v>
      </c>
      <c r="D368" s="2">
        <v>2024</v>
      </c>
      <c r="E368" s="3">
        <v>45566</v>
      </c>
      <c r="F368" s="2" t="s">
        <v>2807</v>
      </c>
      <c r="G368" s="2">
        <v>41</v>
      </c>
      <c r="H368" s="2">
        <v>2</v>
      </c>
      <c r="I368" s="2" t="s">
        <v>2808</v>
      </c>
      <c r="J368" s="2" t="s">
        <v>2809</v>
      </c>
      <c r="K368" s="2" t="s">
        <v>1624</v>
      </c>
      <c r="L368" s="2" t="s">
        <v>29</v>
      </c>
      <c r="M368" s="2" t="s">
        <v>745</v>
      </c>
      <c r="N368" s="2" t="s">
        <v>374</v>
      </c>
      <c r="O368" s="4">
        <v>1177</v>
      </c>
      <c r="P368" s="2" t="s">
        <v>2810</v>
      </c>
      <c r="Q368" s="2" t="s">
        <v>33</v>
      </c>
      <c r="R368" s="2" t="s">
        <v>2811</v>
      </c>
      <c r="S368" s="2" t="s">
        <v>2812</v>
      </c>
      <c r="T368" s="2" t="s">
        <v>2813</v>
      </c>
      <c r="U368" s="2" t="s">
        <v>2814</v>
      </c>
      <c r="V368" s="2" t="s">
        <v>621</v>
      </c>
    </row>
    <row r="369" spans="1:22">
      <c r="A369" s="2" t="s">
        <v>2629</v>
      </c>
      <c r="B369" s="2" t="s">
        <v>2805</v>
      </c>
      <c r="C369" s="2" t="s">
        <v>2806</v>
      </c>
      <c r="D369" s="2">
        <v>2024</v>
      </c>
      <c r="E369" s="3">
        <v>45566</v>
      </c>
      <c r="F369" s="2" t="s">
        <v>2807</v>
      </c>
      <c r="G369" s="2">
        <v>41</v>
      </c>
      <c r="H369" s="2">
        <v>2</v>
      </c>
      <c r="I369" s="2" t="s">
        <v>2808</v>
      </c>
      <c r="J369" s="2" t="s">
        <v>2809</v>
      </c>
      <c r="K369" s="2" t="s">
        <v>1624</v>
      </c>
      <c r="L369" s="2" t="s">
        <v>29</v>
      </c>
      <c r="M369" s="2" t="s">
        <v>745</v>
      </c>
      <c r="N369" s="2" t="s">
        <v>374</v>
      </c>
      <c r="O369" s="4">
        <v>1177</v>
      </c>
      <c r="P369" s="2" t="s">
        <v>2810</v>
      </c>
      <c r="Q369" s="2" t="s">
        <v>33</v>
      </c>
      <c r="R369" s="2" t="s">
        <v>2811</v>
      </c>
      <c r="S369" s="2" t="s">
        <v>2812</v>
      </c>
      <c r="T369" s="2" t="s">
        <v>2813</v>
      </c>
      <c r="U369" s="2" t="s">
        <v>2814</v>
      </c>
      <c r="V369" s="2" t="s">
        <v>621</v>
      </c>
    </row>
    <row r="370" spans="1:22">
      <c r="A370" s="2" t="s">
        <v>1369</v>
      </c>
      <c r="B370" s="2" t="s">
        <v>2805</v>
      </c>
      <c r="C370" s="2" t="s">
        <v>2806</v>
      </c>
      <c r="D370" s="2">
        <v>2024</v>
      </c>
      <c r="E370" s="3">
        <v>45566</v>
      </c>
      <c r="F370" s="2" t="s">
        <v>2807</v>
      </c>
      <c r="G370" s="2">
        <v>41</v>
      </c>
      <c r="H370" s="2">
        <v>2</v>
      </c>
      <c r="I370" s="2" t="s">
        <v>2808</v>
      </c>
      <c r="J370" s="2" t="s">
        <v>2809</v>
      </c>
      <c r="K370" s="2" t="s">
        <v>1624</v>
      </c>
      <c r="L370" s="2" t="s">
        <v>29</v>
      </c>
      <c r="M370" s="2" t="s">
        <v>745</v>
      </c>
      <c r="N370" s="2" t="s">
        <v>374</v>
      </c>
      <c r="O370" s="4">
        <v>1177</v>
      </c>
      <c r="P370" s="2" t="s">
        <v>2810</v>
      </c>
      <c r="Q370" s="2" t="s">
        <v>33</v>
      </c>
      <c r="R370" s="2" t="s">
        <v>2811</v>
      </c>
      <c r="S370" s="2" t="s">
        <v>2812</v>
      </c>
      <c r="T370" s="2" t="s">
        <v>2813</v>
      </c>
      <c r="U370" s="2" t="s">
        <v>2814</v>
      </c>
      <c r="V370" s="2" t="s">
        <v>621</v>
      </c>
    </row>
    <row r="371" spans="1:22">
      <c r="A371" s="2" t="s">
        <v>2608</v>
      </c>
      <c r="B371" s="2" t="s">
        <v>2805</v>
      </c>
      <c r="C371" s="2" t="s">
        <v>2806</v>
      </c>
      <c r="D371" s="2">
        <v>2024</v>
      </c>
      <c r="E371" s="3">
        <v>45566</v>
      </c>
      <c r="F371" s="2" t="s">
        <v>2807</v>
      </c>
      <c r="G371" s="2">
        <v>41</v>
      </c>
      <c r="H371" s="2">
        <v>2</v>
      </c>
      <c r="I371" s="2" t="s">
        <v>2808</v>
      </c>
      <c r="J371" s="2" t="s">
        <v>2809</v>
      </c>
      <c r="K371" s="2" t="s">
        <v>1624</v>
      </c>
      <c r="L371" s="2" t="s">
        <v>29</v>
      </c>
      <c r="M371" s="2" t="s">
        <v>745</v>
      </c>
      <c r="N371" s="2" t="s">
        <v>374</v>
      </c>
      <c r="O371" s="4">
        <v>1177</v>
      </c>
      <c r="P371" s="2" t="s">
        <v>2810</v>
      </c>
      <c r="Q371" s="2" t="s">
        <v>33</v>
      </c>
      <c r="R371" s="2" t="s">
        <v>2811</v>
      </c>
      <c r="S371" s="2" t="s">
        <v>2812</v>
      </c>
      <c r="T371" s="2" t="s">
        <v>2813</v>
      </c>
      <c r="U371" s="2" t="s">
        <v>2814</v>
      </c>
      <c r="V371" s="2" t="s">
        <v>621</v>
      </c>
    </row>
    <row r="372" spans="1:22">
      <c r="A372" s="2" t="s">
        <v>1344</v>
      </c>
      <c r="B372" s="2" t="s">
        <v>2805</v>
      </c>
      <c r="C372" s="2" t="s">
        <v>2806</v>
      </c>
      <c r="D372" s="2">
        <v>2024</v>
      </c>
      <c r="E372" s="3">
        <v>45566</v>
      </c>
      <c r="F372" s="2" t="s">
        <v>2807</v>
      </c>
      <c r="G372" s="2">
        <v>41</v>
      </c>
      <c r="H372" s="2">
        <v>2</v>
      </c>
      <c r="I372" s="2" t="s">
        <v>2808</v>
      </c>
      <c r="J372" s="2" t="s">
        <v>2809</v>
      </c>
      <c r="K372" s="2" t="s">
        <v>1624</v>
      </c>
      <c r="L372" s="2" t="s">
        <v>29</v>
      </c>
      <c r="M372" s="2" t="s">
        <v>745</v>
      </c>
      <c r="N372" s="2" t="s">
        <v>374</v>
      </c>
      <c r="O372" s="4">
        <v>1177</v>
      </c>
      <c r="P372" s="2" t="s">
        <v>2810</v>
      </c>
      <c r="Q372" s="2" t="s">
        <v>33</v>
      </c>
      <c r="R372" s="2" t="s">
        <v>2811</v>
      </c>
      <c r="S372" s="2" t="s">
        <v>2812</v>
      </c>
      <c r="T372" s="2" t="s">
        <v>2813</v>
      </c>
      <c r="U372" s="2" t="s">
        <v>2814</v>
      </c>
      <c r="V372" s="2" t="s">
        <v>621</v>
      </c>
    </row>
    <row r="373" spans="1:22" ht="201.6">
      <c r="A373" s="2" t="s">
        <v>2815</v>
      </c>
      <c r="B373" s="2" t="s">
        <v>2816</v>
      </c>
      <c r="C373" s="2" t="s">
        <v>2817</v>
      </c>
      <c r="D373" s="2">
        <v>2025</v>
      </c>
      <c r="E373" s="3">
        <v>45854</v>
      </c>
      <c r="F373" s="2" t="s">
        <v>2818</v>
      </c>
      <c r="G373" s="2">
        <v>68</v>
      </c>
      <c r="H373" s="2">
        <v>1</v>
      </c>
      <c r="I373" s="2" t="s">
        <v>43</v>
      </c>
      <c r="J373" s="2" t="s">
        <v>2819</v>
      </c>
      <c r="K373" s="2" t="s">
        <v>613</v>
      </c>
      <c r="L373" s="2" t="s">
        <v>29</v>
      </c>
      <c r="M373" s="2" t="s">
        <v>121</v>
      </c>
      <c r="N373" s="2" t="s">
        <v>234</v>
      </c>
      <c r="O373" s="4">
        <v>1769</v>
      </c>
      <c r="P373" s="2" t="s">
        <v>2820</v>
      </c>
      <c r="Q373" s="2" t="s">
        <v>33</v>
      </c>
      <c r="R373" s="2" t="s">
        <v>2821</v>
      </c>
      <c r="S373" s="2" t="s">
        <v>2822</v>
      </c>
      <c r="T373" s="2" t="s">
        <v>2823</v>
      </c>
      <c r="U373" s="2" t="s">
        <v>2824</v>
      </c>
      <c r="V373" s="2" t="s">
        <v>2825</v>
      </c>
    </row>
    <row r="374" spans="1:22" ht="28.8">
      <c r="A374" s="2" t="s">
        <v>39</v>
      </c>
      <c r="B374" s="2" t="s">
        <v>2826</v>
      </c>
      <c r="C374" s="2" t="s">
        <v>2827</v>
      </c>
      <c r="D374" s="2">
        <v>2024</v>
      </c>
      <c r="E374" s="3">
        <v>45627</v>
      </c>
      <c r="F374" s="2" t="s">
        <v>1293</v>
      </c>
      <c r="G374" s="2">
        <v>14</v>
      </c>
      <c r="H374" s="2">
        <v>1</v>
      </c>
      <c r="I374" s="2" t="s">
        <v>43</v>
      </c>
      <c r="J374" s="2" t="s">
        <v>1294</v>
      </c>
      <c r="K374" s="2" t="s">
        <v>220</v>
      </c>
      <c r="L374" s="2" t="s">
        <v>29</v>
      </c>
      <c r="M374" s="2" t="s">
        <v>614</v>
      </c>
      <c r="N374" s="2" t="s">
        <v>374</v>
      </c>
      <c r="O374" s="2" t="s">
        <v>1295</v>
      </c>
      <c r="P374" s="2" t="s">
        <v>2828</v>
      </c>
      <c r="Q374" s="2" t="s">
        <v>33</v>
      </c>
      <c r="R374" s="2" t="s">
        <v>2829</v>
      </c>
      <c r="S374" s="2" t="s">
        <v>2830</v>
      </c>
      <c r="T374" s="2" t="s">
        <v>2831</v>
      </c>
      <c r="U374" s="2" t="s">
        <v>2832</v>
      </c>
      <c r="V374" s="2" t="s">
        <v>1044</v>
      </c>
    </row>
    <row r="375" spans="1:22" ht="28.8">
      <c r="A375" s="2" t="s">
        <v>964</v>
      </c>
      <c r="B375" s="2" t="s">
        <v>2826</v>
      </c>
      <c r="C375" s="2" t="s">
        <v>2827</v>
      </c>
      <c r="D375" s="2">
        <v>2024</v>
      </c>
      <c r="E375" s="3">
        <v>45627</v>
      </c>
      <c r="F375" s="2" t="s">
        <v>1293</v>
      </c>
      <c r="G375" s="2">
        <v>14</v>
      </c>
      <c r="H375" s="2">
        <v>1</v>
      </c>
      <c r="I375" s="2" t="s">
        <v>43</v>
      </c>
      <c r="J375" s="2" t="s">
        <v>1294</v>
      </c>
      <c r="K375" s="2" t="s">
        <v>220</v>
      </c>
      <c r="L375" s="2" t="s">
        <v>29</v>
      </c>
      <c r="M375" s="2" t="s">
        <v>614</v>
      </c>
      <c r="N375" s="2" t="s">
        <v>374</v>
      </c>
      <c r="O375" s="2" t="s">
        <v>1295</v>
      </c>
      <c r="P375" s="2" t="s">
        <v>2828</v>
      </c>
      <c r="Q375" s="2" t="s">
        <v>33</v>
      </c>
      <c r="R375" s="2" t="s">
        <v>2829</v>
      </c>
      <c r="S375" s="2" t="s">
        <v>2830</v>
      </c>
      <c r="T375" s="2" t="s">
        <v>2831</v>
      </c>
      <c r="U375" s="2" t="s">
        <v>2832</v>
      </c>
      <c r="V375" s="2" t="s">
        <v>1044</v>
      </c>
    </row>
    <row r="376" spans="1:22" ht="28.8">
      <c r="A376" s="2" t="s">
        <v>2833</v>
      </c>
      <c r="B376" s="2" t="s">
        <v>2826</v>
      </c>
      <c r="C376" s="2" t="s">
        <v>2827</v>
      </c>
      <c r="D376" s="2">
        <v>2024</v>
      </c>
      <c r="E376" s="3">
        <v>45627</v>
      </c>
      <c r="F376" s="2" t="s">
        <v>1293</v>
      </c>
      <c r="G376" s="2">
        <v>14</v>
      </c>
      <c r="H376" s="2">
        <v>1</v>
      </c>
      <c r="I376" s="2" t="s">
        <v>43</v>
      </c>
      <c r="J376" s="2" t="s">
        <v>1294</v>
      </c>
      <c r="K376" s="2" t="s">
        <v>220</v>
      </c>
      <c r="L376" s="2" t="s">
        <v>29</v>
      </c>
      <c r="M376" s="2" t="s">
        <v>614</v>
      </c>
      <c r="N376" s="2" t="s">
        <v>374</v>
      </c>
      <c r="O376" s="2" t="s">
        <v>1295</v>
      </c>
      <c r="P376" s="2" t="s">
        <v>2828</v>
      </c>
      <c r="Q376" s="2" t="s">
        <v>33</v>
      </c>
      <c r="R376" s="2" t="s">
        <v>2829</v>
      </c>
      <c r="S376" s="2" t="s">
        <v>2830</v>
      </c>
      <c r="T376" s="2" t="s">
        <v>2831</v>
      </c>
      <c r="U376" s="2" t="s">
        <v>2832</v>
      </c>
      <c r="V376" s="2" t="s">
        <v>1044</v>
      </c>
    </row>
    <row r="377" spans="1:22" ht="28.8">
      <c r="A377" s="2" t="s">
        <v>384</v>
      </c>
      <c r="B377" s="2" t="s">
        <v>2826</v>
      </c>
      <c r="C377" s="2" t="s">
        <v>2827</v>
      </c>
      <c r="D377" s="2">
        <v>2024</v>
      </c>
      <c r="E377" s="3">
        <v>45627</v>
      </c>
      <c r="F377" s="2" t="s">
        <v>1293</v>
      </c>
      <c r="G377" s="2">
        <v>14</v>
      </c>
      <c r="H377" s="2">
        <v>1</v>
      </c>
      <c r="I377" s="2" t="s">
        <v>43</v>
      </c>
      <c r="J377" s="2" t="s">
        <v>1294</v>
      </c>
      <c r="K377" s="2" t="s">
        <v>220</v>
      </c>
      <c r="L377" s="2" t="s">
        <v>29</v>
      </c>
      <c r="M377" s="2" t="s">
        <v>614</v>
      </c>
      <c r="N377" s="2" t="s">
        <v>374</v>
      </c>
      <c r="O377" s="2" t="s">
        <v>1295</v>
      </c>
      <c r="P377" s="2" t="s">
        <v>2828</v>
      </c>
      <c r="Q377" s="2" t="s">
        <v>33</v>
      </c>
      <c r="R377" s="2" t="s">
        <v>2829</v>
      </c>
      <c r="S377" s="2" t="s">
        <v>2830</v>
      </c>
      <c r="T377" s="2" t="s">
        <v>2831</v>
      </c>
      <c r="U377" s="2" t="s">
        <v>2832</v>
      </c>
      <c r="V377" s="2" t="s">
        <v>1044</v>
      </c>
    </row>
    <row r="378" spans="1:22" ht="28.8">
      <c r="A378" s="2" t="s">
        <v>55</v>
      </c>
      <c r="B378" s="2" t="s">
        <v>2826</v>
      </c>
      <c r="C378" s="2" t="s">
        <v>2827</v>
      </c>
      <c r="D378" s="2">
        <v>2024</v>
      </c>
      <c r="E378" s="3">
        <v>45627</v>
      </c>
      <c r="F378" s="2" t="s">
        <v>1293</v>
      </c>
      <c r="G378" s="2">
        <v>14</v>
      </c>
      <c r="H378" s="2">
        <v>1</v>
      </c>
      <c r="I378" s="2" t="s">
        <v>43</v>
      </c>
      <c r="J378" s="2" t="s">
        <v>1294</v>
      </c>
      <c r="K378" s="2" t="s">
        <v>220</v>
      </c>
      <c r="L378" s="2" t="s">
        <v>29</v>
      </c>
      <c r="M378" s="2" t="s">
        <v>614</v>
      </c>
      <c r="N378" s="2" t="s">
        <v>374</v>
      </c>
      <c r="O378" s="2" t="s">
        <v>1295</v>
      </c>
      <c r="P378" s="2" t="s">
        <v>2828</v>
      </c>
      <c r="Q378" s="2" t="s">
        <v>33</v>
      </c>
      <c r="R378" s="2" t="s">
        <v>2829</v>
      </c>
      <c r="S378" s="2" t="s">
        <v>2830</v>
      </c>
      <c r="T378" s="2" t="s">
        <v>2831</v>
      </c>
      <c r="U378" s="2" t="s">
        <v>2832</v>
      </c>
      <c r="V378" s="2" t="s">
        <v>1044</v>
      </c>
    </row>
    <row r="379" spans="1:22" ht="28.8">
      <c r="A379" s="2" t="s">
        <v>2834</v>
      </c>
      <c r="B379" s="2" t="s">
        <v>2826</v>
      </c>
      <c r="C379" s="2" t="s">
        <v>2827</v>
      </c>
      <c r="D379" s="2">
        <v>2024</v>
      </c>
      <c r="E379" s="3">
        <v>45627</v>
      </c>
      <c r="F379" s="2" t="s">
        <v>1293</v>
      </c>
      <c r="G379" s="2">
        <v>14</v>
      </c>
      <c r="H379" s="2">
        <v>1</v>
      </c>
      <c r="I379" s="2" t="s">
        <v>43</v>
      </c>
      <c r="J379" s="2" t="s">
        <v>1294</v>
      </c>
      <c r="K379" s="2" t="s">
        <v>220</v>
      </c>
      <c r="L379" s="2" t="s">
        <v>29</v>
      </c>
      <c r="M379" s="2" t="s">
        <v>614</v>
      </c>
      <c r="N379" s="2" t="s">
        <v>374</v>
      </c>
      <c r="O379" s="2" t="s">
        <v>1295</v>
      </c>
      <c r="P379" s="2" t="s">
        <v>2828</v>
      </c>
      <c r="Q379" s="2" t="s">
        <v>33</v>
      </c>
      <c r="R379" s="2" t="s">
        <v>2829</v>
      </c>
      <c r="S379" s="2" t="s">
        <v>2830</v>
      </c>
      <c r="T379" s="2" t="s">
        <v>2831</v>
      </c>
      <c r="U379" s="2" t="s">
        <v>2832</v>
      </c>
      <c r="V379" s="2" t="s">
        <v>1044</v>
      </c>
    </row>
    <row r="380" spans="1:22">
      <c r="A380" s="2" t="s">
        <v>1282</v>
      </c>
      <c r="B380" s="2" t="s">
        <v>2835</v>
      </c>
      <c r="C380" s="2" t="s">
        <v>2836</v>
      </c>
      <c r="D380" s="2">
        <v>2025</v>
      </c>
      <c r="E380" s="3">
        <v>45778</v>
      </c>
      <c r="F380" s="2" t="s">
        <v>2837</v>
      </c>
      <c r="G380" s="2">
        <v>20</v>
      </c>
      <c r="H380" s="2">
        <v>5</v>
      </c>
      <c r="I380" s="2" t="s">
        <v>43</v>
      </c>
      <c r="J380" s="2" t="s">
        <v>2471</v>
      </c>
      <c r="K380" s="2" t="s">
        <v>2472</v>
      </c>
      <c r="L380" s="2" t="s">
        <v>29</v>
      </c>
      <c r="M380" s="2" t="s">
        <v>2838</v>
      </c>
      <c r="N380" s="2" t="s">
        <v>63</v>
      </c>
      <c r="O380" s="2" t="s">
        <v>2839</v>
      </c>
      <c r="P380" s="2" t="s">
        <v>2840</v>
      </c>
      <c r="Q380" s="2" t="s">
        <v>33</v>
      </c>
      <c r="R380" s="2" t="s">
        <v>2841</v>
      </c>
      <c r="S380" s="2" t="s">
        <v>2842</v>
      </c>
      <c r="T380" s="2" t="s">
        <v>2843</v>
      </c>
      <c r="U380" s="2" t="s">
        <v>2844</v>
      </c>
      <c r="V380" s="2" t="s">
        <v>2845</v>
      </c>
    </row>
    <row r="381" spans="1:22">
      <c r="A381" s="2" t="s">
        <v>1176</v>
      </c>
      <c r="B381" s="2" t="s">
        <v>2846</v>
      </c>
      <c r="C381" s="2" t="s">
        <v>2847</v>
      </c>
      <c r="D381" s="2">
        <v>2024</v>
      </c>
      <c r="E381" s="3">
        <v>45352</v>
      </c>
      <c r="F381" s="2" t="s">
        <v>2848</v>
      </c>
      <c r="G381" s="2">
        <v>13</v>
      </c>
      <c r="H381" s="2">
        <v>6</v>
      </c>
      <c r="I381" s="2" t="s">
        <v>43</v>
      </c>
      <c r="J381" s="2" t="s">
        <v>2849</v>
      </c>
      <c r="K381" s="2" t="s">
        <v>61</v>
      </c>
      <c r="L381" s="2" t="s">
        <v>29</v>
      </c>
      <c r="M381" s="2" t="s">
        <v>2850</v>
      </c>
      <c r="N381" s="2" t="s">
        <v>75</v>
      </c>
      <c r="O381" s="2" t="s">
        <v>2851</v>
      </c>
      <c r="P381" s="2" t="s">
        <v>2852</v>
      </c>
      <c r="Q381" s="2" t="s">
        <v>33</v>
      </c>
      <c r="R381" s="2" t="s">
        <v>2853</v>
      </c>
      <c r="S381" s="2" t="s">
        <v>2854</v>
      </c>
      <c r="T381" s="2" t="s">
        <v>2855</v>
      </c>
      <c r="U381" s="2" t="s">
        <v>2856</v>
      </c>
      <c r="V381" s="2" t="s">
        <v>80</v>
      </c>
    </row>
    <row r="382" spans="1:22">
      <c r="A382" s="2" t="s">
        <v>265</v>
      </c>
      <c r="B382" s="2" t="s">
        <v>2846</v>
      </c>
      <c r="C382" s="2" t="s">
        <v>2847</v>
      </c>
      <c r="D382" s="2">
        <v>2024</v>
      </c>
      <c r="E382" s="3">
        <v>45352</v>
      </c>
      <c r="F382" s="2" t="s">
        <v>2848</v>
      </c>
      <c r="G382" s="2">
        <v>13</v>
      </c>
      <c r="H382" s="2">
        <v>6</v>
      </c>
      <c r="I382" s="2" t="s">
        <v>43</v>
      </c>
      <c r="J382" s="2" t="s">
        <v>2849</v>
      </c>
      <c r="K382" s="2" t="s">
        <v>61</v>
      </c>
      <c r="L382" s="2" t="s">
        <v>29</v>
      </c>
      <c r="M382" s="2" t="s">
        <v>2850</v>
      </c>
      <c r="N382" s="2" t="s">
        <v>75</v>
      </c>
      <c r="O382" s="2" t="s">
        <v>2851</v>
      </c>
      <c r="P382" s="2" t="s">
        <v>2852</v>
      </c>
      <c r="Q382" s="2" t="s">
        <v>33</v>
      </c>
      <c r="R382" s="2" t="s">
        <v>2853</v>
      </c>
      <c r="S382" s="2" t="s">
        <v>2854</v>
      </c>
      <c r="T382" s="2" t="s">
        <v>2855</v>
      </c>
      <c r="U382" s="2" t="s">
        <v>2856</v>
      </c>
      <c r="V382" s="2" t="s">
        <v>80</v>
      </c>
    </row>
    <row r="383" spans="1:22">
      <c r="A383" s="2" t="s">
        <v>228</v>
      </c>
      <c r="B383" s="2" t="s">
        <v>2857</v>
      </c>
      <c r="C383" s="2" t="s">
        <v>2858</v>
      </c>
      <c r="D383" s="2">
        <v>2025</v>
      </c>
      <c r="E383" s="3">
        <v>45992</v>
      </c>
      <c r="F383" s="2" t="s">
        <v>231</v>
      </c>
      <c r="G383" s="2">
        <v>29</v>
      </c>
      <c r="H383" s="2">
        <v>1</v>
      </c>
      <c r="I383" s="2" t="s">
        <v>43</v>
      </c>
      <c r="J383" s="2" t="s">
        <v>232</v>
      </c>
      <c r="K383" s="2" t="s">
        <v>233</v>
      </c>
      <c r="L383" s="2" t="s">
        <v>29</v>
      </c>
      <c r="M383" s="2" t="s">
        <v>234</v>
      </c>
      <c r="N383" s="2" t="s">
        <v>31</v>
      </c>
      <c r="O383" s="4">
        <v>3002</v>
      </c>
      <c r="P383" s="2" t="s">
        <v>2859</v>
      </c>
      <c r="Q383" s="2" t="s">
        <v>644</v>
      </c>
      <c r="R383" s="2" t="s">
        <v>2860</v>
      </c>
      <c r="S383" s="2" t="s">
        <v>2861</v>
      </c>
      <c r="T383" s="2" t="s">
        <v>2862</v>
      </c>
      <c r="U383" s="2" t="s">
        <v>2863</v>
      </c>
      <c r="V383" s="2" t="s">
        <v>80</v>
      </c>
    </row>
    <row r="384" spans="1:22" ht="28.8">
      <c r="A384" s="2" t="s">
        <v>2864</v>
      </c>
      <c r="B384" s="2" t="s">
        <v>2865</v>
      </c>
      <c r="C384" s="2" t="s">
        <v>2866</v>
      </c>
      <c r="D384" s="2">
        <v>2025</v>
      </c>
      <c r="E384" s="3">
        <v>45962</v>
      </c>
      <c r="F384" s="2" t="s">
        <v>2867</v>
      </c>
      <c r="G384" s="2">
        <v>60</v>
      </c>
      <c r="H384" s="2">
        <v>44</v>
      </c>
      <c r="I384" s="2" t="s">
        <v>2868</v>
      </c>
      <c r="J384" s="2" t="s">
        <v>2869</v>
      </c>
      <c r="K384" s="2" t="s">
        <v>1624</v>
      </c>
      <c r="L384" s="2" t="s">
        <v>29</v>
      </c>
      <c r="M384" s="2" t="s">
        <v>121</v>
      </c>
      <c r="N384" s="2" t="s">
        <v>293</v>
      </c>
      <c r="O384" s="2" t="s">
        <v>2870</v>
      </c>
      <c r="P384" s="2" t="s">
        <v>2871</v>
      </c>
      <c r="Q384" s="2" t="s">
        <v>33</v>
      </c>
      <c r="R384" s="2" t="s">
        <v>2872</v>
      </c>
      <c r="S384" s="2" t="s">
        <v>2873</v>
      </c>
      <c r="T384" s="2" t="s">
        <v>2874</v>
      </c>
      <c r="U384" s="2" t="s">
        <v>2875</v>
      </c>
      <c r="V384" s="2" t="s">
        <v>2876</v>
      </c>
    </row>
    <row r="385" spans="1:22">
      <c r="A385" s="2" t="s">
        <v>2877</v>
      </c>
      <c r="B385" s="2" t="s">
        <v>2878</v>
      </c>
      <c r="C385" s="2" t="s">
        <v>2879</v>
      </c>
      <c r="D385" s="2">
        <v>2024</v>
      </c>
      <c r="E385" s="3">
        <v>45413</v>
      </c>
      <c r="F385" s="2" t="s">
        <v>2880</v>
      </c>
      <c r="G385" s="2">
        <v>13</v>
      </c>
      <c r="H385" s="2">
        <v>2</v>
      </c>
      <c r="I385" s="2" t="s">
        <v>2881</v>
      </c>
      <c r="J385" s="2" t="s">
        <v>2882</v>
      </c>
      <c r="K385" s="2" t="s">
        <v>2883</v>
      </c>
      <c r="L385" s="2" t="s">
        <v>29</v>
      </c>
      <c r="M385" s="2" t="s">
        <v>774</v>
      </c>
      <c r="N385" s="2" t="s">
        <v>1327</v>
      </c>
      <c r="O385" s="2" t="s">
        <v>2884</v>
      </c>
      <c r="P385" s="2" t="s">
        <v>2885</v>
      </c>
      <c r="Q385" s="2" t="s">
        <v>33</v>
      </c>
      <c r="R385" s="2" t="s">
        <v>2886</v>
      </c>
      <c r="S385" s="2" t="s">
        <v>2887</v>
      </c>
      <c r="T385" s="2" t="s">
        <v>2888</v>
      </c>
      <c r="U385" s="2" t="s">
        <v>2887</v>
      </c>
      <c r="V385" s="2" t="s">
        <v>80</v>
      </c>
    </row>
    <row r="386" spans="1:22">
      <c r="A386" s="2" t="s">
        <v>2889</v>
      </c>
      <c r="B386" s="2" t="s">
        <v>2878</v>
      </c>
      <c r="C386" s="2" t="s">
        <v>2879</v>
      </c>
      <c r="D386" s="2">
        <v>2024</v>
      </c>
      <c r="E386" s="3">
        <v>45413</v>
      </c>
      <c r="F386" s="2" t="s">
        <v>2880</v>
      </c>
      <c r="G386" s="2">
        <v>13</v>
      </c>
      <c r="H386" s="2">
        <v>2</v>
      </c>
      <c r="I386" s="2" t="s">
        <v>2881</v>
      </c>
      <c r="J386" s="2" t="s">
        <v>2882</v>
      </c>
      <c r="K386" s="2" t="s">
        <v>2883</v>
      </c>
      <c r="L386" s="2" t="s">
        <v>29</v>
      </c>
      <c r="M386" s="2" t="s">
        <v>774</v>
      </c>
      <c r="N386" s="2" t="s">
        <v>1327</v>
      </c>
      <c r="O386" s="2" t="s">
        <v>2884</v>
      </c>
      <c r="P386" s="2" t="s">
        <v>2885</v>
      </c>
      <c r="Q386" s="2" t="s">
        <v>33</v>
      </c>
      <c r="R386" s="2" t="s">
        <v>2886</v>
      </c>
      <c r="S386" s="2" t="s">
        <v>2887</v>
      </c>
      <c r="T386" s="2" t="s">
        <v>2888</v>
      </c>
      <c r="U386" s="2" t="s">
        <v>2887</v>
      </c>
      <c r="V386" s="2" t="s">
        <v>80</v>
      </c>
    </row>
    <row r="387" spans="1:22">
      <c r="A387" s="2" t="s">
        <v>1619</v>
      </c>
      <c r="B387" s="2" t="s">
        <v>2890</v>
      </c>
      <c r="C387" s="2" t="s">
        <v>2891</v>
      </c>
      <c r="D387" s="2">
        <v>2024</v>
      </c>
      <c r="E387" s="3">
        <v>45292</v>
      </c>
      <c r="F387" s="2" t="s">
        <v>2892</v>
      </c>
      <c r="G387" s="2" t="s">
        <v>43</v>
      </c>
      <c r="H387" s="2" t="s">
        <v>43</v>
      </c>
      <c r="I387" s="2" t="s">
        <v>43</v>
      </c>
      <c r="J387" s="2" t="s">
        <v>43</v>
      </c>
      <c r="K387" s="2" t="s">
        <v>2893</v>
      </c>
      <c r="L387" s="2" t="s">
        <v>29</v>
      </c>
      <c r="M387" s="2" t="s">
        <v>43</v>
      </c>
      <c r="N387" s="2" t="s">
        <v>43</v>
      </c>
      <c r="O387" s="2" t="s">
        <v>43</v>
      </c>
      <c r="P387" s="2" t="s">
        <v>2894</v>
      </c>
      <c r="Q387" s="2" t="s">
        <v>2112</v>
      </c>
      <c r="R387" s="2" t="s">
        <v>2895</v>
      </c>
      <c r="S387" s="2" t="s">
        <v>2896</v>
      </c>
      <c r="T387" s="2" t="s">
        <v>2897</v>
      </c>
      <c r="U387" s="2" t="s">
        <v>2898</v>
      </c>
      <c r="V387" s="2" t="s">
        <v>2899</v>
      </c>
    </row>
    <row r="388" spans="1:22">
      <c r="A388" s="2" t="s">
        <v>22</v>
      </c>
      <c r="B388" s="2" t="s">
        <v>2900</v>
      </c>
      <c r="C388" s="2" t="s">
        <v>2901</v>
      </c>
      <c r="D388" s="2">
        <v>2024</v>
      </c>
      <c r="E388" s="3">
        <v>45352</v>
      </c>
      <c r="F388" s="2" t="s">
        <v>357</v>
      </c>
      <c r="G388" s="2">
        <v>19</v>
      </c>
      <c r="H388" s="2">
        <v>3</v>
      </c>
      <c r="I388" s="2" t="s">
        <v>2902</v>
      </c>
      <c r="J388" s="2" t="s">
        <v>359</v>
      </c>
      <c r="K388" s="2" t="s">
        <v>360</v>
      </c>
      <c r="L388" s="2" t="s">
        <v>29</v>
      </c>
      <c r="M388" s="2" t="s">
        <v>485</v>
      </c>
      <c r="N388" s="2" t="s">
        <v>76</v>
      </c>
      <c r="O388" s="2" t="s">
        <v>486</v>
      </c>
      <c r="P388" s="2" t="s">
        <v>2903</v>
      </c>
      <c r="Q388" s="2" t="s">
        <v>2904</v>
      </c>
      <c r="R388" s="2" t="s">
        <v>2905</v>
      </c>
      <c r="S388" s="2" t="s">
        <v>2906</v>
      </c>
      <c r="T388" s="2" t="s">
        <v>2907</v>
      </c>
      <c r="U388" s="2" t="s">
        <v>2908</v>
      </c>
      <c r="V388" s="2" t="s">
        <v>2909</v>
      </c>
    </row>
    <row r="389" spans="1:22" ht="28.8">
      <c r="A389" s="2" t="s">
        <v>974</v>
      </c>
      <c r="B389" s="2" t="s">
        <v>2910</v>
      </c>
      <c r="C389" s="2" t="s">
        <v>2911</v>
      </c>
      <c r="D389" s="2">
        <v>2025</v>
      </c>
      <c r="E389" s="3">
        <v>45689</v>
      </c>
      <c r="F389" s="2" t="s">
        <v>2912</v>
      </c>
      <c r="G389" s="2">
        <v>52</v>
      </c>
      <c r="H389" s="2">
        <v>1</v>
      </c>
      <c r="I389" s="2" t="s">
        <v>2913</v>
      </c>
      <c r="J389" s="2" t="s">
        <v>2914</v>
      </c>
      <c r="K389" s="2" t="s">
        <v>2915</v>
      </c>
      <c r="L389" s="2" t="s">
        <v>1867</v>
      </c>
      <c r="M389" s="2" t="s">
        <v>47</v>
      </c>
      <c r="N389" s="2" t="s">
        <v>2916</v>
      </c>
      <c r="O389" s="2" t="s">
        <v>2917</v>
      </c>
      <c r="P389" s="2" t="s">
        <v>2918</v>
      </c>
      <c r="Q389" s="2" t="s">
        <v>49</v>
      </c>
      <c r="R389" s="2" t="s">
        <v>2919</v>
      </c>
      <c r="S389" s="2" t="s">
        <v>2920</v>
      </c>
      <c r="T389" s="2" t="s">
        <v>2921</v>
      </c>
      <c r="U389" s="2" t="s">
        <v>2922</v>
      </c>
      <c r="V389" s="2" t="s">
        <v>80</v>
      </c>
    </row>
    <row r="390" spans="1:22" ht="28.8">
      <c r="A390" s="2" t="s">
        <v>1515</v>
      </c>
      <c r="B390" s="2" t="s">
        <v>2910</v>
      </c>
      <c r="C390" s="2" t="s">
        <v>2911</v>
      </c>
      <c r="D390" s="2">
        <v>2025</v>
      </c>
      <c r="E390" s="3">
        <v>45689</v>
      </c>
      <c r="F390" s="2" t="s">
        <v>2912</v>
      </c>
      <c r="G390" s="2">
        <v>52</v>
      </c>
      <c r="H390" s="2">
        <v>1</v>
      </c>
      <c r="I390" s="2" t="s">
        <v>2913</v>
      </c>
      <c r="J390" s="2" t="s">
        <v>2914</v>
      </c>
      <c r="K390" s="2" t="s">
        <v>2915</v>
      </c>
      <c r="L390" s="2" t="s">
        <v>1867</v>
      </c>
      <c r="M390" s="2" t="s">
        <v>47</v>
      </c>
      <c r="N390" s="2" t="s">
        <v>2916</v>
      </c>
      <c r="O390" s="2" t="s">
        <v>2917</v>
      </c>
      <c r="P390" s="2" t="s">
        <v>2918</v>
      </c>
      <c r="Q390" s="2" t="s">
        <v>49</v>
      </c>
      <c r="R390" s="2" t="s">
        <v>2919</v>
      </c>
      <c r="S390" s="2" t="s">
        <v>2920</v>
      </c>
      <c r="T390" s="2" t="s">
        <v>2921</v>
      </c>
      <c r="U390" s="2" t="s">
        <v>2922</v>
      </c>
      <c r="V390" s="2" t="s">
        <v>80</v>
      </c>
    </row>
    <row r="391" spans="1:22">
      <c r="A391" s="2" t="s">
        <v>1916</v>
      </c>
      <c r="B391" s="2" t="s">
        <v>2923</v>
      </c>
      <c r="C391" s="2" t="s">
        <v>2924</v>
      </c>
      <c r="D391" s="2">
        <v>2025</v>
      </c>
      <c r="E391" s="3">
        <v>45901</v>
      </c>
      <c r="F391" s="2" t="s">
        <v>2925</v>
      </c>
      <c r="G391" s="2">
        <v>42</v>
      </c>
      <c r="H391" s="2" t="s">
        <v>2926</v>
      </c>
      <c r="I391" s="2" t="s">
        <v>2927</v>
      </c>
      <c r="J391" s="2" t="s">
        <v>2928</v>
      </c>
      <c r="K391" s="2" t="s">
        <v>302</v>
      </c>
      <c r="L391" s="2" t="s">
        <v>29</v>
      </c>
      <c r="M391" s="2" t="s">
        <v>2492</v>
      </c>
      <c r="N391" s="2" t="s">
        <v>234</v>
      </c>
      <c r="O391" s="4">
        <v>1329</v>
      </c>
      <c r="P391" s="2" t="s">
        <v>2929</v>
      </c>
      <c r="Q391" s="2" t="s">
        <v>49</v>
      </c>
      <c r="R391" s="2" t="s">
        <v>2930</v>
      </c>
      <c r="S391" s="2" t="s">
        <v>2931</v>
      </c>
      <c r="T391" s="2" t="s">
        <v>2932</v>
      </c>
      <c r="U391" s="2" t="s">
        <v>2933</v>
      </c>
      <c r="V391" s="2" t="s">
        <v>2934</v>
      </c>
    </row>
    <row r="392" spans="1:22">
      <c r="A392" s="2" t="s">
        <v>1344</v>
      </c>
      <c r="B392" s="2" t="s">
        <v>2923</v>
      </c>
      <c r="C392" s="2" t="s">
        <v>2924</v>
      </c>
      <c r="D392" s="2">
        <v>2025</v>
      </c>
      <c r="E392" s="3">
        <v>45901</v>
      </c>
      <c r="F392" s="2" t="s">
        <v>2925</v>
      </c>
      <c r="G392" s="2">
        <v>42</v>
      </c>
      <c r="H392" s="2" t="s">
        <v>2926</v>
      </c>
      <c r="I392" s="2" t="s">
        <v>2927</v>
      </c>
      <c r="J392" s="2" t="s">
        <v>2928</v>
      </c>
      <c r="K392" s="2" t="s">
        <v>302</v>
      </c>
      <c r="L392" s="2" t="s">
        <v>29</v>
      </c>
      <c r="M392" s="2" t="s">
        <v>2492</v>
      </c>
      <c r="N392" s="2" t="s">
        <v>234</v>
      </c>
      <c r="O392" s="4">
        <v>1329</v>
      </c>
      <c r="P392" s="2" t="s">
        <v>2929</v>
      </c>
      <c r="Q392" s="2" t="s">
        <v>49</v>
      </c>
      <c r="R392" s="2" t="s">
        <v>2930</v>
      </c>
      <c r="S392" s="2" t="s">
        <v>2931</v>
      </c>
      <c r="T392" s="2" t="s">
        <v>2932</v>
      </c>
      <c r="U392" s="2" t="s">
        <v>2933</v>
      </c>
      <c r="V392" s="2" t="s">
        <v>2934</v>
      </c>
    </row>
    <row r="393" spans="1:22">
      <c r="A393" s="2" t="s">
        <v>1969</v>
      </c>
      <c r="B393" s="2" t="s">
        <v>2923</v>
      </c>
      <c r="C393" s="2" t="s">
        <v>2924</v>
      </c>
      <c r="D393" s="2">
        <v>2025</v>
      </c>
      <c r="E393" s="3">
        <v>45901</v>
      </c>
      <c r="F393" s="2" t="s">
        <v>2925</v>
      </c>
      <c r="G393" s="2">
        <v>42</v>
      </c>
      <c r="H393" s="2" t="s">
        <v>2926</v>
      </c>
      <c r="I393" s="2" t="s">
        <v>2927</v>
      </c>
      <c r="J393" s="2" t="s">
        <v>2928</v>
      </c>
      <c r="K393" s="2" t="s">
        <v>302</v>
      </c>
      <c r="L393" s="2" t="s">
        <v>29</v>
      </c>
      <c r="M393" s="2" t="s">
        <v>2492</v>
      </c>
      <c r="N393" s="2" t="s">
        <v>234</v>
      </c>
      <c r="O393" s="4">
        <v>1329</v>
      </c>
      <c r="P393" s="2" t="s">
        <v>2929</v>
      </c>
      <c r="Q393" s="2" t="s">
        <v>49</v>
      </c>
      <c r="R393" s="2" t="s">
        <v>2930</v>
      </c>
      <c r="S393" s="2" t="s">
        <v>2931</v>
      </c>
      <c r="T393" s="2" t="s">
        <v>2932</v>
      </c>
      <c r="U393" s="2" t="s">
        <v>2933</v>
      </c>
      <c r="V393" s="2" t="s">
        <v>2934</v>
      </c>
    </row>
    <row r="394" spans="1:22">
      <c r="A394" s="2" t="s">
        <v>2629</v>
      </c>
      <c r="B394" s="2" t="s">
        <v>2923</v>
      </c>
      <c r="C394" s="2" t="s">
        <v>2924</v>
      </c>
      <c r="D394" s="2">
        <v>2025</v>
      </c>
      <c r="E394" s="3">
        <v>45901</v>
      </c>
      <c r="F394" s="2" t="s">
        <v>2925</v>
      </c>
      <c r="G394" s="2">
        <v>42</v>
      </c>
      <c r="H394" s="2" t="s">
        <v>2926</v>
      </c>
      <c r="I394" s="2" t="s">
        <v>2927</v>
      </c>
      <c r="J394" s="2" t="s">
        <v>2928</v>
      </c>
      <c r="K394" s="2" t="s">
        <v>302</v>
      </c>
      <c r="L394" s="2" t="s">
        <v>29</v>
      </c>
      <c r="M394" s="2" t="s">
        <v>2492</v>
      </c>
      <c r="N394" s="2" t="s">
        <v>234</v>
      </c>
      <c r="O394" s="4">
        <v>1329</v>
      </c>
      <c r="P394" s="2" t="s">
        <v>2929</v>
      </c>
      <c r="Q394" s="2" t="s">
        <v>49</v>
      </c>
      <c r="R394" s="2" t="s">
        <v>2930</v>
      </c>
      <c r="S394" s="2" t="s">
        <v>2931</v>
      </c>
      <c r="T394" s="2" t="s">
        <v>2932</v>
      </c>
      <c r="U394" s="2" t="s">
        <v>2933</v>
      </c>
      <c r="V394" s="2" t="s">
        <v>2934</v>
      </c>
    </row>
    <row r="395" spans="1:22">
      <c r="A395" s="2" t="s">
        <v>2935</v>
      </c>
      <c r="B395" s="2" t="s">
        <v>2936</v>
      </c>
      <c r="C395" s="2" t="s">
        <v>2937</v>
      </c>
      <c r="D395" s="2">
        <v>2024</v>
      </c>
      <c r="E395" s="3">
        <v>45566</v>
      </c>
      <c r="F395" s="2" t="s">
        <v>1676</v>
      </c>
      <c r="G395" s="2">
        <v>34</v>
      </c>
      <c r="H395" s="2">
        <v>10</v>
      </c>
      <c r="I395" s="2" t="s">
        <v>2938</v>
      </c>
      <c r="J395" s="2" t="s">
        <v>1678</v>
      </c>
      <c r="K395" s="2" t="s">
        <v>1624</v>
      </c>
      <c r="L395" s="2" t="s">
        <v>29</v>
      </c>
      <c r="M395" s="2" t="s">
        <v>1472</v>
      </c>
      <c r="N395" s="2" t="s">
        <v>247</v>
      </c>
      <c r="O395" s="4">
        <v>1148</v>
      </c>
      <c r="P395" s="2" t="s">
        <v>2939</v>
      </c>
      <c r="Q395" s="2" t="s">
        <v>33</v>
      </c>
      <c r="R395" s="2" t="s">
        <v>2940</v>
      </c>
      <c r="S395" s="2" t="s">
        <v>79</v>
      </c>
      <c r="T395" s="2" t="s">
        <v>2941</v>
      </c>
      <c r="U395" s="2" t="s">
        <v>2942</v>
      </c>
      <c r="V395" s="2" t="s">
        <v>80</v>
      </c>
    </row>
    <row r="396" spans="1:22">
      <c r="A396" s="2" t="s">
        <v>1673</v>
      </c>
      <c r="B396" s="2" t="s">
        <v>2936</v>
      </c>
      <c r="C396" s="2" t="s">
        <v>2937</v>
      </c>
      <c r="D396" s="2">
        <v>2024</v>
      </c>
      <c r="E396" s="3">
        <v>45566</v>
      </c>
      <c r="F396" s="2" t="s">
        <v>1676</v>
      </c>
      <c r="G396" s="2">
        <v>34</v>
      </c>
      <c r="H396" s="2">
        <v>10</v>
      </c>
      <c r="I396" s="2" t="s">
        <v>2938</v>
      </c>
      <c r="J396" s="2" t="s">
        <v>1678</v>
      </c>
      <c r="K396" s="2" t="s">
        <v>1624</v>
      </c>
      <c r="L396" s="2" t="s">
        <v>29</v>
      </c>
      <c r="M396" s="2" t="s">
        <v>1472</v>
      </c>
      <c r="N396" s="2" t="s">
        <v>247</v>
      </c>
      <c r="O396" s="4">
        <v>1148</v>
      </c>
      <c r="P396" s="2" t="s">
        <v>2939</v>
      </c>
      <c r="Q396" s="2" t="s">
        <v>33</v>
      </c>
      <c r="R396" s="2" t="s">
        <v>2940</v>
      </c>
      <c r="S396" s="2" t="s">
        <v>79</v>
      </c>
      <c r="T396" s="2" t="s">
        <v>2941</v>
      </c>
      <c r="U396" s="2" t="s">
        <v>2942</v>
      </c>
      <c r="V396" s="2" t="s">
        <v>80</v>
      </c>
    </row>
    <row r="397" spans="1:22">
      <c r="A397" s="2" t="s">
        <v>2427</v>
      </c>
      <c r="B397" s="2" t="s">
        <v>2936</v>
      </c>
      <c r="C397" s="2" t="s">
        <v>2937</v>
      </c>
      <c r="D397" s="2">
        <v>2024</v>
      </c>
      <c r="E397" s="3">
        <v>45566</v>
      </c>
      <c r="F397" s="2" t="s">
        <v>1676</v>
      </c>
      <c r="G397" s="2">
        <v>34</v>
      </c>
      <c r="H397" s="2">
        <v>10</v>
      </c>
      <c r="I397" s="2" t="s">
        <v>2938</v>
      </c>
      <c r="J397" s="2" t="s">
        <v>1678</v>
      </c>
      <c r="K397" s="2" t="s">
        <v>1624</v>
      </c>
      <c r="L397" s="2" t="s">
        <v>29</v>
      </c>
      <c r="M397" s="2" t="s">
        <v>1472</v>
      </c>
      <c r="N397" s="2" t="s">
        <v>247</v>
      </c>
      <c r="O397" s="4">
        <v>1148</v>
      </c>
      <c r="P397" s="2" t="s">
        <v>2939</v>
      </c>
      <c r="Q397" s="2" t="s">
        <v>33</v>
      </c>
      <c r="R397" s="2" t="s">
        <v>2940</v>
      </c>
      <c r="S397" s="2" t="s">
        <v>79</v>
      </c>
      <c r="T397" s="2" t="s">
        <v>2941</v>
      </c>
      <c r="U397" s="2" t="s">
        <v>2942</v>
      </c>
      <c r="V397" s="2" t="s">
        <v>80</v>
      </c>
    </row>
    <row r="398" spans="1:22">
      <c r="A398" s="2" t="s">
        <v>2943</v>
      </c>
      <c r="B398" s="2" t="s">
        <v>2944</v>
      </c>
      <c r="C398" s="2" t="s">
        <v>2945</v>
      </c>
      <c r="D398" s="2">
        <v>2025</v>
      </c>
      <c r="E398" s="3">
        <v>45901</v>
      </c>
      <c r="F398" s="2" t="s">
        <v>2946</v>
      </c>
      <c r="G398" s="2">
        <v>13</v>
      </c>
      <c r="H398" s="2">
        <v>9</v>
      </c>
      <c r="I398" s="2" t="s">
        <v>43</v>
      </c>
      <c r="J398" s="2" t="s">
        <v>2947</v>
      </c>
      <c r="K398" s="2" t="s">
        <v>61</v>
      </c>
      <c r="L398" s="2" t="s">
        <v>29</v>
      </c>
      <c r="M398" s="2" t="s">
        <v>2119</v>
      </c>
      <c r="N398" s="2" t="s">
        <v>1544</v>
      </c>
      <c r="O398" s="2" t="s">
        <v>2948</v>
      </c>
      <c r="P398" s="2" t="s">
        <v>2949</v>
      </c>
      <c r="Q398" s="2" t="s">
        <v>33</v>
      </c>
      <c r="R398" s="2" t="s">
        <v>2950</v>
      </c>
      <c r="S398" s="2" t="s">
        <v>2951</v>
      </c>
      <c r="T398" s="2" t="s">
        <v>2952</v>
      </c>
      <c r="U398" s="2" t="s">
        <v>2953</v>
      </c>
      <c r="V398" s="2" t="s">
        <v>594</v>
      </c>
    </row>
    <row r="399" spans="1:22">
      <c r="A399" s="2" t="s">
        <v>2954</v>
      </c>
      <c r="B399" s="2" t="s">
        <v>2955</v>
      </c>
      <c r="C399" s="2" t="s">
        <v>2956</v>
      </c>
      <c r="D399" s="2">
        <v>2025</v>
      </c>
      <c r="E399" s="3">
        <v>45658</v>
      </c>
      <c r="F399" s="2" t="s">
        <v>2518</v>
      </c>
      <c r="G399" s="2">
        <v>62</v>
      </c>
      <c r="H399" s="2" t="s">
        <v>43</v>
      </c>
      <c r="I399" s="2" t="s">
        <v>2957</v>
      </c>
      <c r="J399" s="2" t="s">
        <v>2520</v>
      </c>
      <c r="K399" s="2" t="s">
        <v>2521</v>
      </c>
      <c r="L399" s="2" t="s">
        <v>29</v>
      </c>
      <c r="M399" s="2" t="s">
        <v>1362</v>
      </c>
      <c r="N399" s="2" t="s">
        <v>247</v>
      </c>
      <c r="O399" s="2" t="s">
        <v>2958</v>
      </c>
      <c r="P399" s="2" t="s">
        <v>2959</v>
      </c>
      <c r="Q399" s="2" t="s">
        <v>33</v>
      </c>
      <c r="R399" s="2" t="s">
        <v>2960</v>
      </c>
      <c r="S399" s="2" t="s">
        <v>1117</v>
      </c>
      <c r="T399" s="2" t="s">
        <v>2961</v>
      </c>
      <c r="U399" s="2" t="s">
        <v>2962</v>
      </c>
      <c r="V399" s="2" t="s">
        <v>80</v>
      </c>
    </row>
    <row r="400" spans="1:22">
      <c r="A400" s="2" t="s">
        <v>2963</v>
      </c>
      <c r="B400" s="2" t="s">
        <v>2964</v>
      </c>
      <c r="C400" s="2" t="s">
        <v>2965</v>
      </c>
      <c r="D400" s="2">
        <v>2024</v>
      </c>
      <c r="E400" s="3">
        <v>45352</v>
      </c>
      <c r="F400" s="2" t="s">
        <v>2966</v>
      </c>
      <c r="G400" s="2">
        <v>57</v>
      </c>
      <c r="H400" s="2">
        <v>2</v>
      </c>
      <c r="I400" s="7">
        <v>11140</v>
      </c>
      <c r="J400" s="2" t="s">
        <v>2967</v>
      </c>
      <c r="K400" s="2" t="s">
        <v>2968</v>
      </c>
      <c r="L400" s="2" t="s">
        <v>1867</v>
      </c>
      <c r="M400" s="2" t="s">
        <v>2423</v>
      </c>
      <c r="N400" s="2" t="s">
        <v>2969</v>
      </c>
      <c r="O400" s="2" t="s">
        <v>2970</v>
      </c>
      <c r="P400" s="2" t="s">
        <v>2971</v>
      </c>
      <c r="Q400" s="2" t="s">
        <v>33</v>
      </c>
      <c r="R400" s="2" t="s">
        <v>2972</v>
      </c>
      <c r="S400" s="2" t="s">
        <v>79</v>
      </c>
      <c r="T400" s="5">
        <v>601053680000000</v>
      </c>
      <c r="U400" s="2" t="s">
        <v>79</v>
      </c>
      <c r="V400" s="2" t="s">
        <v>80</v>
      </c>
    </row>
    <row r="401" spans="1:22">
      <c r="A401" s="2" t="s">
        <v>2342</v>
      </c>
      <c r="B401" s="2" t="s">
        <v>2973</v>
      </c>
      <c r="C401" s="2" t="s">
        <v>2974</v>
      </c>
      <c r="D401" s="2">
        <v>2024</v>
      </c>
      <c r="E401" s="3">
        <v>45474</v>
      </c>
      <c r="F401" s="2" t="s">
        <v>651</v>
      </c>
      <c r="G401" s="2">
        <v>13</v>
      </c>
      <c r="H401" s="2">
        <v>13</v>
      </c>
      <c r="I401" s="2" t="s">
        <v>43</v>
      </c>
      <c r="J401" s="2" t="s">
        <v>652</v>
      </c>
      <c r="K401" s="2" t="s">
        <v>61</v>
      </c>
      <c r="L401" s="2" t="s">
        <v>29</v>
      </c>
      <c r="M401" s="2" t="s">
        <v>653</v>
      </c>
      <c r="N401" s="2" t="s">
        <v>476</v>
      </c>
      <c r="O401" s="2" t="s">
        <v>654</v>
      </c>
      <c r="P401" s="2" t="s">
        <v>2975</v>
      </c>
      <c r="Q401" s="2" t="s">
        <v>33</v>
      </c>
      <c r="R401" s="2" t="s">
        <v>2976</v>
      </c>
      <c r="S401" s="2" t="s">
        <v>2977</v>
      </c>
      <c r="T401" s="2" t="s">
        <v>2978</v>
      </c>
      <c r="U401" s="2" t="s">
        <v>2979</v>
      </c>
      <c r="V401" s="2" t="s">
        <v>621</v>
      </c>
    </row>
    <row r="402" spans="1:22">
      <c r="A402" s="2" t="s">
        <v>2980</v>
      </c>
      <c r="B402" s="2" t="s">
        <v>2981</v>
      </c>
      <c r="C402" s="2" t="s">
        <v>2982</v>
      </c>
      <c r="D402" s="2">
        <v>2024</v>
      </c>
      <c r="E402" s="3">
        <v>45536</v>
      </c>
      <c r="F402" s="2" t="s">
        <v>2392</v>
      </c>
      <c r="G402" s="2">
        <v>35</v>
      </c>
      <c r="H402" s="6">
        <v>46178</v>
      </c>
      <c r="I402" s="2" t="s">
        <v>2983</v>
      </c>
      <c r="J402" s="2" t="s">
        <v>2394</v>
      </c>
      <c r="K402" s="2" t="s">
        <v>392</v>
      </c>
      <c r="L402" s="2" t="s">
        <v>773</v>
      </c>
      <c r="M402" s="2" t="s">
        <v>47</v>
      </c>
      <c r="N402" s="2" t="s">
        <v>2395</v>
      </c>
      <c r="O402" s="2" t="s">
        <v>2396</v>
      </c>
      <c r="P402" s="2" t="s">
        <v>2984</v>
      </c>
      <c r="Q402" s="2" t="s">
        <v>33</v>
      </c>
      <c r="R402" s="2" t="s">
        <v>2985</v>
      </c>
      <c r="S402" s="2" t="s">
        <v>2986</v>
      </c>
      <c r="T402" s="2" t="s">
        <v>2987</v>
      </c>
      <c r="U402" s="2" t="s">
        <v>2988</v>
      </c>
      <c r="V402" s="2" t="s">
        <v>594</v>
      </c>
    </row>
    <row r="403" spans="1:22">
      <c r="A403" s="2" t="s">
        <v>2989</v>
      </c>
      <c r="B403" s="2" t="s">
        <v>2981</v>
      </c>
      <c r="C403" s="2" t="s">
        <v>2982</v>
      </c>
      <c r="D403" s="2">
        <v>2024</v>
      </c>
      <c r="E403" s="3">
        <v>45536</v>
      </c>
      <c r="F403" s="2" t="s">
        <v>2392</v>
      </c>
      <c r="G403" s="2">
        <v>35</v>
      </c>
      <c r="H403" s="6">
        <v>46178</v>
      </c>
      <c r="I403" s="2" t="s">
        <v>2983</v>
      </c>
      <c r="J403" s="2" t="s">
        <v>2394</v>
      </c>
      <c r="K403" s="2" t="s">
        <v>392</v>
      </c>
      <c r="L403" s="2" t="s">
        <v>773</v>
      </c>
      <c r="M403" s="2" t="s">
        <v>47</v>
      </c>
      <c r="N403" s="2" t="s">
        <v>2395</v>
      </c>
      <c r="O403" s="2" t="s">
        <v>2396</v>
      </c>
      <c r="P403" s="2" t="s">
        <v>2984</v>
      </c>
      <c r="Q403" s="2" t="s">
        <v>33</v>
      </c>
      <c r="R403" s="2" t="s">
        <v>2985</v>
      </c>
      <c r="S403" s="2" t="s">
        <v>2986</v>
      </c>
      <c r="T403" s="2" t="s">
        <v>2987</v>
      </c>
      <c r="U403" s="2" t="s">
        <v>2988</v>
      </c>
      <c r="V403" s="2" t="s">
        <v>594</v>
      </c>
    </row>
    <row r="404" spans="1:22" ht="28.8">
      <c r="A404" s="2" t="s">
        <v>276</v>
      </c>
      <c r="B404" s="2" t="s">
        <v>2990</v>
      </c>
      <c r="C404" s="2" t="s">
        <v>2991</v>
      </c>
      <c r="D404" s="2">
        <v>2025</v>
      </c>
      <c r="E404" s="3">
        <v>45778</v>
      </c>
      <c r="F404" s="2" t="s">
        <v>1784</v>
      </c>
      <c r="G404" s="2">
        <v>13</v>
      </c>
      <c r="H404" s="2">
        <v>5</v>
      </c>
      <c r="I404" s="2" t="s">
        <v>43</v>
      </c>
      <c r="J404" s="2" t="s">
        <v>1785</v>
      </c>
      <c r="K404" s="2" t="s">
        <v>61</v>
      </c>
      <c r="L404" s="2" t="s">
        <v>29</v>
      </c>
      <c r="M404" s="2" t="s">
        <v>2492</v>
      </c>
      <c r="N404" s="2" t="s">
        <v>348</v>
      </c>
      <c r="O404" s="4">
        <v>1165</v>
      </c>
      <c r="P404" s="2" t="s">
        <v>2992</v>
      </c>
      <c r="Q404" s="2" t="s">
        <v>49</v>
      </c>
      <c r="R404" s="2" t="s">
        <v>2993</v>
      </c>
      <c r="S404" s="2" t="s">
        <v>2339</v>
      </c>
      <c r="T404" s="2" t="s">
        <v>2994</v>
      </c>
      <c r="U404" s="2" t="s">
        <v>2995</v>
      </c>
      <c r="V404" s="2" t="s">
        <v>2996</v>
      </c>
    </row>
    <row r="405" spans="1:22">
      <c r="A405" s="2" t="s">
        <v>2997</v>
      </c>
      <c r="B405" s="2" t="s">
        <v>2998</v>
      </c>
      <c r="C405" s="2" t="s">
        <v>2999</v>
      </c>
      <c r="D405" s="2">
        <v>2024</v>
      </c>
      <c r="E405" s="3">
        <v>45292</v>
      </c>
      <c r="F405" s="2" t="s">
        <v>3000</v>
      </c>
      <c r="G405" s="2">
        <v>2024</v>
      </c>
      <c r="H405" s="2">
        <v>173</v>
      </c>
      <c r="I405" s="2" t="s">
        <v>43</v>
      </c>
      <c r="J405" s="2" t="s">
        <v>3001</v>
      </c>
      <c r="K405" s="2" t="s">
        <v>3002</v>
      </c>
      <c r="L405" s="2" t="s">
        <v>1867</v>
      </c>
      <c r="M405" s="2" t="s">
        <v>43</v>
      </c>
      <c r="N405" s="2" t="s">
        <v>43</v>
      </c>
      <c r="O405" s="2" t="s">
        <v>43</v>
      </c>
      <c r="P405" s="2" t="s">
        <v>3003</v>
      </c>
      <c r="Q405" s="2" t="s">
        <v>33</v>
      </c>
      <c r="R405" s="2" t="s">
        <v>3004</v>
      </c>
      <c r="S405" s="2" t="s">
        <v>79</v>
      </c>
      <c r="T405" s="5">
        <v>601053680000000</v>
      </c>
      <c r="U405" s="2" t="s">
        <v>79</v>
      </c>
      <c r="V405" s="2" t="s">
        <v>80</v>
      </c>
    </row>
    <row r="406" spans="1:22">
      <c r="A406" s="2" t="s">
        <v>1916</v>
      </c>
      <c r="B406" s="2" t="s">
        <v>3005</v>
      </c>
      <c r="C406" s="2" t="s">
        <v>3006</v>
      </c>
      <c r="D406" s="2">
        <v>2025</v>
      </c>
      <c r="E406" s="3">
        <v>45658</v>
      </c>
      <c r="F406" s="2" t="s">
        <v>3007</v>
      </c>
      <c r="G406" s="2">
        <v>18</v>
      </c>
      <c r="H406" s="2" t="s">
        <v>43</v>
      </c>
      <c r="I406" s="2" t="s">
        <v>3008</v>
      </c>
      <c r="J406" s="2" t="s">
        <v>3009</v>
      </c>
      <c r="K406" s="2" t="s">
        <v>2646</v>
      </c>
      <c r="L406" s="2" t="s">
        <v>29</v>
      </c>
      <c r="M406" s="2" t="s">
        <v>2052</v>
      </c>
      <c r="N406" s="2" t="s">
        <v>1581</v>
      </c>
      <c r="O406" s="2" t="s">
        <v>3010</v>
      </c>
      <c r="P406" s="2" t="s">
        <v>3011</v>
      </c>
      <c r="Q406" s="2" t="s">
        <v>644</v>
      </c>
      <c r="R406" s="2" t="s">
        <v>3012</v>
      </c>
      <c r="S406" s="2" t="s">
        <v>1681</v>
      </c>
      <c r="T406" s="2" t="s">
        <v>2606</v>
      </c>
      <c r="U406" s="2" t="s">
        <v>1681</v>
      </c>
      <c r="V406" s="2" t="s">
        <v>80</v>
      </c>
    </row>
    <row r="407" spans="1:22">
      <c r="A407" s="2" t="s">
        <v>1344</v>
      </c>
      <c r="B407" s="2" t="s">
        <v>3005</v>
      </c>
      <c r="C407" s="2" t="s">
        <v>3006</v>
      </c>
      <c r="D407" s="2">
        <v>2025</v>
      </c>
      <c r="E407" s="3">
        <v>45658</v>
      </c>
      <c r="F407" s="2" t="s">
        <v>3007</v>
      </c>
      <c r="G407" s="2">
        <v>18</v>
      </c>
      <c r="H407" s="2" t="s">
        <v>43</v>
      </c>
      <c r="I407" s="2" t="s">
        <v>3008</v>
      </c>
      <c r="J407" s="2" t="s">
        <v>3009</v>
      </c>
      <c r="K407" s="2" t="s">
        <v>2646</v>
      </c>
      <c r="L407" s="2" t="s">
        <v>29</v>
      </c>
      <c r="M407" s="2" t="s">
        <v>2052</v>
      </c>
      <c r="N407" s="2" t="s">
        <v>1581</v>
      </c>
      <c r="O407" s="2" t="s">
        <v>3010</v>
      </c>
      <c r="P407" s="2" t="s">
        <v>3011</v>
      </c>
      <c r="Q407" s="2" t="s">
        <v>644</v>
      </c>
      <c r="R407" s="2" t="s">
        <v>3012</v>
      </c>
      <c r="S407" s="2" t="s">
        <v>1681</v>
      </c>
      <c r="T407" s="2" t="s">
        <v>2606</v>
      </c>
      <c r="U407" s="2" t="s">
        <v>1681</v>
      </c>
      <c r="V407" s="2" t="s">
        <v>80</v>
      </c>
    </row>
    <row r="408" spans="1:22">
      <c r="A408" s="2" t="s">
        <v>3013</v>
      </c>
      <c r="B408" s="2" t="s">
        <v>3005</v>
      </c>
      <c r="C408" s="2" t="s">
        <v>3006</v>
      </c>
      <c r="D408" s="2">
        <v>2025</v>
      </c>
      <c r="E408" s="3">
        <v>45658</v>
      </c>
      <c r="F408" s="2" t="s">
        <v>3007</v>
      </c>
      <c r="G408" s="2">
        <v>18</v>
      </c>
      <c r="H408" s="2" t="s">
        <v>43</v>
      </c>
      <c r="I408" s="2" t="s">
        <v>3008</v>
      </c>
      <c r="J408" s="2" t="s">
        <v>3009</v>
      </c>
      <c r="K408" s="2" t="s">
        <v>2646</v>
      </c>
      <c r="L408" s="2" t="s">
        <v>29</v>
      </c>
      <c r="M408" s="2" t="s">
        <v>2052</v>
      </c>
      <c r="N408" s="2" t="s">
        <v>1581</v>
      </c>
      <c r="O408" s="2" t="s">
        <v>3010</v>
      </c>
      <c r="P408" s="2" t="s">
        <v>3011</v>
      </c>
      <c r="Q408" s="2" t="s">
        <v>644</v>
      </c>
      <c r="R408" s="2" t="s">
        <v>3012</v>
      </c>
      <c r="S408" s="2" t="s">
        <v>1681</v>
      </c>
      <c r="T408" s="2" t="s">
        <v>2606</v>
      </c>
      <c r="U408" s="2" t="s">
        <v>1681</v>
      </c>
      <c r="V408" s="2" t="s">
        <v>80</v>
      </c>
    </row>
    <row r="409" spans="1:22">
      <c r="A409" s="2" t="s">
        <v>3014</v>
      </c>
      <c r="B409" s="2" t="s">
        <v>3015</v>
      </c>
      <c r="C409" s="2" t="s">
        <v>3016</v>
      </c>
      <c r="D409" s="2">
        <v>2025</v>
      </c>
      <c r="E409" s="3">
        <v>45748</v>
      </c>
      <c r="F409" s="2" t="s">
        <v>3017</v>
      </c>
      <c r="G409" s="2">
        <v>26</v>
      </c>
      <c r="H409" s="2">
        <v>2</v>
      </c>
      <c r="I409" s="2" t="s">
        <v>43</v>
      </c>
      <c r="J409" s="2" t="s">
        <v>3018</v>
      </c>
      <c r="K409" s="2" t="s">
        <v>1462</v>
      </c>
      <c r="L409" s="2" t="s">
        <v>29</v>
      </c>
      <c r="M409" s="2" t="s">
        <v>498</v>
      </c>
      <c r="N409" s="2" t="s">
        <v>63</v>
      </c>
      <c r="O409" s="4">
        <v>1206</v>
      </c>
      <c r="P409" s="2" t="s">
        <v>3019</v>
      </c>
      <c r="Q409" s="2" t="s">
        <v>33</v>
      </c>
      <c r="R409" s="2" t="s">
        <v>3020</v>
      </c>
      <c r="S409" s="2" t="s">
        <v>1106</v>
      </c>
      <c r="T409" s="2" t="s">
        <v>3021</v>
      </c>
      <c r="U409" s="2" t="s">
        <v>3022</v>
      </c>
      <c r="V409" s="2" t="s">
        <v>80</v>
      </c>
    </row>
    <row r="410" spans="1:22">
      <c r="A410" s="2" t="s">
        <v>3023</v>
      </c>
      <c r="B410" s="2" t="s">
        <v>3015</v>
      </c>
      <c r="C410" s="2" t="s">
        <v>3016</v>
      </c>
      <c r="D410" s="2">
        <v>2025</v>
      </c>
      <c r="E410" s="3">
        <v>45748</v>
      </c>
      <c r="F410" s="2" t="s">
        <v>3017</v>
      </c>
      <c r="G410" s="2">
        <v>26</v>
      </c>
      <c r="H410" s="2">
        <v>2</v>
      </c>
      <c r="I410" s="2" t="s">
        <v>43</v>
      </c>
      <c r="J410" s="2" t="s">
        <v>3018</v>
      </c>
      <c r="K410" s="2" t="s">
        <v>1462</v>
      </c>
      <c r="L410" s="2" t="s">
        <v>29</v>
      </c>
      <c r="M410" s="2" t="s">
        <v>498</v>
      </c>
      <c r="N410" s="2" t="s">
        <v>63</v>
      </c>
      <c r="O410" s="4">
        <v>1206</v>
      </c>
      <c r="P410" s="2" t="s">
        <v>3019</v>
      </c>
      <c r="Q410" s="2" t="s">
        <v>33</v>
      </c>
      <c r="R410" s="2" t="s">
        <v>3020</v>
      </c>
      <c r="S410" s="2" t="s">
        <v>1106</v>
      </c>
      <c r="T410" s="2" t="s">
        <v>3021</v>
      </c>
      <c r="U410" s="2" t="s">
        <v>3022</v>
      </c>
      <c r="V410" s="2" t="s">
        <v>80</v>
      </c>
    </row>
    <row r="411" spans="1:22" ht="43.2">
      <c r="A411" s="2" t="s">
        <v>228</v>
      </c>
      <c r="B411" s="2" t="s">
        <v>3024</v>
      </c>
      <c r="C411" s="2" t="s">
        <v>3025</v>
      </c>
      <c r="D411" s="2">
        <v>2025</v>
      </c>
      <c r="E411" s="3">
        <v>45992</v>
      </c>
      <c r="F411" s="2" t="s">
        <v>231</v>
      </c>
      <c r="G411" s="2">
        <v>29</v>
      </c>
      <c r="H411" s="2">
        <v>1</v>
      </c>
      <c r="I411" s="2" t="s">
        <v>43</v>
      </c>
      <c r="J411" s="2" t="s">
        <v>232</v>
      </c>
      <c r="K411" s="2" t="s">
        <v>233</v>
      </c>
      <c r="L411" s="2" t="s">
        <v>29</v>
      </c>
      <c r="M411" s="2" t="s">
        <v>234</v>
      </c>
      <c r="N411" s="2" t="s">
        <v>31</v>
      </c>
      <c r="O411" s="4">
        <v>3002</v>
      </c>
      <c r="P411" s="2" t="s">
        <v>3026</v>
      </c>
      <c r="Q411" s="2" t="s">
        <v>33</v>
      </c>
      <c r="R411" s="2" t="s">
        <v>3027</v>
      </c>
      <c r="S411" s="2" t="s">
        <v>3028</v>
      </c>
      <c r="T411" s="2" t="s">
        <v>3029</v>
      </c>
      <c r="U411" s="2" t="s">
        <v>3030</v>
      </c>
      <c r="V411" s="2" t="s">
        <v>3031</v>
      </c>
    </row>
    <row r="412" spans="1:22">
      <c r="A412" s="2" t="s">
        <v>3032</v>
      </c>
      <c r="B412" s="2" t="s">
        <v>3033</v>
      </c>
      <c r="C412" s="2" t="s">
        <v>3034</v>
      </c>
      <c r="D412" s="2">
        <v>2025</v>
      </c>
      <c r="E412" s="3">
        <v>45689</v>
      </c>
      <c r="F412" s="2" t="s">
        <v>3035</v>
      </c>
      <c r="G412" s="2">
        <v>40</v>
      </c>
      <c r="H412" s="2">
        <v>2</v>
      </c>
      <c r="I412" s="2" t="s">
        <v>43</v>
      </c>
      <c r="J412" s="2" t="s">
        <v>3036</v>
      </c>
      <c r="K412" s="2" t="s">
        <v>3037</v>
      </c>
      <c r="L412" s="2" t="s">
        <v>29</v>
      </c>
      <c r="M412" s="2" t="s">
        <v>3038</v>
      </c>
      <c r="N412" s="2" t="s">
        <v>2066</v>
      </c>
      <c r="O412" s="2" t="s">
        <v>3039</v>
      </c>
      <c r="P412" s="2" t="s">
        <v>3040</v>
      </c>
      <c r="Q412" s="2" t="s">
        <v>33</v>
      </c>
      <c r="R412" s="2" t="s">
        <v>3041</v>
      </c>
      <c r="S412" s="2" t="s">
        <v>1681</v>
      </c>
      <c r="T412" s="2" t="s">
        <v>3042</v>
      </c>
      <c r="U412" s="2" t="s">
        <v>3043</v>
      </c>
      <c r="V412" s="2" t="s">
        <v>80</v>
      </c>
    </row>
    <row r="413" spans="1:22">
      <c r="A413" s="2" t="s">
        <v>433</v>
      </c>
      <c r="B413" s="2" t="s">
        <v>3033</v>
      </c>
      <c r="C413" s="2" t="s">
        <v>3034</v>
      </c>
      <c r="D413" s="2">
        <v>2025</v>
      </c>
      <c r="E413" s="3">
        <v>45689</v>
      </c>
      <c r="F413" s="2" t="s">
        <v>3035</v>
      </c>
      <c r="G413" s="2">
        <v>40</v>
      </c>
      <c r="H413" s="2">
        <v>2</v>
      </c>
      <c r="I413" s="2" t="s">
        <v>43</v>
      </c>
      <c r="J413" s="2" t="s">
        <v>3036</v>
      </c>
      <c r="K413" s="2" t="s">
        <v>3037</v>
      </c>
      <c r="L413" s="2" t="s">
        <v>29</v>
      </c>
      <c r="M413" s="2" t="s">
        <v>3038</v>
      </c>
      <c r="N413" s="2" t="s">
        <v>2066</v>
      </c>
      <c r="O413" s="2" t="s">
        <v>3039</v>
      </c>
      <c r="P413" s="2" t="s">
        <v>3040</v>
      </c>
      <c r="Q413" s="2" t="s">
        <v>33</v>
      </c>
      <c r="R413" s="2" t="s">
        <v>3041</v>
      </c>
      <c r="S413" s="2" t="s">
        <v>1681</v>
      </c>
      <c r="T413" s="2" t="s">
        <v>3042</v>
      </c>
      <c r="U413" s="2" t="s">
        <v>3043</v>
      </c>
      <c r="V413" s="2" t="s">
        <v>80</v>
      </c>
    </row>
    <row r="414" spans="1:22">
      <c r="A414" s="2" t="s">
        <v>1916</v>
      </c>
      <c r="B414" s="2" t="s">
        <v>3033</v>
      </c>
      <c r="C414" s="2" t="s">
        <v>3034</v>
      </c>
      <c r="D414" s="2">
        <v>2025</v>
      </c>
      <c r="E414" s="3">
        <v>45689</v>
      </c>
      <c r="F414" s="2" t="s">
        <v>3035</v>
      </c>
      <c r="G414" s="2">
        <v>40</v>
      </c>
      <c r="H414" s="2">
        <v>2</v>
      </c>
      <c r="I414" s="2" t="s">
        <v>43</v>
      </c>
      <c r="J414" s="2" t="s">
        <v>3036</v>
      </c>
      <c r="K414" s="2" t="s">
        <v>3037</v>
      </c>
      <c r="L414" s="2" t="s">
        <v>29</v>
      </c>
      <c r="M414" s="2" t="s">
        <v>3038</v>
      </c>
      <c r="N414" s="2" t="s">
        <v>2066</v>
      </c>
      <c r="O414" s="2" t="s">
        <v>3039</v>
      </c>
      <c r="P414" s="2" t="s">
        <v>3040</v>
      </c>
      <c r="Q414" s="2" t="s">
        <v>33</v>
      </c>
      <c r="R414" s="2" t="s">
        <v>3041</v>
      </c>
      <c r="S414" s="2" t="s">
        <v>1681</v>
      </c>
      <c r="T414" s="2" t="s">
        <v>3042</v>
      </c>
      <c r="U414" s="2" t="s">
        <v>3043</v>
      </c>
      <c r="V414" s="2" t="s">
        <v>80</v>
      </c>
    </row>
    <row r="415" spans="1:22">
      <c r="A415" s="2" t="s">
        <v>635</v>
      </c>
      <c r="B415" s="2" t="s">
        <v>3044</v>
      </c>
      <c r="C415" s="2" t="s">
        <v>3045</v>
      </c>
      <c r="D415" s="2">
        <v>2025</v>
      </c>
      <c r="E415" s="3">
        <v>45658</v>
      </c>
      <c r="F415" s="2" t="s">
        <v>3046</v>
      </c>
      <c r="G415" s="2">
        <v>96</v>
      </c>
      <c r="H415" s="2">
        <v>1</v>
      </c>
      <c r="I415" s="2" t="s">
        <v>3047</v>
      </c>
      <c r="J415" s="2" t="s">
        <v>3048</v>
      </c>
      <c r="K415" s="2" t="s">
        <v>3049</v>
      </c>
      <c r="L415" s="2" t="s">
        <v>29</v>
      </c>
      <c r="M415" s="2" t="s">
        <v>1919</v>
      </c>
      <c r="N415" s="2" t="s">
        <v>3050</v>
      </c>
      <c r="O415" s="2" t="s">
        <v>3051</v>
      </c>
      <c r="P415" s="2" t="s">
        <v>3052</v>
      </c>
      <c r="Q415" s="2" t="s">
        <v>33</v>
      </c>
      <c r="R415" s="2" t="s">
        <v>3053</v>
      </c>
      <c r="S415" s="2" t="s">
        <v>79</v>
      </c>
      <c r="T415" s="2" t="s">
        <v>3054</v>
      </c>
      <c r="U415" s="2" t="s">
        <v>3055</v>
      </c>
      <c r="V415" s="2" t="s">
        <v>80</v>
      </c>
    </row>
    <row r="416" spans="1:22">
      <c r="A416" s="2" t="s">
        <v>1369</v>
      </c>
      <c r="B416" s="2" t="s">
        <v>3044</v>
      </c>
      <c r="C416" s="2" t="s">
        <v>3045</v>
      </c>
      <c r="D416" s="2">
        <v>2025</v>
      </c>
      <c r="E416" s="3">
        <v>45658</v>
      </c>
      <c r="F416" s="2" t="s">
        <v>3046</v>
      </c>
      <c r="G416" s="2">
        <v>96</v>
      </c>
      <c r="H416" s="2">
        <v>1</v>
      </c>
      <c r="I416" s="2" t="s">
        <v>3047</v>
      </c>
      <c r="J416" s="2" t="s">
        <v>3048</v>
      </c>
      <c r="K416" s="2" t="s">
        <v>3049</v>
      </c>
      <c r="L416" s="2" t="s">
        <v>29</v>
      </c>
      <c r="M416" s="2" t="s">
        <v>1919</v>
      </c>
      <c r="N416" s="2" t="s">
        <v>3050</v>
      </c>
      <c r="O416" s="2" t="s">
        <v>3051</v>
      </c>
      <c r="P416" s="2" t="s">
        <v>3052</v>
      </c>
      <c r="Q416" s="2" t="s">
        <v>33</v>
      </c>
      <c r="R416" s="2" t="s">
        <v>3053</v>
      </c>
      <c r="S416" s="2" t="s">
        <v>79</v>
      </c>
      <c r="T416" s="2" t="s">
        <v>3054</v>
      </c>
      <c r="U416" s="2" t="s">
        <v>3055</v>
      </c>
      <c r="V416" s="2" t="s">
        <v>80</v>
      </c>
    </row>
    <row r="417" spans="1:22" ht="28.8">
      <c r="A417" s="2" t="s">
        <v>276</v>
      </c>
      <c r="B417" s="2" t="s">
        <v>3056</v>
      </c>
      <c r="C417" s="2" t="s">
        <v>3057</v>
      </c>
      <c r="D417" s="2">
        <v>2024</v>
      </c>
      <c r="E417" s="3">
        <v>45444</v>
      </c>
      <c r="F417" s="2" t="s">
        <v>651</v>
      </c>
      <c r="G417" s="2">
        <v>13</v>
      </c>
      <c r="H417" s="2">
        <v>11</v>
      </c>
      <c r="I417" s="2" t="s">
        <v>43</v>
      </c>
      <c r="J417" s="2" t="s">
        <v>652</v>
      </c>
      <c r="K417" s="2" t="s">
        <v>61</v>
      </c>
      <c r="L417" s="2" t="s">
        <v>29</v>
      </c>
      <c r="M417" s="2" t="s">
        <v>653</v>
      </c>
      <c r="N417" s="2" t="s">
        <v>476</v>
      </c>
      <c r="O417" s="2" t="s">
        <v>654</v>
      </c>
      <c r="P417" s="2" t="s">
        <v>3058</v>
      </c>
      <c r="Q417" s="2" t="s">
        <v>49</v>
      </c>
      <c r="R417" s="2" t="s">
        <v>3059</v>
      </c>
      <c r="S417" s="2" t="s">
        <v>3060</v>
      </c>
      <c r="T417" s="2" t="s">
        <v>3061</v>
      </c>
      <c r="U417" s="2" t="s">
        <v>3062</v>
      </c>
      <c r="V417" s="2" t="s">
        <v>594</v>
      </c>
    </row>
    <row r="418" spans="1:22">
      <c r="A418" s="2" t="s">
        <v>3063</v>
      </c>
      <c r="B418" s="2" t="s">
        <v>3064</v>
      </c>
      <c r="C418" s="2" t="s">
        <v>3065</v>
      </c>
      <c r="D418" s="2">
        <v>2024</v>
      </c>
      <c r="E418" s="3">
        <v>45566</v>
      </c>
      <c r="F418" s="2" t="s">
        <v>3066</v>
      </c>
      <c r="G418" s="2">
        <v>14</v>
      </c>
      <c r="H418" s="2">
        <v>10</v>
      </c>
      <c r="I418" s="2" t="s">
        <v>43</v>
      </c>
      <c r="J418" s="2" t="s">
        <v>3067</v>
      </c>
      <c r="K418" s="2" t="s">
        <v>61</v>
      </c>
      <c r="L418" s="2" t="s">
        <v>29</v>
      </c>
      <c r="M418" s="2" t="s">
        <v>498</v>
      </c>
      <c r="N418" s="2" t="s">
        <v>464</v>
      </c>
      <c r="O418" s="2" t="s">
        <v>3068</v>
      </c>
      <c r="P418" s="2" t="s">
        <v>3069</v>
      </c>
      <c r="Q418" s="2" t="s">
        <v>49</v>
      </c>
      <c r="R418" s="2" t="s">
        <v>3070</v>
      </c>
      <c r="S418" s="2" t="s">
        <v>3071</v>
      </c>
      <c r="T418" s="2" t="s">
        <v>3072</v>
      </c>
      <c r="U418" s="2" t="s">
        <v>3073</v>
      </c>
      <c r="V418" s="2" t="s">
        <v>2996</v>
      </c>
    </row>
    <row r="419" spans="1:22">
      <c r="A419" s="2" t="s">
        <v>3074</v>
      </c>
      <c r="B419" s="2" t="s">
        <v>3075</v>
      </c>
      <c r="C419" s="2" t="s">
        <v>3076</v>
      </c>
      <c r="D419" s="2">
        <v>2025</v>
      </c>
      <c r="E419" s="3">
        <v>45658</v>
      </c>
      <c r="F419" s="2" t="s">
        <v>3077</v>
      </c>
      <c r="G419" s="2" t="s">
        <v>43</v>
      </c>
      <c r="H419" s="2" t="s">
        <v>43</v>
      </c>
      <c r="I419" s="2" t="s">
        <v>43</v>
      </c>
      <c r="J419" s="2" t="s">
        <v>3078</v>
      </c>
      <c r="K419" s="2" t="s">
        <v>302</v>
      </c>
      <c r="L419" s="2" t="s">
        <v>29</v>
      </c>
      <c r="M419" s="2" t="s">
        <v>2522</v>
      </c>
      <c r="N419" s="2" t="s">
        <v>3079</v>
      </c>
      <c r="O419" s="2" t="s">
        <v>3080</v>
      </c>
      <c r="P419" s="2" t="s">
        <v>3081</v>
      </c>
      <c r="Q419" s="2" t="s">
        <v>33</v>
      </c>
      <c r="R419" s="2" t="s">
        <v>3082</v>
      </c>
      <c r="S419" s="2" t="s">
        <v>1681</v>
      </c>
      <c r="T419" s="2" t="s">
        <v>3083</v>
      </c>
      <c r="U419" s="2" t="s">
        <v>3084</v>
      </c>
      <c r="V419" s="2" t="s">
        <v>80</v>
      </c>
    </row>
    <row r="420" spans="1:22">
      <c r="A420" s="2" t="s">
        <v>1916</v>
      </c>
      <c r="B420" s="2" t="s">
        <v>3075</v>
      </c>
      <c r="C420" s="2" t="s">
        <v>3076</v>
      </c>
      <c r="D420" s="2">
        <v>2025</v>
      </c>
      <c r="E420" s="3">
        <v>45658</v>
      </c>
      <c r="F420" s="2" t="s">
        <v>3077</v>
      </c>
      <c r="G420" s="2" t="s">
        <v>43</v>
      </c>
      <c r="H420" s="2" t="s">
        <v>43</v>
      </c>
      <c r="I420" s="2" t="s">
        <v>43</v>
      </c>
      <c r="J420" s="2" t="s">
        <v>3078</v>
      </c>
      <c r="K420" s="2" t="s">
        <v>302</v>
      </c>
      <c r="L420" s="2" t="s">
        <v>29</v>
      </c>
      <c r="M420" s="2" t="s">
        <v>2522</v>
      </c>
      <c r="N420" s="2" t="s">
        <v>3079</v>
      </c>
      <c r="O420" s="2" t="s">
        <v>3080</v>
      </c>
      <c r="P420" s="2" t="s">
        <v>3081</v>
      </c>
      <c r="Q420" s="2" t="s">
        <v>33</v>
      </c>
      <c r="R420" s="2" t="s">
        <v>3082</v>
      </c>
      <c r="S420" s="2" t="s">
        <v>1681</v>
      </c>
      <c r="T420" s="2" t="s">
        <v>3083</v>
      </c>
      <c r="U420" s="2" t="s">
        <v>3084</v>
      </c>
      <c r="V420" s="2" t="s">
        <v>80</v>
      </c>
    </row>
    <row r="421" spans="1:22" ht="28.8">
      <c r="A421" s="2" t="s">
        <v>276</v>
      </c>
      <c r="B421" s="2" t="s">
        <v>3085</v>
      </c>
      <c r="C421" s="2" t="s">
        <v>3086</v>
      </c>
      <c r="D421" s="2">
        <v>2025</v>
      </c>
      <c r="E421" s="3">
        <v>45809</v>
      </c>
      <c r="F421" s="2" t="s">
        <v>651</v>
      </c>
      <c r="G421" s="2">
        <v>14</v>
      </c>
      <c r="H421" s="2">
        <v>11</v>
      </c>
      <c r="I421" s="2" t="s">
        <v>43</v>
      </c>
      <c r="J421" s="2" t="s">
        <v>652</v>
      </c>
      <c r="K421" s="2" t="s">
        <v>61</v>
      </c>
      <c r="L421" s="2" t="s">
        <v>29</v>
      </c>
      <c r="M421" s="2" t="s">
        <v>653</v>
      </c>
      <c r="N421" s="2" t="s">
        <v>476</v>
      </c>
      <c r="O421" s="2" t="s">
        <v>1919</v>
      </c>
      <c r="P421" s="2" t="s">
        <v>3087</v>
      </c>
      <c r="Q421" s="2" t="s">
        <v>49</v>
      </c>
      <c r="R421" s="2" t="s">
        <v>3088</v>
      </c>
      <c r="S421" s="2" t="s">
        <v>3089</v>
      </c>
      <c r="T421" s="2" t="s">
        <v>3090</v>
      </c>
      <c r="U421" s="2" t="s">
        <v>3091</v>
      </c>
      <c r="V421" s="2" t="s">
        <v>3092</v>
      </c>
    </row>
    <row r="422" spans="1:22">
      <c r="A422" s="2" t="s">
        <v>3093</v>
      </c>
      <c r="B422" s="2" t="s">
        <v>3094</v>
      </c>
      <c r="C422" s="2" t="s">
        <v>3095</v>
      </c>
      <c r="D422" s="2">
        <v>2024</v>
      </c>
      <c r="E422" s="3">
        <v>45352</v>
      </c>
      <c r="F422" s="2" t="s">
        <v>3096</v>
      </c>
      <c r="G422" s="2">
        <v>152</v>
      </c>
      <c r="H422" s="2">
        <v>3</v>
      </c>
      <c r="I422" s="2" t="s">
        <v>3097</v>
      </c>
      <c r="J422" s="2" t="s">
        <v>3098</v>
      </c>
      <c r="K422" s="2" t="s">
        <v>3099</v>
      </c>
      <c r="L422" s="2" t="s">
        <v>1867</v>
      </c>
      <c r="M422" s="2" t="s">
        <v>47</v>
      </c>
      <c r="N422" s="2" t="s">
        <v>2797</v>
      </c>
      <c r="O422" s="2" t="s">
        <v>3100</v>
      </c>
      <c r="P422" s="2" t="s">
        <v>3101</v>
      </c>
      <c r="Q422" s="2" t="s">
        <v>33</v>
      </c>
      <c r="R422" s="2" t="s">
        <v>3102</v>
      </c>
      <c r="S422" s="2" t="s">
        <v>79</v>
      </c>
      <c r="T422" s="2" t="s">
        <v>2488</v>
      </c>
      <c r="U422" s="2" t="s">
        <v>2489</v>
      </c>
      <c r="V422" s="2" t="s">
        <v>80</v>
      </c>
    </row>
    <row r="423" spans="1:22">
      <c r="A423" s="2" t="s">
        <v>3103</v>
      </c>
      <c r="B423" s="2" t="s">
        <v>3094</v>
      </c>
      <c r="C423" s="2" t="s">
        <v>3095</v>
      </c>
      <c r="D423" s="2">
        <v>2024</v>
      </c>
      <c r="E423" s="3">
        <v>45352</v>
      </c>
      <c r="F423" s="2" t="s">
        <v>3096</v>
      </c>
      <c r="G423" s="2">
        <v>152</v>
      </c>
      <c r="H423" s="2">
        <v>3</v>
      </c>
      <c r="I423" s="2" t="s">
        <v>3097</v>
      </c>
      <c r="J423" s="2" t="s">
        <v>3098</v>
      </c>
      <c r="K423" s="2" t="s">
        <v>3099</v>
      </c>
      <c r="L423" s="2" t="s">
        <v>1867</v>
      </c>
      <c r="M423" s="2" t="s">
        <v>47</v>
      </c>
      <c r="N423" s="2" t="s">
        <v>2797</v>
      </c>
      <c r="O423" s="2" t="s">
        <v>3100</v>
      </c>
      <c r="P423" s="2" t="s">
        <v>3101</v>
      </c>
      <c r="Q423" s="2" t="s">
        <v>33</v>
      </c>
      <c r="R423" s="2" t="s">
        <v>3102</v>
      </c>
      <c r="S423" s="2" t="s">
        <v>79</v>
      </c>
      <c r="T423" s="2" t="s">
        <v>2488</v>
      </c>
      <c r="U423" s="2" t="s">
        <v>2489</v>
      </c>
      <c r="V423" s="2" t="s">
        <v>80</v>
      </c>
    </row>
    <row r="424" spans="1:22">
      <c r="A424" s="2" t="s">
        <v>1751</v>
      </c>
      <c r="B424" s="2" t="s">
        <v>3104</v>
      </c>
      <c r="C424" s="2" t="s">
        <v>3105</v>
      </c>
      <c r="D424" s="2">
        <v>2025</v>
      </c>
      <c r="E424" s="3">
        <v>45853</v>
      </c>
      <c r="F424" s="2" t="s">
        <v>957</v>
      </c>
      <c r="G424" s="2">
        <v>603</v>
      </c>
      <c r="H424" s="2">
        <v>14</v>
      </c>
      <c r="I424" s="2" t="s">
        <v>3106</v>
      </c>
      <c r="J424" s="2" t="s">
        <v>959</v>
      </c>
      <c r="K424" s="2" t="s">
        <v>119</v>
      </c>
      <c r="L424" s="2" t="s">
        <v>29</v>
      </c>
      <c r="M424" s="2" t="s">
        <v>567</v>
      </c>
      <c r="N424" s="2" t="s">
        <v>1520</v>
      </c>
      <c r="O424" s="4">
        <v>1476</v>
      </c>
      <c r="P424" s="2" t="s">
        <v>3107</v>
      </c>
      <c r="Q424" s="2" t="s">
        <v>33</v>
      </c>
      <c r="R424" s="2" t="s">
        <v>3108</v>
      </c>
      <c r="S424" s="2" t="s">
        <v>174</v>
      </c>
      <c r="T424" s="2" t="s">
        <v>175</v>
      </c>
      <c r="U424" s="2" t="s">
        <v>176</v>
      </c>
      <c r="V424" s="2" t="s">
        <v>177</v>
      </c>
    </row>
    <row r="425" spans="1:22">
      <c r="A425" s="2" t="s">
        <v>1619</v>
      </c>
      <c r="B425" s="2" t="s">
        <v>3109</v>
      </c>
      <c r="C425" s="2" t="s">
        <v>3110</v>
      </c>
      <c r="D425" s="2">
        <v>2025</v>
      </c>
      <c r="E425" s="3">
        <v>45678</v>
      </c>
      <c r="F425" s="2" t="s">
        <v>3111</v>
      </c>
      <c r="G425" s="2" t="s">
        <v>43</v>
      </c>
      <c r="H425" s="2" t="s">
        <v>43</v>
      </c>
      <c r="I425" s="2" t="s">
        <v>3112</v>
      </c>
      <c r="J425" s="2" t="s">
        <v>43</v>
      </c>
      <c r="K425" s="2" t="s">
        <v>3113</v>
      </c>
      <c r="L425" s="2" t="s">
        <v>29</v>
      </c>
      <c r="M425" s="2" t="s">
        <v>43</v>
      </c>
      <c r="N425" s="2" t="s">
        <v>43</v>
      </c>
      <c r="O425" s="2" t="s">
        <v>43</v>
      </c>
      <c r="P425" s="2" t="s">
        <v>3114</v>
      </c>
      <c r="Q425" s="2" t="s">
        <v>2112</v>
      </c>
      <c r="R425" s="2" t="s">
        <v>3115</v>
      </c>
      <c r="S425" s="2" t="s">
        <v>3116</v>
      </c>
      <c r="T425" s="2" t="s">
        <v>3117</v>
      </c>
      <c r="U425" s="2" t="s">
        <v>3118</v>
      </c>
      <c r="V425" s="2" t="s">
        <v>594</v>
      </c>
    </row>
    <row r="426" spans="1:22" ht="28.8">
      <c r="A426" s="2" t="s">
        <v>1908</v>
      </c>
      <c r="B426" s="2" t="s">
        <v>3119</v>
      </c>
      <c r="C426" s="2" t="s">
        <v>3120</v>
      </c>
      <c r="D426" s="2">
        <v>2025</v>
      </c>
      <c r="E426" s="3">
        <v>45992</v>
      </c>
      <c r="F426" s="2" t="s">
        <v>3121</v>
      </c>
      <c r="G426" s="2">
        <v>11</v>
      </c>
      <c r="H426" s="2">
        <v>1</v>
      </c>
      <c r="I426" s="2" t="s">
        <v>43</v>
      </c>
      <c r="J426" s="2" t="s">
        <v>3122</v>
      </c>
      <c r="K426" s="2" t="s">
        <v>220</v>
      </c>
      <c r="L426" s="2" t="s">
        <v>29</v>
      </c>
      <c r="M426" s="2" t="s">
        <v>667</v>
      </c>
      <c r="N426" s="2" t="s">
        <v>63</v>
      </c>
      <c r="O426" s="4">
        <v>1485</v>
      </c>
      <c r="P426" s="2" t="s">
        <v>3123</v>
      </c>
      <c r="Q426" s="2" t="s">
        <v>33</v>
      </c>
      <c r="R426" s="2" t="s">
        <v>3124</v>
      </c>
      <c r="S426" s="2" t="s">
        <v>3125</v>
      </c>
      <c r="T426" s="2" t="s">
        <v>3126</v>
      </c>
      <c r="U426" s="2" t="s">
        <v>3127</v>
      </c>
      <c r="V426" s="2" t="s">
        <v>1907</v>
      </c>
    </row>
    <row r="427" spans="1:22" ht="28.8">
      <c r="A427" s="2" t="s">
        <v>1396</v>
      </c>
      <c r="B427" s="2" t="s">
        <v>3119</v>
      </c>
      <c r="C427" s="2" t="s">
        <v>3120</v>
      </c>
      <c r="D427" s="2">
        <v>2025</v>
      </c>
      <c r="E427" s="3">
        <v>45992</v>
      </c>
      <c r="F427" s="2" t="s">
        <v>3121</v>
      </c>
      <c r="G427" s="2">
        <v>11</v>
      </c>
      <c r="H427" s="2">
        <v>1</v>
      </c>
      <c r="I427" s="2" t="s">
        <v>43</v>
      </c>
      <c r="J427" s="2" t="s">
        <v>3122</v>
      </c>
      <c r="K427" s="2" t="s">
        <v>220</v>
      </c>
      <c r="L427" s="2" t="s">
        <v>29</v>
      </c>
      <c r="M427" s="2" t="s">
        <v>667</v>
      </c>
      <c r="N427" s="2" t="s">
        <v>63</v>
      </c>
      <c r="O427" s="4">
        <v>1485</v>
      </c>
      <c r="P427" s="2" t="s">
        <v>3123</v>
      </c>
      <c r="Q427" s="2" t="s">
        <v>33</v>
      </c>
      <c r="R427" s="2" t="s">
        <v>3124</v>
      </c>
      <c r="S427" s="2" t="s">
        <v>3125</v>
      </c>
      <c r="T427" s="2" t="s">
        <v>3126</v>
      </c>
      <c r="U427" s="2" t="s">
        <v>3127</v>
      </c>
      <c r="V427" s="2" t="s">
        <v>1907</v>
      </c>
    </row>
    <row r="428" spans="1:22" ht="28.8">
      <c r="A428" s="2" t="s">
        <v>2815</v>
      </c>
      <c r="B428" s="2" t="s">
        <v>3119</v>
      </c>
      <c r="C428" s="2" t="s">
        <v>3120</v>
      </c>
      <c r="D428" s="2">
        <v>2025</v>
      </c>
      <c r="E428" s="3">
        <v>45992</v>
      </c>
      <c r="F428" s="2" t="s">
        <v>3121</v>
      </c>
      <c r="G428" s="2">
        <v>11</v>
      </c>
      <c r="H428" s="2">
        <v>1</v>
      </c>
      <c r="I428" s="2" t="s">
        <v>43</v>
      </c>
      <c r="J428" s="2" t="s">
        <v>3122</v>
      </c>
      <c r="K428" s="2" t="s">
        <v>220</v>
      </c>
      <c r="L428" s="2" t="s">
        <v>29</v>
      </c>
      <c r="M428" s="2" t="s">
        <v>667</v>
      </c>
      <c r="N428" s="2" t="s">
        <v>63</v>
      </c>
      <c r="O428" s="4">
        <v>1485</v>
      </c>
      <c r="P428" s="2" t="s">
        <v>3123</v>
      </c>
      <c r="Q428" s="2" t="s">
        <v>33</v>
      </c>
      <c r="R428" s="2" t="s">
        <v>3124</v>
      </c>
      <c r="S428" s="2" t="s">
        <v>3125</v>
      </c>
      <c r="T428" s="2" t="s">
        <v>3126</v>
      </c>
      <c r="U428" s="2" t="s">
        <v>3127</v>
      </c>
      <c r="V428" s="2" t="s">
        <v>1907</v>
      </c>
    </row>
    <row r="429" spans="1:22">
      <c r="A429" s="2" t="s">
        <v>3128</v>
      </c>
      <c r="B429" s="2" t="s">
        <v>3129</v>
      </c>
      <c r="C429" s="2" t="s">
        <v>3130</v>
      </c>
      <c r="D429" s="2">
        <v>2025</v>
      </c>
      <c r="E429" s="3">
        <v>45748</v>
      </c>
      <c r="F429" s="2" t="s">
        <v>3131</v>
      </c>
      <c r="G429" s="2">
        <v>25</v>
      </c>
      <c r="H429" s="2">
        <v>100</v>
      </c>
      <c r="I429" s="7">
        <v>20699</v>
      </c>
      <c r="J429" s="2" t="s">
        <v>3132</v>
      </c>
      <c r="K429" s="2" t="s">
        <v>3133</v>
      </c>
      <c r="L429" s="2" t="s">
        <v>1867</v>
      </c>
      <c r="M429" s="2" t="s">
        <v>2735</v>
      </c>
      <c r="N429" s="2" t="s">
        <v>3134</v>
      </c>
      <c r="O429" s="2" t="s">
        <v>3135</v>
      </c>
      <c r="P429" s="2" t="s">
        <v>3136</v>
      </c>
      <c r="Q429" s="2" t="s">
        <v>33</v>
      </c>
      <c r="R429" s="2" t="s">
        <v>3137</v>
      </c>
      <c r="S429" s="2" t="s">
        <v>3138</v>
      </c>
      <c r="T429" s="2" t="s">
        <v>3139</v>
      </c>
      <c r="U429" s="2" t="s">
        <v>3140</v>
      </c>
      <c r="V429" s="2" t="s">
        <v>80</v>
      </c>
    </row>
    <row r="430" spans="1:22">
      <c r="A430" s="2" t="s">
        <v>3141</v>
      </c>
      <c r="B430" s="2" t="s">
        <v>3142</v>
      </c>
      <c r="C430" s="2" t="s">
        <v>3143</v>
      </c>
      <c r="D430" s="2">
        <v>2025</v>
      </c>
      <c r="E430" s="3">
        <v>45778</v>
      </c>
      <c r="F430" s="2" t="s">
        <v>3144</v>
      </c>
      <c r="G430" s="2">
        <v>13</v>
      </c>
      <c r="H430" s="2">
        <v>10</v>
      </c>
      <c r="I430" s="2" t="s">
        <v>43</v>
      </c>
      <c r="J430" s="2" t="s">
        <v>3145</v>
      </c>
      <c r="K430" s="2" t="s">
        <v>61</v>
      </c>
      <c r="L430" s="2" t="s">
        <v>29</v>
      </c>
      <c r="M430" s="2" t="s">
        <v>2613</v>
      </c>
      <c r="N430" s="2" t="s">
        <v>374</v>
      </c>
      <c r="O430" s="2" t="s">
        <v>3146</v>
      </c>
      <c r="P430" s="2" t="s">
        <v>3147</v>
      </c>
      <c r="Q430" s="2" t="s">
        <v>33</v>
      </c>
      <c r="R430" s="2" t="s">
        <v>3148</v>
      </c>
      <c r="S430" s="2" t="s">
        <v>3149</v>
      </c>
      <c r="T430" s="2" t="s">
        <v>3150</v>
      </c>
      <c r="U430" s="2" t="s">
        <v>3151</v>
      </c>
      <c r="V430" s="2" t="s">
        <v>80</v>
      </c>
    </row>
    <row r="431" spans="1:22" ht="28.8">
      <c r="A431" s="2" t="s">
        <v>3152</v>
      </c>
      <c r="B431" s="2" t="s">
        <v>3153</v>
      </c>
      <c r="C431" s="2" t="s">
        <v>3154</v>
      </c>
      <c r="D431" s="2">
        <v>2025</v>
      </c>
      <c r="E431" s="3">
        <v>45962</v>
      </c>
      <c r="F431" s="2" t="s">
        <v>73</v>
      </c>
      <c r="G431" s="2">
        <v>26</v>
      </c>
      <c r="H431" s="2">
        <v>22</v>
      </c>
      <c r="I431" s="2" t="s">
        <v>43</v>
      </c>
      <c r="J431" s="2" t="s">
        <v>74</v>
      </c>
      <c r="K431" s="2" t="s">
        <v>61</v>
      </c>
      <c r="L431" s="2" t="s">
        <v>29</v>
      </c>
      <c r="M431" s="2" t="s">
        <v>76</v>
      </c>
      <c r="N431" s="2" t="s">
        <v>76</v>
      </c>
      <c r="O431" s="4">
        <v>1316</v>
      </c>
      <c r="P431" s="2" t="s">
        <v>3155</v>
      </c>
      <c r="Q431" s="2" t="s">
        <v>49</v>
      </c>
      <c r="R431" s="2" t="s">
        <v>3156</v>
      </c>
      <c r="S431" s="2" t="s">
        <v>3157</v>
      </c>
      <c r="T431" s="2" t="s">
        <v>3158</v>
      </c>
      <c r="U431" s="2" t="s">
        <v>3159</v>
      </c>
      <c r="V431" s="2" t="s">
        <v>1060</v>
      </c>
    </row>
    <row r="432" spans="1:22" ht="28.8">
      <c r="A432" s="2" t="s">
        <v>1061</v>
      </c>
      <c r="B432" s="2" t="s">
        <v>3153</v>
      </c>
      <c r="C432" s="2" t="s">
        <v>3154</v>
      </c>
      <c r="D432" s="2">
        <v>2025</v>
      </c>
      <c r="E432" s="3">
        <v>45962</v>
      </c>
      <c r="F432" s="2" t="s">
        <v>73</v>
      </c>
      <c r="G432" s="2">
        <v>26</v>
      </c>
      <c r="H432" s="2">
        <v>22</v>
      </c>
      <c r="I432" s="2" t="s">
        <v>43</v>
      </c>
      <c r="J432" s="2" t="s">
        <v>74</v>
      </c>
      <c r="K432" s="2" t="s">
        <v>61</v>
      </c>
      <c r="L432" s="2" t="s">
        <v>29</v>
      </c>
      <c r="M432" s="2" t="s">
        <v>76</v>
      </c>
      <c r="N432" s="2" t="s">
        <v>76</v>
      </c>
      <c r="O432" s="4">
        <v>1316</v>
      </c>
      <c r="P432" s="2" t="s">
        <v>3155</v>
      </c>
      <c r="Q432" s="2" t="s">
        <v>49</v>
      </c>
      <c r="R432" s="2" t="s">
        <v>3156</v>
      </c>
      <c r="S432" s="2" t="s">
        <v>3157</v>
      </c>
      <c r="T432" s="2" t="s">
        <v>3158</v>
      </c>
      <c r="U432" s="2" t="s">
        <v>3159</v>
      </c>
      <c r="V432" s="2" t="s">
        <v>1060</v>
      </c>
    </row>
    <row r="433" spans="1:22">
      <c r="A433" s="2" t="s">
        <v>622</v>
      </c>
      <c r="B433" s="2" t="s">
        <v>3160</v>
      </c>
      <c r="C433" s="2" t="s">
        <v>3161</v>
      </c>
      <c r="D433" s="2">
        <v>2025</v>
      </c>
      <c r="E433" s="3">
        <v>45992</v>
      </c>
      <c r="F433" s="2" t="s">
        <v>2175</v>
      </c>
      <c r="G433" s="2">
        <v>6</v>
      </c>
      <c r="H433" s="2">
        <v>4</v>
      </c>
      <c r="I433" s="2" t="s">
        <v>43</v>
      </c>
      <c r="J433" s="2" t="s">
        <v>2176</v>
      </c>
      <c r="K433" s="2" t="s">
        <v>61</v>
      </c>
      <c r="L433" s="2" t="s">
        <v>29</v>
      </c>
      <c r="M433" s="2" t="s">
        <v>2177</v>
      </c>
      <c r="N433" s="2" t="s">
        <v>2178</v>
      </c>
      <c r="O433" s="2" t="s">
        <v>2179</v>
      </c>
      <c r="P433" s="2" t="s">
        <v>3162</v>
      </c>
      <c r="Q433" s="2" t="s">
        <v>49</v>
      </c>
      <c r="R433" s="2" t="s">
        <v>3163</v>
      </c>
      <c r="S433" s="2" t="s">
        <v>3164</v>
      </c>
      <c r="T433" s="2" t="s">
        <v>3165</v>
      </c>
      <c r="U433" s="2" t="s">
        <v>3166</v>
      </c>
      <c r="V433" s="2" t="s">
        <v>80</v>
      </c>
    </row>
    <row r="434" spans="1:22">
      <c r="A434" s="2" t="s">
        <v>635</v>
      </c>
      <c r="B434" s="2" t="s">
        <v>3167</v>
      </c>
      <c r="C434" s="2" t="s">
        <v>3168</v>
      </c>
      <c r="D434" s="2">
        <v>2025</v>
      </c>
      <c r="E434" s="3">
        <v>45658</v>
      </c>
      <c r="F434" s="2" t="s">
        <v>3169</v>
      </c>
      <c r="G434" s="2">
        <v>60</v>
      </c>
      <c r="H434" s="2">
        <v>1</v>
      </c>
      <c r="I434" s="2" t="s">
        <v>43</v>
      </c>
      <c r="J434" s="2" t="s">
        <v>3170</v>
      </c>
      <c r="K434" s="2" t="s">
        <v>119</v>
      </c>
      <c r="L434" s="2" t="s">
        <v>29</v>
      </c>
      <c r="M434" s="2" t="s">
        <v>2110</v>
      </c>
      <c r="N434" s="2" t="s">
        <v>1520</v>
      </c>
      <c r="O434" s="2" t="s">
        <v>1184</v>
      </c>
      <c r="P434" s="2" t="s">
        <v>3171</v>
      </c>
      <c r="Q434" s="2" t="s">
        <v>644</v>
      </c>
      <c r="R434" s="2" t="s">
        <v>3172</v>
      </c>
      <c r="S434" s="2" t="s">
        <v>1106</v>
      </c>
      <c r="T434" s="2" t="s">
        <v>3173</v>
      </c>
      <c r="U434" s="2" t="s">
        <v>3174</v>
      </c>
      <c r="V434" s="2" t="s">
        <v>80</v>
      </c>
    </row>
    <row r="435" spans="1:22">
      <c r="A435" s="2" t="s">
        <v>1551</v>
      </c>
      <c r="B435" s="2" t="s">
        <v>3175</v>
      </c>
      <c r="C435" s="2" t="s">
        <v>3176</v>
      </c>
      <c r="D435" s="2">
        <v>2024</v>
      </c>
      <c r="E435" s="3">
        <v>45292</v>
      </c>
      <c r="F435" s="2" t="s">
        <v>203</v>
      </c>
      <c r="G435" s="2">
        <v>15</v>
      </c>
      <c r="H435" s="2" t="s">
        <v>43</v>
      </c>
      <c r="I435" s="2" t="s">
        <v>43</v>
      </c>
      <c r="J435" s="2" t="s">
        <v>204</v>
      </c>
      <c r="K435" s="2" t="s">
        <v>183</v>
      </c>
      <c r="L435" s="2" t="s">
        <v>29</v>
      </c>
      <c r="M435" s="2" t="s">
        <v>205</v>
      </c>
      <c r="N435" s="2" t="s">
        <v>63</v>
      </c>
      <c r="O435" s="2" t="s">
        <v>206</v>
      </c>
      <c r="P435" s="2" t="s">
        <v>3177</v>
      </c>
      <c r="Q435" s="2" t="s">
        <v>33</v>
      </c>
      <c r="R435" s="2" t="s">
        <v>3178</v>
      </c>
      <c r="S435" s="2" t="s">
        <v>79</v>
      </c>
      <c r="T435" s="5">
        <v>601053680000000</v>
      </c>
      <c r="U435" s="2" t="s">
        <v>79</v>
      </c>
      <c r="V435" s="2" t="s">
        <v>80</v>
      </c>
    </row>
    <row r="436" spans="1:22">
      <c r="A436" s="2" t="s">
        <v>3179</v>
      </c>
      <c r="B436" s="2" t="s">
        <v>3175</v>
      </c>
      <c r="C436" s="2" t="s">
        <v>3176</v>
      </c>
      <c r="D436" s="2">
        <v>2024</v>
      </c>
      <c r="E436" s="3">
        <v>45292</v>
      </c>
      <c r="F436" s="2" t="s">
        <v>203</v>
      </c>
      <c r="G436" s="2">
        <v>15</v>
      </c>
      <c r="H436" s="2" t="s">
        <v>43</v>
      </c>
      <c r="I436" s="2" t="s">
        <v>43</v>
      </c>
      <c r="J436" s="2" t="s">
        <v>204</v>
      </c>
      <c r="K436" s="2" t="s">
        <v>183</v>
      </c>
      <c r="L436" s="2" t="s">
        <v>29</v>
      </c>
      <c r="M436" s="2" t="s">
        <v>205</v>
      </c>
      <c r="N436" s="2" t="s">
        <v>63</v>
      </c>
      <c r="O436" s="2" t="s">
        <v>206</v>
      </c>
      <c r="P436" s="2" t="s">
        <v>3177</v>
      </c>
      <c r="Q436" s="2" t="s">
        <v>33</v>
      </c>
      <c r="R436" s="2" t="s">
        <v>3178</v>
      </c>
      <c r="S436" s="2" t="s">
        <v>79</v>
      </c>
      <c r="T436" s="5">
        <v>601053680000000</v>
      </c>
      <c r="U436" s="2" t="s">
        <v>79</v>
      </c>
      <c r="V436" s="2" t="s">
        <v>80</v>
      </c>
    </row>
    <row r="437" spans="1:22">
      <c r="A437" s="2" t="s">
        <v>3180</v>
      </c>
      <c r="B437" s="2" t="s">
        <v>3175</v>
      </c>
      <c r="C437" s="2" t="s">
        <v>3176</v>
      </c>
      <c r="D437" s="2">
        <v>2024</v>
      </c>
      <c r="E437" s="3">
        <v>45292</v>
      </c>
      <c r="F437" s="2" t="s">
        <v>203</v>
      </c>
      <c r="G437" s="2">
        <v>15</v>
      </c>
      <c r="H437" s="2" t="s">
        <v>43</v>
      </c>
      <c r="I437" s="2" t="s">
        <v>43</v>
      </c>
      <c r="J437" s="2" t="s">
        <v>204</v>
      </c>
      <c r="K437" s="2" t="s">
        <v>183</v>
      </c>
      <c r="L437" s="2" t="s">
        <v>29</v>
      </c>
      <c r="M437" s="2" t="s">
        <v>205</v>
      </c>
      <c r="N437" s="2" t="s">
        <v>63</v>
      </c>
      <c r="O437" s="2" t="s">
        <v>206</v>
      </c>
      <c r="P437" s="2" t="s">
        <v>3177</v>
      </c>
      <c r="Q437" s="2" t="s">
        <v>33</v>
      </c>
      <c r="R437" s="2" t="s">
        <v>3178</v>
      </c>
      <c r="S437" s="2" t="s">
        <v>79</v>
      </c>
      <c r="T437" s="5">
        <v>601053680000000</v>
      </c>
      <c r="U437" s="2" t="s">
        <v>79</v>
      </c>
      <c r="V437" s="2" t="s">
        <v>80</v>
      </c>
    </row>
    <row r="438" spans="1:22">
      <c r="A438" s="2" t="s">
        <v>3181</v>
      </c>
      <c r="B438" s="2" t="s">
        <v>3182</v>
      </c>
      <c r="C438" s="2" t="s">
        <v>3183</v>
      </c>
      <c r="D438" s="2">
        <v>2024</v>
      </c>
      <c r="E438" s="3">
        <v>45536</v>
      </c>
      <c r="F438" s="2" t="s">
        <v>2392</v>
      </c>
      <c r="G438" s="2">
        <v>35</v>
      </c>
      <c r="H438" s="6">
        <v>46178</v>
      </c>
      <c r="I438" s="2" t="s">
        <v>3184</v>
      </c>
      <c r="J438" s="2" t="s">
        <v>2394</v>
      </c>
      <c r="K438" s="2" t="s">
        <v>392</v>
      </c>
      <c r="L438" s="2" t="s">
        <v>773</v>
      </c>
      <c r="M438" s="2" t="s">
        <v>47</v>
      </c>
      <c r="N438" s="2" t="s">
        <v>2395</v>
      </c>
      <c r="O438" s="2" t="s">
        <v>2396</v>
      </c>
      <c r="P438" s="2" t="s">
        <v>3185</v>
      </c>
      <c r="Q438" s="2" t="s">
        <v>33</v>
      </c>
      <c r="R438" s="2" t="s">
        <v>3186</v>
      </c>
      <c r="S438" s="2" t="s">
        <v>1106</v>
      </c>
      <c r="T438" s="2" t="s">
        <v>3021</v>
      </c>
      <c r="U438" s="2" t="s">
        <v>3022</v>
      </c>
      <c r="V438" s="2" t="s">
        <v>80</v>
      </c>
    </row>
    <row r="439" spans="1:22">
      <c r="A439" s="2" t="s">
        <v>3187</v>
      </c>
      <c r="B439" s="2" t="s">
        <v>3188</v>
      </c>
      <c r="C439" s="2" t="s">
        <v>3189</v>
      </c>
      <c r="D439" s="2">
        <v>2024</v>
      </c>
      <c r="E439" s="3">
        <v>45323</v>
      </c>
      <c r="F439" s="2" t="s">
        <v>3096</v>
      </c>
      <c r="G439" s="2">
        <v>152</v>
      </c>
      <c r="H439" s="2">
        <v>2</v>
      </c>
      <c r="I439" s="2" t="s">
        <v>3190</v>
      </c>
      <c r="J439" s="2" t="s">
        <v>3098</v>
      </c>
      <c r="K439" s="2" t="s">
        <v>3099</v>
      </c>
      <c r="L439" s="2" t="s">
        <v>1867</v>
      </c>
      <c r="M439" s="2" t="s">
        <v>47</v>
      </c>
      <c r="N439" s="2" t="s">
        <v>2797</v>
      </c>
      <c r="O439" s="2" t="s">
        <v>3100</v>
      </c>
      <c r="P439" s="2" t="s">
        <v>3191</v>
      </c>
      <c r="Q439" s="2" t="s">
        <v>33</v>
      </c>
      <c r="R439" s="2" t="s">
        <v>3192</v>
      </c>
      <c r="S439" s="2" t="s">
        <v>844</v>
      </c>
      <c r="T439" s="2" t="s">
        <v>3193</v>
      </c>
      <c r="U439" s="2" t="s">
        <v>3194</v>
      </c>
      <c r="V439" s="2" t="s">
        <v>80</v>
      </c>
    </row>
    <row r="440" spans="1:22">
      <c r="A440" s="2" t="s">
        <v>3195</v>
      </c>
      <c r="B440" s="2" t="s">
        <v>3188</v>
      </c>
      <c r="C440" s="2" t="s">
        <v>3189</v>
      </c>
      <c r="D440" s="2">
        <v>2024</v>
      </c>
      <c r="E440" s="3">
        <v>45323</v>
      </c>
      <c r="F440" s="2" t="s">
        <v>3096</v>
      </c>
      <c r="G440" s="2">
        <v>152</v>
      </c>
      <c r="H440" s="2">
        <v>2</v>
      </c>
      <c r="I440" s="2" t="s">
        <v>3190</v>
      </c>
      <c r="J440" s="2" t="s">
        <v>3098</v>
      </c>
      <c r="K440" s="2" t="s">
        <v>3099</v>
      </c>
      <c r="L440" s="2" t="s">
        <v>1867</v>
      </c>
      <c r="M440" s="2" t="s">
        <v>47</v>
      </c>
      <c r="N440" s="2" t="s">
        <v>2797</v>
      </c>
      <c r="O440" s="2" t="s">
        <v>3100</v>
      </c>
      <c r="P440" s="2" t="s">
        <v>3191</v>
      </c>
      <c r="Q440" s="2" t="s">
        <v>33</v>
      </c>
      <c r="R440" s="2" t="s">
        <v>3192</v>
      </c>
      <c r="S440" s="2" t="s">
        <v>844</v>
      </c>
      <c r="T440" s="2" t="s">
        <v>3193</v>
      </c>
      <c r="U440" s="2" t="s">
        <v>3194</v>
      </c>
      <c r="V440" s="2" t="s">
        <v>80</v>
      </c>
    </row>
    <row r="441" spans="1:22">
      <c r="A441" s="2" t="s">
        <v>3196</v>
      </c>
      <c r="B441" s="2" t="s">
        <v>3197</v>
      </c>
      <c r="C441" s="2" t="s">
        <v>3198</v>
      </c>
      <c r="D441" s="2">
        <v>2025</v>
      </c>
      <c r="E441" s="3">
        <v>45658</v>
      </c>
      <c r="F441" s="2" t="s">
        <v>3199</v>
      </c>
      <c r="G441" s="2">
        <v>20</v>
      </c>
      <c r="H441" s="2" t="s">
        <v>43</v>
      </c>
      <c r="I441" s="2" t="s">
        <v>43</v>
      </c>
      <c r="J441" s="2" t="s">
        <v>3200</v>
      </c>
      <c r="K441" s="2" t="s">
        <v>3201</v>
      </c>
      <c r="L441" s="2" t="s">
        <v>3202</v>
      </c>
      <c r="M441" s="2" t="s">
        <v>3203</v>
      </c>
      <c r="N441" s="2" t="s">
        <v>2424</v>
      </c>
      <c r="O441" s="2" t="s">
        <v>3204</v>
      </c>
      <c r="P441" s="2" t="s">
        <v>3205</v>
      </c>
      <c r="Q441" s="2" t="s">
        <v>33</v>
      </c>
      <c r="R441" s="2" t="s">
        <v>3206</v>
      </c>
      <c r="S441" s="2" t="s">
        <v>3207</v>
      </c>
      <c r="T441" s="2" t="s">
        <v>3208</v>
      </c>
      <c r="U441" s="2" t="s">
        <v>3209</v>
      </c>
      <c r="V441" s="2" t="s">
        <v>80</v>
      </c>
    </row>
    <row r="442" spans="1:22">
      <c r="A442" s="2" t="s">
        <v>3141</v>
      </c>
      <c r="B442" s="2" t="s">
        <v>3210</v>
      </c>
      <c r="C442" s="2" t="s">
        <v>3211</v>
      </c>
      <c r="D442" s="2">
        <v>2025</v>
      </c>
      <c r="E442" s="3">
        <v>45778</v>
      </c>
      <c r="F442" s="2" t="s">
        <v>3212</v>
      </c>
      <c r="G442" s="2">
        <v>114</v>
      </c>
      <c r="H442" s="2">
        <v>5</v>
      </c>
      <c r="I442" s="2" t="s">
        <v>3213</v>
      </c>
      <c r="J442" s="2" t="s">
        <v>3214</v>
      </c>
      <c r="K442" s="2" t="s">
        <v>119</v>
      </c>
      <c r="L442" s="2" t="s">
        <v>29</v>
      </c>
      <c r="M442" s="2" t="s">
        <v>184</v>
      </c>
      <c r="N442" s="2" t="s">
        <v>1473</v>
      </c>
      <c r="O442" s="2" t="s">
        <v>3215</v>
      </c>
      <c r="P442" s="2" t="s">
        <v>3216</v>
      </c>
      <c r="Q442" s="2" t="s">
        <v>33</v>
      </c>
      <c r="R442" s="2" t="s">
        <v>3217</v>
      </c>
      <c r="S442" s="2" t="s">
        <v>3218</v>
      </c>
      <c r="T442" s="2" t="s">
        <v>3219</v>
      </c>
      <c r="U442" s="2" t="s">
        <v>3220</v>
      </c>
      <c r="V442" s="2" t="s">
        <v>3221</v>
      </c>
    </row>
    <row r="443" spans="1:22">
      <c r="A443" s="2" t="s">
        <v>1012</v>
      </c>
      <c r="B443" s="2" t="s">
        <v>3222</v>
      </c>
      <c r="C443" s="2" t="s">
        <v>3223</v>
      </c>
      <c r="D443" s="2">
        <v>2025</v>
      </c>
      <c r="E443" s="3">
        <v>45778</v>
      </c>
      <c r="F443" s="2" t="s">
        <v>889</v>
      </c>
      <c r="G443" s="2">
        <v>14</v>
      </c>
      <c r="H443" s="2">
        <v>5</v>
      </c>
      <c r="I443" s="2" t="s">
        <v>43</v>
      </c>
      <c r="J443" s="2" t="s">
        <v>890</v>
      </c>
      <c r="K443" s="2" t="s">
        <v>61</v>
      </c>
      <c r="L443" s="2" t="s">
        <v>29</v>
      </c>
      <c r="M443" s="2" t="s">
        <v>1093</v>
      </c>
      <c r="N443" s="2" t="s">
        <v>171</v>
      </c>
      <c r="O443" s="4">
        <v>1706</v>
      </c>
      <c r="P443" s="2" t="s">
        <v>3224</v>
      </c>
      <c r="Q443" s="2" t="s">
        <v>33</v>
      </c>
      <c r="R443" s="2" t="s">
        <v>3225</v>
      </c>
      <c r="S443" s="2" t="s">
        <v>3226</v>
      </c>
      <c r="T443" s="2" t="s">
        <v>3227</v>
      </c>
      <c r="U443" s="2" t="s">
        <v>3228</v>
      </c>
      <c r="V443" s="2" t="s">
        <v>621</v>
      </c>
    </row>
    <row r="444" spans="1:22">
      <c r="A444" s="2" t="s">
        <v>3229</v>
      </c>
      <c r="B444" s="2" t="s">
        <v>3230</v>
      </c>
      <c r="C444" s="2" t="s">
        <v>3231</v>
      </c>
      <c r="D444" s="2">
        <v>2025</v>
      </c>
      <c r="E444" s="3">
        <v>45658</v>
      </c>
      <c r="F444" s="2" t="s">
        <v>3232</v>
      </c>
      <c r="G444" s="2">
        <v>15</v>
      </c>
      <c r="H444" s="2">
        <v>1</v>
      </c>
      <c r="I444" s="2" t="s">
        <v>43</v>
      </c>
      <c r="J444" s="2" t="s">
        <v>3233</v>
      </c>
      <c r="K444" s="2" t="s">
        <v>3234</v>
      </c>
      <c r="L444" s="2" t="s">
        <v>1867</v>
      </c>
      <c r="M444" s="2" t="s">
        <v>2203</v>
      </c>
      <c r="N444" s="2" t="s">
        <v>3235</v>
      </c>
      <c r="O444" s="2" t="s">
        <v>3236</v>
      </c>
      <c r="P444" s="2" t="s">
        <v>3237</v>
      </c>
      <c r="Q444" s="2" t="s">
        <v>33</v>
      </c>
      <c r="R444" s="2" t="s">
        <v>3238</v>
      </c>
      <c r="S444" s="2" t="s">
        <v>3239</v>
      </c>
      <c r="T444" s="2" t="s">
        <v>3240</v>
      </c>
      <c r="U444" s="2" t="s">
        <v>3241</v>
      </c>
      <c r="V444" s="2" t="s">
        <v>594</v>
      </c>
    </row>
    <row r="445" spans="1:22" ht="28.8">
      <c r="A445" s="2" t="s">
        <v>22</v>
      </c>
      <c r="B445" s="2" t="s">
        <v>3242</v>
      </c>
      <c r="C445" s="2" t="s">
        <v>3243</v>
      </c>
      <c r="D445" s="2">
        <v>2024</v>
      </c>
      <c r="E445" s="3">
        <v>45597</v>
      </c>
      <c r="F445" s="2" t="s">
        <v>357</v>
      </c>
      <c r="G445" s="2">
        <v>19</v>
      </c>
      <c r="H445" s="2">
        <v>11</v>
      </c>
      <c r="I445" s="2" t="s">
        <v>3244</v>
      </c>
      <c r="J445" s="2" t="s">
        <v>359</v>
      </c>
      <c r="K445" s="2" t="s">
        <v>360</v>
      </c>
      <c r="L445" s="2" t="s">
        <v>29</v>
      </c>
      <c r="M445" s="2" t="s">
        <v>485</v>
      </c>
      <c r="N445" s="2" t="s">
        <v>76</v>
      </c>
      <c r="O445" s="2" t="s">
        <v>486</v>
      </c>
      <c r="P445" s="2" t="s">
        <v>3245</v>
      </c>
      <c r="Q445" s="2" t="s">
        <v>33</v>
      </c>
      <c r="R445" s="2" t="s">
        <v>3246</v>
      </c>
      <c r="S445" s="2" t="s">
        <v>3247</v>
      </c>
      <c r="T445" s="2" t="s">
        <v>3248</v>
      </c>
      <c r="U445" s="2" t="s">
        <v>3249</v>
      </c>
      <c r="V445" s="2" t="s">
        <v>3250</v>
      </c>
    </row>
    <row r="446" spans="1:22">
      <c r="A446" s="2" t="s">
        <v>3251</v>
      </c>
      <c r="B446" s="2" t="s">
        <v>3252</v>
      </c>
      <c r="C446" s="2" t="s">
        <v>3253</v>
      </c>
      <c r="D446" s="2">
        <v>2024</v>
      </c>
      <c r="E446" s="3">
        <v>45292</v>
      </c>
      <c r="F446" s="2" t="s">
        <v>3252</v>
      </c>
      <c r="G446" s="2" t="s">
        <v>43</v>
      </c>
      <c r="H446" s="2" t="s">
        <v>43</v>
      </c>
      <c r="I446" s="2" t="s">
        <v>3254</v>
      </c>
      <c r="J446" s="2" t="s">
        <v>43</v>
      </c>
      <c r="K446" s="2" t="s">
        <v>3255</v>
      </c>
      <c r="L446" s="2" t="s">
        <v>29</v>
      </c>
      <c r="M446" s="2" t="s">
        <v>43</v>
      </c>
      <c r="N446" s="2" t="s">
        <v>43</v>
      </c>
      <c r="O446" s="2" t="s">
        <v>43</v>
      </c>
      <c r="P446" s="2" t="s">
        <v>3256</v>
      </c>
      <c r="Q446" s="2" t="s">
        <v>3257</v>
      </c>
      <c r="R446" s="2" t="s">
        <v>3258</v>
      </c>
      <c r="S446" s="2" t="s">
        <v>79</v>
      </c>
      <c r="T446" s="2" t="s">
        <v>3259</v>
      </c>
      <c r="U446" s="2" t="s">
        <v>3260</v>
      </c>
      <c r="V446" s="2" t="s">
        <v>80</v>
      </c>
    </row>
    <row r="447" spans="1:22">
      <c r="A447" s="2" t="s">
        <v>1916</v>
      </c>
      <c r="B447" s="2" t="s">
        <v>3261</v>
      </c>
      <c r="C447" s="2" t="s">
        <v>3262</v>
      </c>
      <c r="D447" s="2">
        <v>2025</v>
      </c>
      <c r="E447" s="3">
        <v>45658</v>
      </c>
      <c r="F447" s="2" t="s">
        <v>3263</v>
      </c>
      <c r="G447" s="2">
        <v>60</v>
      </c>
      <c r="H447" s="2">
        <v>1</v>
      </c>
      <c r="I447" s="2" t="s">
        <v>43</v>
      </c>
      <c r="J447" s="2" t="s">
        <v>3264</v>
      </c>
      <c r="K447" s="2" t="s">
        <v>772</v>
      </c>
      <c r="L447" s="2" t="s">
        <v>773</v>
      </c>
      <c r="M447" s="2" t="s">
        <v>47</v>
      </c>
      <c r="N447" s="2" t="s">
        <v>3050</v>
      </c>
      <c r="O447" s="2" t="s">
        <v>3265</v>
      </c>
      <c r="P447" s="2" t="s">
        <v>3266</v>
      </c>
      <c r="Q447" s="2" t="s">
        <v>49</v>
      </c>
      <c r="R447" s="2" t="s">
        <v>3267</v>
      </c>
      <c r="S447" s="2" t="s">
        <v>3268</v>
      </c>
      <c r="T447" s="2" t="s">
        <v>3269</v>
      </c>
      <c r="U447" s="2" t="s">
        <v>3270</v>
      </c>
      <c r="V447" s="2" t="s">
        <v>80</v>
      </c>
    </row>
    <row r="448" spans="1:22">
      <c r="A448" s="2" t="s">
        <v>3271</v>
      </c>
      <c r="B448" s="2" t="s">
        <v>3261</v>
      </c>
      <c r="C448" s="2" t="s">
        <v>3262</v>
      </c>
      <c r="D448" s="2">
        <v>2025</v>
      </c>
      <c r="E448" s="3">
        <v>45658</v>
      </c>
      <c r="F448" s="2" t="s">
        <v>3263</v>
      </c>
      <c r="G448" s="2">
        <v>60</v>
      </c>
      <c r="H448" s="2">
        <v>1</v>
      </c>
      <c r="I448" s="2" t="s">
        <v>43</v>
      </c>
      <c r="J448" s="2" t="s">
        <v>3264</v>
      </c>
      <c r="K448" s="2" t="s">
        <v>772</v>
      </c>
      <c r="L448" s="2" t="s">
        <v>773</v>
      </c>
      <c r="M448" s="2" t="s">
        <v>47</v>
      </c>
      <c r="N448" s="2" t="s">
        <v>3050</v>
      </c>
      <c r="O448" s="2" t="s">
        <v>3265</v>
      </c>
      <c r="P448" s="2" t="s">
        <v>3266</v>
      </c>
      <c r="Q448" s="2" t="s">
        <v>49</v>
      </c>
      <c r="R448" s="2" t="s">
        <v>3267</v>
      </c>
      <c r="S448" s="2" t="s">
        <v>3268</v>
      </c>
      <c r="T448" s="2" t="s">
        <v>3269</v>
      </c>
      <c r="U448" s="2" t="s">
        <v>3270</v>
      </c>
      <c r="V448" s="2" t="s">
        <v>80</v>
      </c>
    </row>
    <row r="449" spans="1:22">
      <c r="A449" s="2" t="s">
        <v>1344</v>
      </c>
      <c r="B449" s="2" t="s">
        <v>3261</v>
      </c>
      <c r="C449" s="2" t="s">
        <v>3262</v>
      </c>
      <c r="D449" s="2">
        <v>2025</v>
      </c>
      <c r="E449" s="3">
        <v>45658</v>
      </c>
      <c r="F449" s="2" t="s">
        <v>3263</v>
      </c>
      <c r="G449" s="2">
        <v>60</v>
      </c>
      <c r="H449" s="2">
        <v>1</v>
      </c>
      <c r="I449" s="2" t="s">
        <v>43</v>
      </c>
      <c r="J449" s="2" t="s">
        <v>3264</v>
      </c>
      <c r="K449" s="2" t="s">
        <v>772</v>
      </c>
      <c r="L449" s="2" t="s">
        <v>773</v>
      </c>
      <c r="M449" s="2" t="s">
        <v>47</v>
      </c>
      <c r="N449" s="2" t="s">
        <v>3050</v>
      </c>
      <c r="O449" s="2" t="s">
        <v>3265</v>
      </c>
      <c r="P449" s="2" t="s">
        <v>3266</v>
      </c>
      <c r="Q449" s="2" t="s">
        <v>49</v>
      </c>
      <c r="R449" s="2" t="s">
        <v>3267</v>
      </c>
      <c r="S449" s="2" t="s">
        <v>3268</v>
      </c>
      <c r="T449" s="2" t="s">
        <v>3269</v>
      </c>
      <c r="U449" s="2" t="s">
        <v>3270</v>
      </c>
      <c r="V449" s="2" t="s">
        <v>80</v>
      </c>
    </row>
    <row r="450" spans="1:22" ht="28.8">
      <c r="A450" s="2" t="s">
        <v>276</v>
      </c>
      <c r="B450" s="2" t="s">
        <v>3272</v>
      </c>
      <c r="C450" s="2" t="s">
        <v>3273</v>
      </c>
      <c r="D450" s="2">
        <v>2025</v>
      </c>
      <c r="E450" s="3">
        <v>45992</v>
      </c>
      <c r="F450" s="2" t="s">
        <v>1819</v>
      </c>
      <c r="G450" s="2">
        <v>204</v>
      </c>
      <c r="H450" s="2" t="s">
        <v>43</v>
      </c>
      <c r="I450" s="2" t="s">
        <v>43</v>
      </c>
      <c r="J450" s="2" t="s">
        <v>1821</v>
      </c>
      <c r="K450" s="2" t="s">
        <v>734</v>
      </c>
      <c r="L450" s="2" t="s">
        <v>29</v>
      </c>
      <c r="M450" s="2" t="s">
        <v>195</v>
      </c>
      <c r="N450" s="2" t="s">
        <v>1520</v>
      </c>
      <c r="O450" s="2" t="s">
        <v>2531</v>
      </c>
      <c r="P450" s="2" t="s">
        <v>3274</v>
      </c>
      <c r="Q450" s="2" t="s">
        <v>33</v>
      </c>
      <c r="R450" s="2" t="s">
        <v>3275</v>
      </c>
      <c r="S450" s="2" t="s">
        <v>3276</v>
      </c>
      <c r="T450" s="2" t="s">
        <v>3277</v>
      </c>
      <c r="U450" s="2" t="s">
        <v>3278</v>
      </c>
      <c r="V450" s="2" t="s">
        <v>3279</v>
      </c>
    </row>
    <row r="451" spans="1:22">
      <c r="A451" s="2" t="s">
        <v>3280</v>
      </c>
      <c r="B451" s="2" t="s">
        <v>3281</v>
      </c>
      <c r="C451" s="2" t="s">
        <v>3282</v>
      </c>
      <c r="D451" s="2">
        <v>2025</v>
      </c>
      <c r="E451" s="3">
        <v>45658</v>
      </c>
      <c r="F451" s="2" t="s">
        <v>3283</v>
      </c>
      <c r="G451" s="2">
        <v>26</v>
      </c>
      <c r="H451" s="2">
        <v>1</v>
      </c>
      <c r="I451" s="7">
        <v>44197</v>
      </c>
      <c r="J451" s="2" t="s">
        <v>3284</v>
      </c>
      <c r="K451" s="2" t="s">
        <v>3285</v>
      </c>
      <c r="L451" s="2" t="s">
        <v>29</v>
      </c>
      <c r="M451" s="2" t="s">
        <v>2735</v>
      </c>
      <c r="N451" s="2" t="s">
        <v>171</v>
      </c>
      <c r="O451" s="2" t="s">
        <v>3286</v>
      </c>
      <c r="P451" s="2" t="s">
        <v>3287</v>
      </c>
      <c r="Q451" s="2" t="s">
        <v>33</v>
      </c>
      <c r="R451" s="2" t="s">
        <v>3288</v>
      </c>
      <c r="S451" s="2" t="s">
        <v>3289</v>
      </c>
      <c r="T451" s="2" t="s">
        <v>3290</v>
      </c>
      <c r="U451" s="2" t="s">
        <v>3291</v>
      </c>
      <c r="V451" s="2" t="s">
        <v>594</v>
      </c>
    </row>
    <row r="452" spans="1:22">
      <c r="A452" s="2" t="s">
        <v>1109</v>
      </c>
      <c r="B452" s="2" t="s">
        <v>3292</v>
      </c>
      <c r="C452" s="2" t="s">
        <v>1111</v>
      </c>
      <c r="D452" s="2">
        <v>2024</v>
      </c>
      <c r="E452" s="3">
        <v>45597</v>
      </c>
      <c r="F452" s="2" t="s">
        <v>1112</v>
      </c>
      <c r="G452" s="2">
        <v>69</v>
      </c>
      <c r="H452" s="2" t="s">
        <v>43</v>
      </c>
      <c r="I452" s="2" t="s">
        <v>43</v>
      </c>
      <c r="J452" s="2" t="s">
        <v>1113</v>
      </c>
      <c r="K452" s="2" t="s">
        <v>45</v>
      </c>
      <c r="L452" s="2" t="s">
        <v>29</v>
      </c>
      <c r="M452" s="2" t="s">
        <v>3293</v>
      </c>
      <c r="N452" s="2" t="s">
        <v>498</v>
      </c>
      <c r="O452" s="4">
        <v>1711</v>
      </c>
      <c r="P452" s="2" t="s">
        <v>3294</v>
      </c>
      <c r="Q452" s="2" t="s">
        <v>33</v>
      </c>
      <c r="R452" s="2" t="s">
        <v>3295</v>
      </c>
      <c r="S452" s="2" t="s">
        <v>1117</v>
      </c>
      <c r="T452" s="2" t="s">
        <v>1118</v>
      </c>
      <c r="U452" s="2" t="s">
        <v>1119</v>
      </c>
      <c r="V452" s="2" t="s">
        <v>80</v>
      </c>
    </row>
    <row r="453" spans="1:22">
      <c r="A453" s="2" t="s">
        <v>1282</v>
      </c>
      <c r="B453" s="2" t="s">
        <v>3296</v>
      </c>
      <c r="C453" s="2" t="s">
        <v>3297</v>
      </c>
      <c r="D453" s="2">
        <v>2025</v>
      </c>
      <c r="E453" s="3">
        <v>45839</v>
      </c>
      <c r="F453" s="2" t="s">
        <v>3298</v>
      </c>
      <c r="G453" s="2">
        <v>15</v>
      </c>
      <c r="H453" s="2">
        <v>14</v>
      </c>
      <c r="I453" s="2" t="s">
        <v>43</v>
      </c>
      <c r="J453" s="2" t="s">
        <v>3299</v>
      </c>
      <c r="K453" s="2" t="s">
        <v>61</v>
      </c>
      <c r="L453" s="2" t="s">
        <v>29</v>
      </c>
      <c r="M453" s="2" t="s">
        <v>667</v>
      </c>
      <c r="N453" s="2" t="s">
        <v>807</v>
      </c>
      <c r="O453" s="2" t="s">
        <v>3300</v>
      </c>
      <c r="P453" s="2" t="s">
        <v>3301</v>
      </c>
      <c r="Q453" s="2" t="s">
        <v>33</v>
      </c>
      <c r="R453" s="2" t="s">
        <v>3302</v>
      </c>
      <c r="S453" s="2" t="s">
        <v>3303</v>
      </c>
      <c r="T453" s="2" t="s">
        <v>3304</v>
      </c>
      <c r="U453" s="2" t="s">
        <v>3305</v>
      </c>
      <c r="V453" s="2" t="s">
        <v>2163</v>
      </c>
    </row>
    <row r="454" spans="1:22">
      <c r="A454" s="2" t="s">
        <v>2322</v>
      </c>
      <c r="B454" s="2" t="s">
        <v>3306</v>
      </c>
      <c r="C454" s="2" t="s">
        <v>3307</v>
      </c>
      <c r="D454" s="2">
        <v>2024</v>
      </c>
      <c r="E454" s="3">
        <v>45474</v>
      </c>
      <c r="F454" s="2" t="s">
        <v>3308</v>
      </c>
      <c r="G454" s="2">
        <v>532</v>
      </c>
      <c r="H454" s="2">
        <v>7</v>
      </c>
      <c r="I454" s="2" t="s">
        <v>43</v>
      </c>
      <c r="J454" s="2" t="s">
        <v>3309</v>
      </c>
      <c r="K454" s="2" t="s">
        <v>119</v>
      </c>
      <c r="L454" s="2" t="s">
        <v>29</v>
      </c>
      <c r="M454" s="2" t="s">
        <v>144</v>
      </c>
      <c r="N454" s="2" t="s">
        <v>2053</v>
      </c>
      <c r="O454" s="4">
        <v>1084</v>
      </c>
      <c r="P454" s="2" t="s">
        <v>3310</v>
      </c>
      <c r="Q454" s="2" t="s">
        <v>33</v>
      </c>
      <c r="R454" s="2" t="s">
        <v>3311</v>
      </c>
      <c r="S454" s="2" t="s">
        <v>3312</v>
      </c>
      <c r="T454" s="2" t="s">
        <v>3313</v>
      </c>
      <c r="U454" s="2" t="s">
        <v>3314</v>
      </c>
      <c r="V454" s="2" t="s">
        <v>80</v>
      </c>
    </row>
    <row r="455" spans="1:22">
      <c r="A455" s="2" t="s">
        <v>790</v>
      </c>
      <c r="B455" s="2" t="s">
        <v>3315</v>
      </c>
      <c r="C455" s="2" t="s">
        <v>3316</v>
      </c>
      <c r="D455" s="2">
        <v>2024</v>
      </c>
      <c r="E455" s="3">
        <v>45292</v>
      </c>
      <c r="F455" s="2" t="s">
        <v>2766</v>
      </c>
      <c r="G455" s="2">
        <v>61</v>
      </c>
      <c r="H455" s="2">
        <v>3</v>
      </c>
      <c r="I455" s="2" t="s">
        <v>43</v>
      </c>
      <c r="J455" s="2" t="s">
        <v>2767</v>
      </c>
      <c r="K455" s="2" t="s">
        <v>2768</v>
      </c>
      <c r="L455" s="2" t="s">
        <v>1867</v>
      </c>
      <c r="M455" s="2" t="s">
        <v>3317</v>
      </c>
      <c r="N455" s="2" t="s">
        <v>1868</v>
      </c>
      <c r="O455" s="2" t="s">
        <v>3318</v>
      </c>
      <c r="P455" s="2" t="s">
        <v>3319</v>
      </c>
      <c r="Q455" s="2" t="s">
        <v>33</v>
      </c>
      <c r="R455" s="2" t="s">
        <v>3320</v>
      </c>
      <c r="S455" s="2" t="s">
        <v>3321</v>
      </c>
      <c r="T455" s="2" t="s">
        <v>3322</v>
      </c>
      <c r="U455" s="2" t="s">
        <v>3323</v>
      </c>
      <c r="V455" s="2" t="s">
        <v>80</v>
      </c>
    </row>
    <row r="456" spans="1:22">
      <c r="A456" s="2" t="s">
        <v>2608</v>
      </c>
      <c r="B456" s="2" t="s">
        <v>3324</v>
      </c>
      <c r="C456" s="2" t="s">
        <v>3325</v>
      </c>
      <c r="D456" s="2">
        <v>2025</v>
      </c>
      <c r="E456" s="3">
        <v>45809</v>
      </c>
      <c r="F456" s="2" t="s">
        <v>2245</v>
      </c>
      <c r="G456" s="2">
        <v>53</v>
      </c>
      <c r="H456" s="2">
        <v>6</v>
      </c>
      <c r="I456" s="2" t="s">
        <v>3326</v>
      </c>
      <c r="J456" s="2" t="s">
        <v>2247</v>
      </c>
      <c r="K456" s="2" t="s">
        <v>566</v>
      </c>
      <c r="L456" s="2" t="s">
        <v>29</v>
      </c>
      <c r="M456" s="2" t="s">
        <v>2248</v>
      </c>
      <c r="N456" s="2" t="s">
        <v>121</v>
      </c>
      <c r="O456" s="4">
        <v>1921</v>
      </c>
      <c r="P456" s="2" t="s">
        <v>3327</v>
      </c>
      <c r="Q456" s="2" t="s">
        <v>644</v>
      </c>
      <c r="R456" s="2" t="s">
        <v>3328</v>
      </c>
      <c r="S456" s="2" t="s">
        <v>1681</v>
      </c>
      <c r="T456" s="2" t="s">
        <v>2606</v>
      </c>
      <c r="U456" s="2" t="s">
        <v>1681</v>
      </c>
      <c r="V456" s="2" t="s">
        <v>80</v>
      </c>
    </row>
    <row r="457" spans="1:22">
      <c r="A457" s="2" t="s">
        <v>3032</v>
      </c>
      <c r="B457" s="2" t="s">
        <v>3324</v>
      </c>
      <c r="C457" s="2" t="s">
        <v>3325</v>
      </c>
      <c r="D457" s="2">
        <v>2025</v>
      </c>
      <c r="E457" s="3">
        <v>45809</v>
      </c>
      <c r="F457" s="2" t="s">
        <v>2245</v>
      </c>
      <c r="G457" s="2">
        <v>53</v>
      </c>
      <c r="H457" s="2">
        <v>6</v>
      </c>
      <c r="I457" s="2" t="s">
        <v>3326</v>
      </c>
      <c r="J457" s="2" t="s">
        <v>2247</v>
      </c>
      <c r="K457" s="2" t="s">
        <v>566</v>
      </c>
      <c r="L457" s="2" t="s">
        <v>29</v>
      </c>
      <c r="M457" s="2" t="s">
        <v>2248</v>
      </c>
      <c r="N457" s="2" t="s">
        <v>121</v>
      </c>
      <c r="O457" s="4">
        <v>1921</v>
      </c>
      <c r="P457" s="2" t="s">
        <v>3327</v>
      </c>
      <c r="Q457" s="2" t="s">
        <v>644</v>
      </c>
      <c r="R457" s="2" t="s">
        <v>3328</v>
      </c>
      <c r="S457" s="2" t="s">
        <v>1681</v>
      </c>
      <c r="T457" s="2" t="s">
        <v>2606</v>
      </c>
      <c r="U457" s="2" t="s">
        <v>1681</v>
      </c>
      <c r="V457" s="2" t="s">
        <v>80</v>
      </c>
    </row>
    <row r="458" spans="1:22">
      <c r="A458" s="2" t="s">
        <v>1344</v>
      </c>
      <c r="B458" s="2" t="s">
        <v>3324</v>
      </c>
      <c r="C458" s="2" t="s">
        <v>3325</v>
      </c>
      <c r="D458" s="2">
        <v>2025</v>
      </c>
      <c r="E458" s="3">
        <v>45809</v>
      </c>
      <c r="F458" s="2" t="s">
        <v>2245</v>
      </c>
      <c r="G458" s="2">
        <v>53</v>
      </c>
      <c r="H458" s="2">
        <v>6</v>
      </c>
      <c r="I458" s="2" t="s">
        <v>3326</v>
      </c>
      <c r="J458" s="2" t="s">
        <v>2247</v>
      </c>
      <c r="K458" s="2" t="s">
        <v>566</v>
      </c>
      <c r="L458" s="2" t="s">
        <v>29</v>
      </c>
      <c r="M458" s="2" t="s">
        <v>2248</v>
      </c>
      <c r="N458" s="2" t="s">
        <v>121</v>
      </c>
      <c r="O458" s="4">
        <v>1921</v>
      </c>
      <c r="P458" s="2" t="s">
        <v>3327</v>
      </c>
      <c r="Q458" s="2" t="s">
        <v>644</v>
      </c>
      <c r="R458" s="2" t="s">
        <v>3328</v>
      </c>
      <c r="S458" s="2" t="s">
        <v>1681</v>
      </c>
      <c r="T458" s="2" t="s">
        <v>2606</v>
      </c>
      <c r="U458" s="2" t="s">
        <v>1681</v>
      </c>
      <c r="V458" s="2" t="s">
        <v>80</v>
      </c>
    </row>
    <row r="459" spans="1:22">
      <c r="A459" s="2" t="s">
        <v>1916</v>
      </c>
      <c r="B459" s="2" t="s">
        <v>3324</v>
      </c>
      <c r="C459" s="2" t="s">
        <v>3325</v>
      </c>
      <c r="D459" s="2">
        <v>2025</v>
      </c>
      <c r="E459" s="3">
        <v>45809</v>
      </c>
      <c r="F459" s="2" t="s">
        <v>2245</v>
      </c>
      <c r="G459" s="2">
        <v>53</v>
      </c>
      <c r="H459" s="2">
        <v>6</v>
      </c>
      <c r="I459" s="2" t="s">
        <v>3326</v>
      </c>
      <c r="J459" s="2" t="s">
        <v>2247</v>
      </c>
      <c r="K459" s="2" t="s">
        <v>566</v>
      </c>
      <c r="L459" s="2" t="s">
        <v>29</v>
      </c>
      <c r="M459" s="2" t="s">
        <v>2248</v>
      </c>
      <c r="N459" s="2" t="s">
        <v>121</v>
      </c>
      <c r="O459" s="4">
        <v>1921</v>
      </c>
      <c r="P459" s="2" t="s">
        <v>3327</v>
      </c>
      <c r="Q459" s="2" t="s">
        <v>644</v>
      </c>
      <c r="R459" s="2" t="s">
        <v>3328</v>
      </c>
      <c r="S459" s="2" t="s">
        <v>1681</v>
      </c>
      <c r="T459" s="2" t="s">
        <v>2606</v>
      </c>
      <c r="U459" s="2" t="s">
        <v>1681</v>
      </c>
      <c r="V459" s="2" t="s">
        <v>80</v>
      </c>
    </row>
    <row r="460" spans="1:22" ht="28.8">
      <c r="A460" s="2" t="s">
        <v>3329</v>
      </c>
      <c r="B460" s="2" t="s">
        <v>3330</v>
      </c>
      <c r="C460" s="2" t="s">
        <v>3331</v>
      </c>
      <c r="D460" s="2">
        <v>2024</v>
      </c>
      <c r="E460" s="3">
        <v>45474</v>
      </c>
      <c r="F460" s="2" t="s">
        <v>3332</v>
      </c>
      <c r="G460" s="2">
        <v>12</v>
      </c>
      <c r="H460" s="2">
        <v>7</v>
      </c>
      <c r="I460" s="2" t="s">
        <v>43</v>
      </c>
      <c r="J460" s="2" t="s">
        <v>3333</v>
      </c>
      <c r="K460" s="2" t="s">
        <v>61</v>
      </c>
      <c r="L460" s="2" t="s">
        <v>29</v>
      </c>
      <c r="M460" s="2" t="s">
        <v>2110</v>
      </c>
      <c r="N460" s="2" t="s">
        <v>440</v>
      </c>
      <c r="O460" s="2" t="s">
        <v>3334</v>
      </c>
      <c r="P460" s="2" t="s">
        <v>3335</v>
      </c>
      <c r="Q460" s="2" t="s">
        <v>33</v>
      </c>
      <c r="R460" s="2" t="s">
        <v>3336</v>
      </c>
      <c r="S460" s="2" t="s">
        <v>3337</v>
      </c>
      <c r="T460" s="2" t="s">
        <v>3338</v>
      </c>
      <c r="U460" s="2" t="s">
        <v>3339</v>
      </c>
      <c r="V460" s="2" t="s">
        <v>2163</v>
      </c>
    </row>
    <row r="461" spans="1:22" ht="28.8">
      <c r="A461" s="2" t="s">
        <v>1355</v>
      </c>
      <c r="B461" s="2" t="s">
        <v>3330</v>
      </c>
      <c r="C461" s="2" t="s">
        <v>3331</v>
      </c>
      <c r="D461" s="2">
        <v>2024</v>
      </c>
      <c r="E461" s="3">
        <v>45474</v>
      </c>
      <c r="F461" s="2" t="s">
        <v>3332</v>
      </c>
      <c r="G461" s="2">
        <v>12</v>
      </c>
      <c r="H461" s="2">
        <v>7</v>
      </c>
      <c r="I461" s="2" t="s">
        <v>43</v>
      </c>
      <c r="J461" s="2" t="s">
        <v>3333</v>
      </c>
      <c r="K461" s="2" t="s">
        <v>61</v>
      </c>
      <c r="L461" s="2" t="s">
        <v>29</v>
      </c>
      <c r="M461" s="2" t="s">
        <v>2110</v>
      </c>
      <c r="N461" s="2" t="s">
        <v>440</v>
      </c>
      <c r="O461" s="2" t="s">
        <v>3334</v>
      </c>
      <c r="P461" s="2" t="s">
        <v>3335</v>
      </c>
      <c r="Q461" s="2" t="s">
        <v>33</v>
      </c>
      <c r="R461" s="2" t="s">
        <v>3336</v>
      </c>
      <c r="S461" s="2" t="s">
        <v>3337</v>
      </c>
      <c r="T461" s="2" t="s">
        <v>3338</v>
      </c>
      <c r="U461" s="2" t="s">
        <v>3339</v>
      </c>
      <c r="V461" s="2" t="s">
        <v>2163</v>
      </c>
    </row>
    <row r="462" spans="1:22">
      <c r="A462" s="2" t="s">
        <v>1619</v>
      </c>
      <c r="B462" s="2" t="s">
        <v>3340</v>
      </c>
      <c r="C462" s="2" t="s">
        <v>3341</v>
      </c>
      <c r="D462" s="2">
        <v>2025</v>
      </c>
      <c r="E462" s="3">
        <v>45658</v>
      </c>
      <c r="F462" s="2" t="s">
        <v>167</v>
      </c>
      <c r="G462" s="2">
        <v>15368</v>
      </c>
      <c r="H462" s="2" t="s">
        <v>43</v>
      </c>
      <c r="I462" s="2" t="s">
        <v>3342</v>
      </c>
      <c r="J462" s="2" t="s">
        <v>3343</v>
      </c>
      <c r="K462" s="2" t="s">
        <v>718</v>
      </c>
      <c r="L462" s="2" t="s">
        <v>29</v>
      </c>
      <c r="M462" s="2" t="s">
        <v>3038</v>
      </c>
      <c r="N462" s="2" t="s">
        <v>2144</v>
      </c>
      <c r="O462" s="2" t="s">
        <v>3344</v>
      </c>
      <c r="P462" s="2" t="s">
        <v>3345</v>
      </c>
      <c r="Q462" s="2" t="s">
        <v>2112</v>
      </c>
      <c r="R462" s="2" t="s">
        <v>3346</v>
      </c>
      <c r="S462" s="2" t="s">
        <v>3347</v>
      </c>
      <c r="T462" s="2" t="s">
        <v>3348</v>
      </c>
      <c r="U462" s="2" t="s">
        <v>3349</v>
      </c>
      <c r="V462" s="2" t="s">
        <v>80</v>
      </c>
    </row>
    <row r="463" spans="1:22">
      <c r="A463" s="2" t="s">
        <v>3350</v>
      </c>
      <c r="B463" s="2" t="s">
        <v>3351</v>
      </c>
      <c r="C463" s="2" t="s">
        <v>3352</v>
      </c>
      <c r="D463" s="2">
        <v>2024</v>
      </c>
      <c r="E463" s="3">
        <v>45292</v>
      </c>
      <c r="F463" s="2" t="s">
        <v>3353</v>
      </c>
      <c r="G463" s="2">
        <v>62</v>
      </c>
      <c r="H463" s="2">
        <v>1</v>
      </c>
      <c r="I463" s="2" t="s">
        <v>3354</v>
      </c>
      <c r="J463" s="2" t="s">
        <v>3355</v>
      </c>
      <c r="K463" s="2" t="s">
        <v>3356</v>
      </c>
      <c r="L463" s="2" t="s">
        <v>1867</v>
      </c>
      <c r="M463" s="2" t="s">
        <v>3357</v>
      </c>
      <c r="N463" s="2" t="s">
        <v>3358</v>
      </c>
      <c r="O463" s="2" t="s">
        <v>3359</v>
      </c>
      <c r="P463" s="2" t="s">
        <v>3360</v>
      </c>
      <c r="Q463" s="2" t="s">
        <v>49</v>
      </c>
      <c r="R463" s="2" t="s">
        <v>3361</v>
      </c>
      <c r="S463" s="2" t="s">
        <v>3362</v>
      </c>
      <c r="T463" s="2" t="s">
        <v>3363</v>
      </c>
      <c r="U463" s="2" t="s">
        <v>3364</v>
      </c>
      <c r="V463" s="2" t="s">
        <v>1380</v>
      </c>
    </row>
    <row r="464" spans="1:22">
      <c r="A464" s="2" t="s">
        <v>3365</v>
      </c>
      <c r="B464" s="2" t="s">
        <v>3351</v>
      </c>
      <c r="C464" s="2" t="s">
        <v>3352</v>
      </c>
      <c r="D464" s="2">
        <v>2024</v>
      </c>
      <c r="E464" s="3">
        <v>45292</v>
      </c>
      <c r="F464" s="2" t="s">
        <v>3353</v>
      </c>
      <c r="G464" s="2">
        <v>62</v>
      </c>
      <c r="H464" s="2">
        <v>1</v>
      </c>
      <c r="I464" s="2" t="s">
        <v>3354</v>
      </c>
      <c r="J464" s="2" t="s">
        <v>3355</v>
      </c>
      <c r="K464" s="2" t="s">
        <v>3356</v>
      </c>
      <c r="L464" s="2" t="s">
        <v>1867</v>
      </c>
      <c r="M464" s="2" t="s">
        <v>3357</v>
      </c>
      <c r="N464" s="2" t="s">
        <v>3358</v>
      </c>
      <c r="O464" s="2" t="s">
        <v>3359</v>
      </c>
      <c r="P464" s="2" t="s">
        <v>3360</v>
      </c>
      <c r="Q464" s="2" t="s">
        <v>49</v>
      </c>
      <c r="R464" s="2" t="s">
        <v>3361</v>
      </c>
      <c r="S464" s="2" t="s">
        <v>3362</v>
      </c>
      <c r="T464" s="2" t="s">
        <v>3363</v>
      </c>
      <c r="U464" s="2" t="s">
        <v>3364</v>
      </c>
      <c r="V464" s="2" t="s">
        <v>1380</v>
      </c>
    </row>
    <row r="465" spans="1:22">
      <c r="A465" s="2" t="s">
        <v>1916</v>
      </c>
      <c r="B465" s="2" t="s">
        <v>3366</v>
      </c>
      <c r="C465" s="2" t="s">
        <v>3367</v>
      </c>
      <c r="D465" s="2">
        <v>2024</v>
      </c>
      <c r="E465" s="3">
        <v>45294</v>
      </c>
      <c r="F465" s="2" t="s">
        <v>3368</v>
      </c>
      <c r="G465" s="2">
        <v>17</v>
      </c>
      <c r="H465" s="2">
        <v>1</v>
      </c>
      <c r="I465" s="2" t="s">
        <v>43</v>
      </c>
      <c r="J465" s="2" t="s">
        <v>3369</v>
      </c>
      <c r="K465" s="2" t="s">
        <v>438</v>
      </c>
      <c r="L465" s="2" t="s">
        <v>29</v>
      </c>
      <c r="M465" s="2" t="s">
        <v>904</v>
      </c>
      <c r="N465" s="2" t="s">
        <v>1488</v>
      </c>
      <c r="O465" s="2" t="s">
        <v>3370</v>
      </c>
      <c r="P465" s="2" t="s">
        <v>3371</v>
      </c>
      <c r="Q465" s="2" t="s">
        <v>33</v>
      </c>
      <c r="R465" s="2" t="s">
        <v>3372</v>
      </c>
      <c r="S465" s="2" t="s">
        <v>1681</v>
      </c>
      <c r="T465" s="2" t="s">
        <v>2606</v>
      </c>
      <c r="U465" s="2" t="s">
        <v>1681</v>
      </c>
      <c r="V465" s="2" t="s">
        <v>80</v>
      </c>
    </row>
    <row r="466" spans="1:22">
      <c r="A466" s="2" t="s">
        <v>2629</v>
      </c>
      <c r="B466" s="2" t="s">
        <v>3366</v>
      </c>
      <c r="C466" s="2" t="s">
        <v>3367</v>
      </c>
      <c r="D466" s="2">
        <v>2024</v>
      </c>
      <c r="E466" s="3">
        <v>45294</v>
      </c>
      <c r="F466" s="2" t="s">
        <v>3368</v>
      </c>
      <c r="G466" s="2">
        <v>17</v>
      </c>
      <c r="H466" s="2">
        <v>1</v>
      </c>
      <c r="I466" s="2" t="s">
        <v>43</v>
      </c>
      <c r="J466" s="2" t="s">
        <v>3369</v>
      </c>
      <c r="K466" s="2" t="s">
        <v>438</v>
      </c>
      <c r="L466" s="2" t="s">
        <v>29</v>
      </c>
      <c r="M466" s="2" t="s">
        <v>904</v>
      </c>
      <c r="N466" s="2" t="s">
        <v>1488</v>
      </c>
      <c r="O466" s="2" t="s">
        <v>3370</v>
      </c>
      <c r="P466" s="2" t="s">
        <v>3371</v>
      </c>
      <c r="Q466" s="2" t="s">
        <v>33</v>
      </c>
      <c r="R466" s="2" t="s">
        <v>3372</v>
      </c>
      <c r="S466" s="2" t="s">
        <v>1681</v>
      </c>
      <c r="T466" s="2" t="s">
        <v>2606</v>
      </c>
      <c r="U466" s="2" t="s">
        <v>1681</v>
      </c>
      <c r="V466" s="2" t="s">
        <v>80</v>
      </c>
    </row>
    <row r="467" spans="1:22">
      <c r="A467" s="2" t="s">
        <v>1344</v>
      </c>
      <c r="B467" s="2" t="s">
        <v>3366</v>
      </c>
      <c r="C467" s="2" t="s">
        <v>3367</v>
      </c>
      <c r="D467" s="2">
        <v>2024</v>
      </c>
      <c r="E467" s="3">
        <v>45294</v>
      </c>
      <c r="F467" s="2" t="s">
        <v>3368</v>
      </c>
      <c r="G467" s="2">
        <v>17</v>
      </c>
      <c r="H467" s="2">
        <v>1</v>
      </c>
      <c r="I467" s="2" t="s">
        <v>43</v>
      </c>
      <c r="J467" s="2" t="s">
        <v>3369</v>
      </c>
      <c r="K467" s="2" t="s">
        <v>438</v>
      </c>
      <c r="L467" s="2" t="s">
        <v>29</v>
      </c>
      <c r="M467" s="2" t="s">
        <v>904</v>
      </c>
      <c r="N467" s="2" t="s">
        <v>1488</v>
      </c>
      <c r="O467" s="2" t="s">
        <v>3370</v>
      </c>
      <c r="P467" s="2" t="s">
        <v>3371</v>
      </c>
      <c r="Q467" s="2" t="s">
        <v>33</v>
      </c>
      <c r="R467" s="2" t="s">
        <v>3372</v>
      </c>
      <c r="S467" s="2" t="s">
        <v>1681</v>
      </c>
      <c r="T467" s="2" t="s">
        <v>2606</v>
      </c>
      <c r="U467" s="2" t="s">
        <v>1681</v>
      </c>
      <c r="V467" s="2" t="s">
        <v>80</v>
      </c>
    </row>
    <row r="468" spans="1:22">
      <c r="A468" s="2" t="s">
        <v>433</v>
      </c>
      <c r="B468" s="2" t="s">
        <v>3366</v>
      </c>
      <c r="C468" s="2" t="s">
        <v>3367</v>
      </c>
      <c r="D468" s="2">
        <v>2024</v>
      </c>
      <c r="E468" s="3">
        <v>45294</v>
      </c>
      <c r="F468" s="2" t="s">
        <v>3368</v>
      </c>
      <c r="G468" s="2">
        <v>17</v>
      </c>
      <c r="H468" s="2">
        <v>1</v>
      </c>
      <c r="I468" s="2" t="s">
        <v>43</v>
      </c>
      <c r="J468" s="2" t="s">
        <v>3369</v>
      </c>
      <c r="K468" s="2" t="s">
        <v>438</v>
      </c>
      <c r="L468" s="2" t="s">
        <v>29</v>
      </c>
      <c r="M468" s="2" t="s">
        <v>904</v>
      </c>
      <c r="N468" s="2" t="s">
        <v>1488</v>
      </c>
      <c r="O468" s="2" t="s">
        <v>3370</v>
      </c>
      <c r="P468" s="2" t="s">
        <v>3371</v>
      </c>
      <c r="Q468" s="2" t="s">
        <v>33</v>
      </c>
      <c r="R468" s="2" t="s">
        <v>3372</v>
      </c>
      <c r="S468" s="2" t="s">
        <v>1681</v>
      </c>
      <c r="T468" s="2" t="s">
        <v>2606</v>
      </c>
      <c r="U468" s="2" t="s">
        <v>1681</v>
      </c>
      <c r="V468" s="2" t="s">
        <v>80</v>
      </c>
    </row>
    <row r="469" spans="1:22">
      <c r="A469" s="2" t="s">
        <v>3141</v>
      </c>
      <c r="B469" s="2" t="s">
        <v>3373</v>
      </c>
      <c r="C469" s="2" t="s">
        <v>3374</v>
      </c>
      <c r="D469" s="2">
        <v>2025</v>
      </c>
      <c r="E469" s="3">
        <v>45962</v>
      </c>
      <c r="F469" s="2" t="s">
        <v>167</v>
      </c>
      <c r="G469" s="2">
        <v>17</v>
      </c>
      <c r="H469" s="2">
        <v>21</v>
      </c>
      <c r="I469" s="2" t="s">
        <v>43</v>
      </c>
      <c r="J469" s="2" t="s">
        <v>279</v>
      </c>
      <c r="K469" s="2" t="s">
        <v>61</v>
      </c>
      <c r="L469" s="2" t="s">
        <v>29</v>
      </c>
      <c r="M469" s="2" t="s">
        <v>1285</v>
      </c>
      <c r="N469" s="2" t="s">
        <v>247</v>
      </c>
      <c r="O469" s="4">
        <v>1499</v>
      </c>
      <c r="P469" s="2" t="s">
        <v>3375</v>
      </c>
      <c r="Q469" s="2" t="s">
        <v>33</v>
      </c>
      <c r="R469" s="2" t="s">
        <v>3376</v>
      </c>
      <c r="S469" s="2" t="s">
        <v>79</v>
      </c>
      <c r="T469" s="5">
        <v>601053680000000</v>
      </c>
      <c r="U469" s="2" t="s">
        <v>79</v>
      </c>
      <c r="V469" s="2" t="s">
        <v>80</v>
      </c>
    </row>
    <row r="470" spans="1:22">
      <c r="A470" s="2" t="s">
        <v>1024</v>
      </c>
      <c r="B470" s="2" t="s">
        <v>3373</v>
      </c>
      <c r="C470" s="2" t="s">
        <v>3374</v>
      </c>
      <c r="D470" s="2">
        <v>2025</v>
      </c>
      <c r="E470" s="3">
        <v>45962</v>
      </c>
      <c r="F470" s="2" t="s">
        <v>167</v>
      </c>
      <c r="G470" s="2">
        <v>17</v>
      </c>
      <c r="H470" s="2">
        <v>21</v>
      </c>
      <c r="I470" s="2" t="s">
        <v>43</v>
      </c>
      <c r="J470" s="2" t="s">
        <v>279</v>
      </c>
      <c r="K470" s="2" t="s">
        <v>61</v>
      </c>
      <c r="L470" s="2" t="s">
        <v>29</v>
      </c>
      <c r="M470" s="2" t="s">
        <v>1285</v>
      </c>
      <c r="N470" s="2" t="s">
        <v>247</v>
      </c>
      <c r="O470" s="4">
        <v>1499</v>
      </c>
      <c r="P470" s="2" t="s">
        <v>3375</v>
      </c>
      <c r="Q470" s="2" t="s">
        <v>33</v>
      </c>
      <c r="R470" s="2" t="s">
        <v>3376</v>
      </c>
      <c r="S470" s="2" t="s">
        <v>79</v>
      </c>
      <c r="T470" s="5">
        <v>601053680000000</v>
      </c>
      <c r="U470" s="2" t="s">
        <v>79</v>
      </c>
      <c r="V470" s="2" t="s">
        <v>80</v>
      </c>
    </row>
    <row r="471" spans="1:22">
      <c r="A471" s="2" t="s">
        <v>2100</v>
      </c>
      <c r="B471" s="2" t="s">
        <v>3377</v>
      </c>
      <c r="C471" s="2" t="s">
        <v>3378</v>
      </c>
      <c r="D471" s="2">
        <v>2024</v>
      </c>
      <c r="E471" s="3">
        <v>45337</v>
      </c>
      <c r="F471" s="2" t="s">
        <v>3379</v>
      </c>
      <c r="G471" s="2">
        <v>10</v>
      </c>
      <c r="H471" s="2">
        <v>3</v>
      </c>
      <c r="I471" s="2" t="s">
        <v>43</v>
      </c>
      <c r="J471" s="2" t="s">
        <v>3380</v>
      </c>
      <c r="K471" s="2" t="s">
        <v>45</v>
      </c>
      <c r="L471" s="2" t="s">
        <v>29</v>
      </c>
      <c r="M471" s="2" t="s">
        <v>2110</v>
      </c>
      <c r="N471" s="2" t="s">
        <v>1544</v>
      </c>
      <c r="O471" s="2" t="s">
        <v>3381</v>
      </c>
      <c r="P471" s="2" t="s">
        <v>3382</v>
      </c>
      <c r="Q471" s="2" t="s">
        <v>33</v>
      </c>
      <c r="R471" s="2" t="s">
        <v>3383</v>
      </c>
      <c r="S471" s="2" t="s">
        <v>3384</v>
      </c>
      <c r="T471" s="2" t="s">
        <v>3385</v>
      </c>
      <c r="U471" s="2" t="s">
        <v>3384</v>
      </c>
      <c r="V471" s="2" t="s">
        <v>80</v>
      </c>
    </row>
    <row r="472" spans="1:22">
      <c r="A472" s="2" t="s">
        <v>3386</v>
      </c>
      <c r="B472" s="2" t="s">
        <v>3387</v>
      </c>
      <c r="C472" s="2" t="s">
        <v>3388</v>
      </c>
      <c r="D472" s="2">
        <v>2025</v>
      </c>
      <c r="E472" s="3">
        <v>45659</v>
      </c>
      <c r="F472" s="2" t="s">
        <v>3389</v>
      </c>
      <c r="G472" s="2">
        <v>10</v>
      </c>
      <c r="H472" s="2" t="s">
        <v>43</v>
      </c>
      <c r="I472" s="2" t="s">
        <v>43</v>
      </c>
      <c r="J472" s="2" t="s">
        <v>3390</v>
      </c>
      <c r="K472" s="2" t="s">
        <v>3391</v>
      </c>
      <c r="L472" s="2" t="s">
        <v>1867</v>
      </c>
      <c r="M472" s="2" t="s">
        <v>43</v>
      </c>
      <c r="N472" s="2" t="s">
        <v>43</v>
      </c>
      <c r="O472" s="2" t="s">
        <v>43</v>
      </c>
      <c r="P472" s="2" t="s">
        <v>3392</v>
      </c>
      <c r="Q472" s="2" t="s">
        <v>33</v>
      </c>
      <c r="R472" s="2" t="s">
        <v>3393</v>
      </c>
      <c r="S472" s="2" t="s">
        <v>3394</v>
      </c>
      <c r="T472" s="2" t="s">
        <v>3395</v>
      </c>
      <c r="U472" s="2" t="s">
        <v>3396</v>
      </c>
      <c r="V472" s="2" t="s">
        <v>80</v>
      </c>
    </row>
    <row r="473" spans="1:22">
      <c r="A473" s="2" t="s">
        <v>1024</v>
      </c>
      <c r="B473" s="2" t="s">
        <v>3397</v>
      </c>
      <c r="C473" s="2" t="s">
        <v>3398</v>
      </c>
      <c r="D473" s="2">
        <v>2025</v>
      </c>
      <c r="E473" s="3">
        <v>45658</v>
      </c>
      <c r="F473" s="2" t="s">
        <v>167</v>
      </c>
      <c r="G473" s="2">
        <v>17</v>
      </c>
      <c r="H473" s="2">
        <v>2</v>
      </c>
      <c r="I473" s="2" t="s">
        <v>43</v>
      </c>
      <c r="J473" s="2" t="s">
        <v>279</v>
      </c>
      <c r="K473" s="2" t="s">
        <v>61</v>
      </c>
      <c r="L473" s="2" t="s">
        <v>29</v>
      </c>
      <c r="M473" s="2" t="s">
        <v>1285</v>
      </c>
      <c r="N473" s="2" t="s">
        <v>247</v>
      </c>
      <c r="O473" s="4">
        <v>1499</v>
      </c>
      <c r="P473" s="2" t="s">
        <v>3399</v>
      </c>
      <c r="Q473" s="2" t="s">
        <v>33</v>
      </c>
      <c r="R473" s="2" t="s">
        <v>3400</v>
      </c>
      <c r="S473" s="2" t="s">
        <v>79</v>
      </c>
      <c r="T473" s="5">
        <v>601053680000000</v>
      </c>
      <c r="U473" s="2" t="s">
        <v>79</v>
      </c>
      <c r="V473" s="2" t="s">
        <v>80</v>
      </c>
    </row>
    <row r="474" spans="1:22">
      <c r="A474" s="2" t="s">
        <v>1515</v>
      </c>
      <c r="B474" s="2" t="s">
        <v>3397</v>
      </c>
      <c r="C474" s="2" t="s">
        <v>3398</v>
      </c>
      <c r="D474" s="2">
        <v>2025</v>
      </c>
      <c r="E474" s="3">
        <v>45658</v>
      </c>
      <c r="F474" s="2" t="s">
        <v>167</v>
      </c>
      <c r="G474" s="2">
        <v>17</v>
      </c>
      <c r="H474" s="2">
        <v>2</v>
      </c>
      <c r="I474" s="2" t="s">
        <v>43</v>
      </c>
      <c r="J474" s="2" t="s">
        <v>279</v>
      </c>
      <c r="K474" s="2" t="s">
        <v>61</v>
      </c>
      <c r="L474" s="2" t="s">
        <v>29</v>
      </c>
      <c r="M474" s="2" t="s">
        <v>1285</v>
      </c>
      <c r="N474" s="2" t="s">
        <v>247</v>
      </c>
      <c r="O474" s="4">
        <v>1499</v>
      </c>
      <c r="P474" s="2" t="s">
        <v>3399</v>
      </c>
      <c r="Q474" s="2" t="s">
        <v>33</v>
      </c>
      <c r="R474" s="2" t="s">
        <v>3400</v>
      </c>
      <c r="S474" s="2" t="s">
        <v>79</v>
      </c>
      <c r="T474" s="5">
        <v>601053680000000</v>
      </c>
      <c r="U474" s="2" t="s">
        <v>79</v>
      </c>
      <c r="V474" s="2" t="s">
        <v>80</v>
      </c>
    </row>
    <row r="475" spans="1:22">
      <c r="A475" s="2" t="s">
        <v>1013</v>
      </c>
      <c r="B475" s="2" t="s">
        <v>3397</v>
      </c>
      <c r="C475" s="2" t="s">
        <v>3398</v>
      </c>
      <c r="D475" s="2">
        <v>2025</v>
      </c>
      <c r="E475" s="3">
        <v>45658</v>
      </c>
      <c r="F475" s="2" t="s">
        <v>167</v>
      </c>
      <c r="G475" s="2">
        <v>17</v>
      </c>
      <c r="H475" s="2">
        <v>2</v>
      </c>
      <c r="I475" s="2" t="s">
        <v>43</v>
      </c>
      <c r="J475" s="2" t="s">
        <v>279</v>
      </c>
      <c r="K475" s="2" t="s">
        <v>61</v>
      </c>
      <c r="L475" s="2" t="s">
        <v>29</v>
      </c>
      <c r="M475" s="2" t="s">
        <v>1285</v>
      </c>
      <c r="N475" s="2" t="s">
        <v>247</v>
      </c>
      <c r="O475" s="4">
        <v>1499</v>
      </c>
      <c r="P475" s="2" t="s">
        <v>3399</v>
      </c>
      <c r="Q475" s="2" t="s">
        <v>33</v>
      </c>
      <c r="R475" s="2" t="s">
        <v>3400</v>
      </c>
      <c r="S475" s="2" t="s">
        <v>79</v>
      </c>
      <c r="T475" s="5">
        <v>601053680000000</v>
      </c>
      <c r="U475" s="2" t="s">
        <v>79</v>
      </c>
      <c r="V475" s="2" t="s">
        <v>80</v>
      </c>
    </row>
    <row r="476" spans="1:22">
      <c r="A476" s="2" t="s">
        <v>3141</v>
      </c>
      <c r="B476" s="2" t="s">
        <v>3397</v>
      </c>
      <c r="C476" s="2" t="s">
        <v>3398</v>
      </c>
      <c r="D476" s="2">
        <v>2025</v>
      </c>
      <c r="E476" s="3">
        <v>45658</v>
      </c>
      <c r="F476" s="2" t="s">
        <v>167</v>
      </c>
      <c r="G476" s="2">
        <v>17</v>
      </c>
      <c r="H476" s="2">
        <v>2</v>
      </c>
      <c r="I476" s="2" t="s">
        <v>43</v>
      </c>
      <c r="J476" s="2" t="s">
        <v>279</v>
      </c>
      <c r="K476" s="2" t="s">
        <v>61</v>
      </c>
      <c r="L476" s="2" t="s">
        <v>29</v>
      </c>
      <c r="M476" s="2" t="s">
        <v>1285</v>
      </c>
      <c r="N476" s="2" t="s">
        <v>247</v>
      </c>
      <c r="O476" s="4">
        <v>1499</v>
      </c>
      <c r="P476" s="2" t="s">
        <v>3399</v>
      </c>
      <c r="Q476" s="2" t="s">
        <v>33</v>
      </c>
      <c r="R476" s="2" t="s">
        <v>3400</v>
      </c>
      <c r="S476" s="2" t="s">
        <v>79</v>
      </c>
      <c r="T476" s="5">
        <v>601053680000000</v>
      </c>
      <c r="U476" s="2" t="s">
        <v>79</v>
      </c>
      <c r="V476" s="2" t="s">
        <v>80</v>
      </c>
    </row>
    <row r="477" spans="1:22">
      <c r="A477" s="2" t="s">
        <v>39</v>
      </c>
      <c r="B477" s="2" t="s">
        <v>3401</v>
      </c>
      <c r="C477" s="2" t="s">
        <v>3402</v>
      </c>
      <c r="D477" s="2">
        <v>2024</v>
      </c>
      <c r="E477" s="3">
        <v>45627</v>
      </c>
      <c r="F477" s="2" t="s">
        <v>3403</v>
      </c>
      <c r="G477" s="2">
        <v>6</v>
      </c>
      <c r="H477" s="2">
        <v>12</v>
      </c>
      <c r="I477" s="2" t="s">
        <v>3404</v>
      </c>
      <c r="J477" s="2" t="s">
        <v>3405</v>
      </c>
      <c r="K477" s="2" t="s">
        <v>220</v>
      </c>
      <c r="L477" s="2" t="s">
        <v>29</v>
      </c>
      <c r="M477" s="2" t="s">
        <v>145</v>
      </c>
      <c r="N477" s="2" t="s">
        <v>105</v>
      </c>
      <c r="O477" s="4">
        <v>7529</v>
      </c>
      <c r="P477" s="2" t="s">
        <v>3406</v>
      </c>
      <c r="Q477" s="2" t="s">
        <v>2904</v>
      </c>
      <c r="R477" s="2" t="s">
        <v>3407</v>
      </c>
      <c r="S477" s="2" t="s">
        <v>1504</v>
      </c>
      <c r="T477" s="2" t="s">
        <v>3408</v>
      </c>
      <c r="U477" s="2" t="s">
        <v>3409</v>
      </c>
      <c r="V477" s="2" t="s">
        <v>621</v>
      </c>
    </row>
    <row r="478" spans="1:22">
      <c r="A478" s="2" t="s">
        <v>3410</v>
      </c>
      <c r="B478" s="2" t="s">
        <v>3411</v>
      </c>
      <c r="C478" s="2" t="s">
        <v>3412</v>
      </c>
      <c r="D478" s="2">
        <v>2025</v>
      </c>
      <c r="E478" s="3">
        <v>45658</v>
      </c>
      <c r="F478" s="2" t="s">
        <v>3413</v>
      </c>
      <c r="G478" s="2" t="s">
        <v>43</v>
      </c>
      <c r="H478" s="2">
        <v>44</v>
      </c>
      <c r="I478" s="2" t="s">
        <v>3414</v>
      </c>
      <c r="J478" s="2" t="s">
        <v>3415</v>
      </c>
      <c r="K478" s="2" t="s">
        <v>2768</v>
      </c>
      <c r="L478" s="2" t="s">
        <v>773</v>
      </c>
      <c r="M478" s="2" t="s">
        <v>3416</v>
      </c>
      <c r="N478" s="2" t="s">
        <v>2407</v>
      </c>
      <c r="O478" s="2" t="s">
        <v>3417</v>
      </c>
      <c r="P478" s="2" t="s">
        <v>3418</v>
      </c>
      <c r="Q478" s="2" t="s">
        <v>33</v>
      </c>
      <c r="R478" s="2" t="s">
        <v>3419</v>
      </c>
      <c r="S478" s="2" t="s">
        <v>79</v>
      </c>
      <c r="T478" s="5">
        <v>601053680000000</v>
      </c>
      <c r="U478" s="2" t="s">
        <v>79</v>
      </c>
      <c r="V478" s="2" t="s">
        <v>80</v>
      </c>
    </row>
    <row r="479" spans="1:22">
      <c r="A479" s="2" t="s">
        <v>3420</v>
      </c>
      <c r="B479" s="2" t="s">
        <v>3411</v>
      </c>
      <c r="C479" s="2" t="s">
        <v>3412</v>
      </c>
      <c r="D479" s="2">
        <v>2025</v>
      </c>
      <c r="E479" s="3">
        <v>45658</v>
      </c>
      <c r="F479" s="2" t="s">
        <v>3413</v>
      </c>
      <c r="G479" s="2" t="s">
        <v>43</v>
      </c>
      <c r="H479" s="2">
        <v>44</v>
      </c>
      <c r="I479" s="2" t="s">
        <v>3414</v>
      </c>
      <c r="J479" s="2" t="s">
        <v>3415</v>
      </c>
      <c r="K479" s="2" t="s">
        <v>2768</v>
      </c>
      <c r="L479" s="2" t="s">
        <v>773</v>
      </c>
      <c r="M479" s="2" t="s">
        <v>3416</v>
      </c>
      <c r="N479" s="2" t="s">
        <v>2407</v>
      </c>
      <c r="O479" s="2" t="s">
        <v>3417</v>
      </c>
      <c r="P479" s="2" t="s">
        <v>3418</v>
      </c>
      <c r="Q479" s="2" t="s">
        <v>33</v>
      </c>
      <c r="R479" s="2" t="s">
        <v>3419</v>
      </c>
      <c r="S479" s="2" t="s">
        <v>79</v>
      </c>
      <c r="T479" s="5">
        <v>601053680000000</v>
      </c>
      <c r="U479" s="2" t="s">
        <v>79</v>
      </c>
      <c r="V479" s="2" t="s">
        <v>80</v>
      </c>
    </row>
    <row r="480" spans="1:22">
      <c r="A480" s="2" t="s">
        <v>3421</v>
      </c>
      <c r="B480" s="2" t="s">
        <v>3422</v>
      </c>
      <c r="C480" s="2" t="s">
        <v>3423</v>
      </c>
      <c r="D480" s="2">
        <v>2024</v>
      </c>
      <c r="E480" s="3">
        <v>45594</v>
      </c>
      <c r="F480" s="2" t="s">
        <v>3424</v>
      </c>
      <c r="G480" s="2">
        <v>24</v>
      </c>
      <c r="H480" s="2" t="s">
        <v>43</v>
      </c>
      <c r="I480" s="2" t="s">
        <v>3425</v>
      </c>
      <c r="J480" s="2" t="s">
        <v>3426</v>
      </c>
      <c r="K480" s="2" t="s">
        <v>528</v>
      </c>
      <c r="L480" s="2" t="s">
        <v>29</v>
      </c>
      <c r="M480" s="2" t="s">
        <v>1919</v>
      </c>
      <c r="N480" s="2" t="s">
        <v>3427</v>
      </c>
      <c r="O480" s="2" t="s">
        <v>3428</v>
      </c>
      <c r="P480" s="2" t="s">
        <v>3429</v>
      </c>
      <c r="Q480" s="2" t="s">
        <v>1125</v>
      </c>
      <c r="R480" s="2" t="s">
        <v>3430</v>
      </c>
      <c r="S480" s="2" t="s">
        <v>79</v>
      </c>
      <c r="T480" s="2" t="s">
        <v>3431</v>
      </c>
      <c r="U480" s="2" t="s">
        <v>3432</v>
      </c>
      <c r="V480" s="2" t="s">
        <v>80</v>
      </c>
    </row>
    <row r="481" spans="1:22">
      <c r="A481" s="2" t="s">
        <v>3433</v>
      </c>
      <c r="B481" s="2" t="s">
        <v>3422</v>
      </c>
      <c r="C481" s="2" t="s">
        <v>3423</v>
      </c>
      <c r="D481" s="2">
        <v>2024</v>
      </c>
      <c r="E481" s="3">
        <v>45594</v>
      </c>
      <c r="F481" s="2" t="s">
        <v>3424</v>
      </c>
      <c r="G481" s="2">
        <v>24</v>
      </c>
      <c r="H481" s="2" t="s">
        <v>43</v>
      </c>
      <c r="I481" s="2" t="s">
        <v>3425</v>
      </c>
      <c r="J481" s="2" t="s">
        <v>3426</v>
      </c>
      <c r="K481" s="2" t="s">
        <v>528</v>
      </c>
      <c r="L481" s="2" t="s">
        <v>29</v>
      </c>
      <c r="M481" s="2" t="s">
        <v>1919</v>
      </c>
      <c r="N481" s="2" t="s">
        <v>3427</v>
      </c>
      <c r="O481" s="2" t="s">
        <v>3428</v>
      </c>
      <c r="P481" s="2" t="s">
        <v>3429</v>
      </c>
      <c r="Q481" s="2" t="s">
        <v>1125</v>
      </c>
      <c r="R481" s="2" t="s">
        <v>3430</v>
      </c>
      <c r="S481" s="2" t="s">
        <v>79</v>
      </c>
      <c r="T481" s="2" t="s">
        <v>3431</v>
      </c>
      <c r="U481" s="2" t="s">
        <v>3432</v>
      </c>
      <c r="V481" s="2" t="s">
        <v>80</v>
      </c>
    </row>
    <row r="482" spans="1:22">
      <c r="A482" s="2" t="s">
        <v>3434</v>
      </c>
      <c r="B482" s="2" t="s">
        <v>3435</v>
      </c>
      <c r="C482" s="2" t="s">
        <v>3436</v>
      </c>
      <c r="D482" s="2">
        <v>2025</v>
      </c>
      <c r="E482" s="3">
        <v>45658</v>
      </c>
      <c r="F482" s="2" t="s">
        <v>2392</v>
      </c>
      <c r="G482" s="2">
        <v>36</v>
      </c>
      <c r="H482" s="2">
        <v>1</v>
      </c>
      <c r="I482" s="2" t="s">
        <v>3437</v>
      </c>
      <c r="J482" s="2" t="s">
        <v>2394</v>
      </c>
      <c r="K482" s="2" t="s">
        <v>392</v>
      </c>
      <c r="L482" s="2" t="s">
        <v>773</v>
      </c>
      <c r="M482" s="2" t="s">
        <v>1948</v>
      </c>
      <c r="N482" s="2" t="s">
        <v>2156</v>
      </c>
      <c r="O482" s="2" t="s">
        <v>3438</v>
      </c>
      <c r="P482" s="2" t="s">
        <v>3439</v>
      </c>
      <c r="Q482" s="2" t="s">
        <v>33</v>
      </c>
      <c r="R482" s="2" t="s">
        <v>3440</v>
      </c>
      <c r="S482" s="2" t="s">
        <v>1681</v>
      </c>
      <c r="T482" s="2" t="s">
        <v>2606</v>
      </c>
      <c r="U482" s="2" t="s">
        <v>1681</v>
      </c>
      <c r="V482" s="2" t="s">
        <v>80</v>
      </c>
    </row>
    <row r="483" spans="1:22">
      <c r="A483" s="2" t="s">
        <v>3441</v>
      </c>
      <c r="B483" s="2" t="s">
        <v>3435</v>
      </c>
      <c r="C483" s="2" t="s">
        <v>3436</v>
      </c>
      <c r="D483" s="2">
        <v>2025</v>
      </c>
      <c r="E483" s="3">
        <v>45658</v>
      </c>
      <c r="F483" s="2" t="s">
        <v>2392</v>
      </c>
      <c r="G483" s="2">
        <v>36</v>
      </c>
      <c r="H483" s="2">
        <v>1</v>
      </c>
      <c r="I483" s="2" t="s">
        <v>3437</v>
      </c>
      <c r="J483" s="2" t="s">
        <v>2394</v>
      </c>
      <c r="K483" s="2" t="s">
        <v>392</v>
      </c>
      <c r="L483" s="2" t="s">
        <v>773</v>
      </c>
      <c r="M483" s="2" t="s">
        <v>1948</v>
      </c>
      <c r="N483" s="2" t="s">
        <v>2156</v>
      </c>
      <c r="O483" s="2" t="s">
        <v>3438</v>
      </c>
      <c r="P483" s="2" t="s">
        <v>3439</v>
      </c>
      <c r="Q483" s="2" t="s">
        <v>33</v>
      </c>
      <c r="R483" s="2" t="s">
        <v>3440</v>
      </c>
      <c r="S483" s="2" t="s">
        <v>1681</v>
      </c>
      <c r="T483" s="2" t="s">
        <v>2606</v>
      </c>
      <c r="U483" s="2" t="s">
        <v>1681</v>
      </c>
      <c r="V483" s="2" t="s">
        <v>80</v>
      </c>
    </row>
    <row r="484" spans="1:22" ht="28.8">
      <c r="A484" s="2" t="s">
        <v>635</v>
      </c>
      <c r="B484" s="2" t="s">
        <v>3442</v>
      </c>
      <c r="C484" s="2" t="s">
        <v>3443</v>
      </c>
      <c r="D484" s="2">
        <v>2024</v>
      </c>
      <c r="E484" s="3">
        <v>45413</v>
      </c>
      <c r="F484" s="2" t="s">
        <v>3444</v>
      </c>
      <c r="G484" s="2">
        <v>94</v>
      </c>
      <c r="H484" s="2">
        <v>5</v>
      </c>
      <c r="I484" s="2" t="s">
        <v>3445</v>
      </c>
      <c r="J484" s="2" t="s">
        <v>3446</v>
      </c>
      <c r="K484" s="2" t="s">
        <v>3447</v>
      </c>
      <c r="L484" s="2" t="s">
        <v>29</v>
      </c>
      <c r="M484" s="2" t="s">
        <v>246</v>
      </c>
      <c r="N484" s="2" t="s">
        <v>464</v>
      </c>
      <c r="O484" s="4">
        <v>1249</v>
      </c>
      <c r="P484" s="2" t="s">
        <v>3448</v>
      </c>
      <c r="Q484" s="2" t="s">
        <v>644</v>
      </c>
      <c r="R484" s="2" t="s">
        <v>3449</v>
      </c>
      <c r="S484" s="2" t="s">
        <v>3450</v>
      </c>
      <c r="T484" s="2" t="s">
        <v>3451</v>
      </c>
      <c r="U484" s="2" t="s">
        <v>3452</v>
      </c>
      <c r="V484" s="2" t="s">
        <v>3453</v>
      </c>
    </row>
    <row r="485" spans="1:22">
      <c r="A485" s="2" t="s">
        <v>3141</v>
      </c>
      <c r="B485" s="2" t="s">
        <v>3454</v>
      </c>
      <c r="C485" s="2" t="s">
        <v>3455</v>
      </c>
      <c r="D485" s="2">
        <v>2024</v>
      </c>
      <c r="E485" s="3">
        <v>45627</v>
      </c>
      <c r="F485" s="2" t="s">
        <v>3456</v>
      </c>
      <c r="G485" s="2">
        <v>24</v>
      </c>
      <c r="H485" s="2">
        <v>1</v>
      </c>
      <c r="I485" s="2" t="s">
        <v>43</v>
      </c>
      <c r="J485" s="2" t="s">
        <v>3457</v>
      </c>
      <c r="K485" s="2" t="s">
        <v>233</v>
      </c>
      <c r="L485" s="2" t="s">
        <v>29</v>
      </c>
      <c r="M485" s="2" t="s">
        <v>498</v>
      </c>
      <c r="N485" s="2" t="s">
        <v>293</v>
      </c>
      <c r="O485" s="4">
        <v>1359</v>
      </c>
      <c r="P485" s="2" t="s">
        <v>3458</v>
      </c>
      <c r="Q485" s="2" t="s">
        <v>33</v>
      </c>
      <c r="R485" s="2" t="s">
        <v>3459</v>
      </c>
      <c r="S485" s="2" t="s">
        <v>3460</v>
      </c>
      <c r="T485" s="2" t="s">
        <v>3461</v>
      </c>
      <c r="U485" s="2" t="s">
        <v>3462</v>
      </c>
      <c r="V485" s="2" t="s">
        <v>594</v>
      </c>
    </row>
    <row r="486" spans="1:22">
      <c r="A486" s="2" t="s">
        <v>3152</v>
      </c>
      <c r="B486" s="2" t="s">
        <v>3463</v>
      </c>
      <c r="C486" s="2" t="s">
        <v>3464</v>
      </c>
      <c r="D486" s="2">
        <v>2025</v>
      </c>
      <c r="E486" s="3">
        <v>45658</v>
      </c>
      <c r="F486" s="2" t="s">
        <v>2611</v>
      </c>
      <c r="G486" s="2">
        <v>13</v>
      </c>
      <c r="H486" s="2" t="s">
        <v>43</v>
      </c>
      <c r="I486" s="2" t="s">
        <v>43</v>
      </c>
      <c r="J486" s="2" t="s">
        <v>2612</v>
      </c>
      <c r="K486" s="2" t="s">
        <v>183</v>
      </c>
      <c r="L486" s="2" t="s">
        <v>29</v>
      </c>
      <c r="M486" s="2" t="s">
        <v>120</v>
      </c>
      <c r="N486" s="2" t="s">
        <v>961</v>
      </c>
      <c r="O486" s="4">
        <v>1103</v>
      </c>
      <c r="P486" s="2" t="s">
        <v>3465</v>
      </c>
      <c r="Q486" s="2" t="s">
        <v>208</v>
      </c>
      <c r="R486" s="2" t="s">
        <v>3466</v>
      </c>
      <c r="S486" s="2" t="s">
        <v>3467</v>
      </c>
      <c r="T486" s="2" t="s">
        <v>3468</v>
      </c>
      <c r="U486" s="2" t="s">
        <v>3469</v>
      </c>
      <c r="V486" s="2" t="s">
        <v>594</v>
      </c>
    </row>
    <row r="487" spans="1:22">
      <c r="A487" s="2" t="s">
        <v>3470</v>
      </c>
      <c r="B487" s="2" t="s">
        <v>3471</v>
      </c>
      <c r="C487" s="2" t="s">
        <v>3472</v>
      </c>
      <c r="D487" s="2">
        <v>2024</v>
      </c>
      <c r="E487" s="3">
        <v>45352</v>
      </c>
      <c r="F487" s="2" t="s">
        <v>3473</v>
      </c>
      <c r="G487" s="2">
        <v>25</v>
      </c>
      <c r="H487" s="2">
        <v>2</v>
      </c>
      <c r="I487" s="2" t="s">
        <v>43</v>
      </c>
      <c r="J487" s="2" t="s">
        <v>3474</v>
      </c>
      <c r="K487" s="2" t="s">
        <v>392</v>
      </c>
      <c r="L487" s="2" t="s">
        <v>773</v>
      </c>
      <c r="M487" s="2" t="s">
        <v>3475</v>
      </c>
      <c r="N487" s="2" t="s">
        <v>1136</v>
      </c>
      <c r="O487" s="2" t="s">
        <v>3476</v>
      </c>
      <c r="P487" s="2" t="s">
        <v>3477</v>
      </c>
      <c r="Q487" s="2" t="s">
        <v>33</v>
      </c>
      <c r="R487" s="2" t="s">
        <v>3478</v>
      </c>
      <c r="S487" s="2" t="s">
        <v>3479</v>
      </c>
      <c r="T487" s="2" t="s">
        <v>3480</v>
      </c>
      <c r="U487" s="2" t="s">
        <v>3481</v>
      </c>
      <c r="V487" s="2" t="s">
        <v>80</v>
      </c>
    </row>
    <row r="488" spans="1:22">
      <c r="A488" s="2" t="s">
        <v>3482</v>
      </c>
      <c r="B488" s="2" t="s">
        <v>3471</v>
      </c>
      <c r="C488" s="2" t="s">
        <v>3472</v>
      </c>
      <c r="D488" s="2">
        <v>2024</v>
      </c>
      <c r="E488" s="3">
        <v>45352</v>
      </c>
      <c r="F488" s="2" t="s">
        <v>3473</v>
      </c>
      <c r="G488" s="2">
        <v>25</v>
      </c>
      <c r="H488" s="2">
        <v>2</v>
      </c>
      <c r="I488" s="2" t="s">
        <v>43</v>
      </c>
      <c r="J488" s="2" t="s">
        <v>3474</v>
      </c>
      <c r="K488" s="2" t="s">
        <v>392</v>
      </c>
      <c r="L488" s="2" t="s">
        <v>773</v>
      </c>
      <c r="M488" s="2" t="s">
        <v>3475</v>
      </c>
      <c r="N488" s="2" t="s">
        <v>1136</v>
      </c>
      <c r="O488" s="2" t="s">
        <v>3476</v>
      </c>
      <c r="P488" s="2" t="s">
        <v>3477</v>
      </c>
      <c r="Q488" s="2" t="s">
        <v>33</v>
      </c>
      <c r="R488" s="2" t="s">
        <v>3478</v>
      </c>
      <c r="S488" s="2" t="s">
        <v>3479</v>
      </c>
      <c r="T488" s="2" t="s">
        <v>3480</v>
      </c>
      <c r="U488" s="2" t="s">
        <v>3481</v>
      </c>
      <c r="V488" s="2" t="s">
        <v>80</v>
      </c>
    </row>
    <row r="489" spans="1:22">
      <c r="A489" s="2" t="s">
        <v>967</v>
      </c>
      <c r="B489" s="2" t="s">
        <v>3483</v>
      </c>
      <c r="C489" s="2" t="s">
        <v>3484</v>
      </c>
      <c r="D489" s="2">
        <v>2025</v>
      </c>
      <c r="E489" s="3">
        <v>45658</v>
      </c>
      <c r="F489" s="2" t="s">
        <v>167</v>
      </c>
      <c r="G489" s="2">
        <v>17</v>
      </c>
      <c r="H489" s="2">
        <v>1</v>
      </c>
      <c r="I489" s="2" t="s">
        <v>43</v>
      </c>
      <c r="J489" s="2" t="s">
        <v>279</v>
      </c>
      <c r="K489" s="2" t="s">
        <v>61</v>
      </c>
      <c r="L489" s="2" t="s">
        <v>29</v>
      </c>
      <c r="M489" s="2" t="s">
        <v>1285</v>
      </c>
      <c r="N489" s="2" t="s">
        <v>247</v>
      </c>
      <c r="O489" s="4">
        <v>1499</v>
      </c>
      <c r="P489" s="2" t="s">
        <v>3485</v>
      </c>
      <c r="Q489" s="2" t="s">
        <v>33</v>
      </c>
      <c r="R489" s="2" t="s">
        <v>3486</v>
      </c>
      <c r="S489" s="2" t="s">
        <v>1117</v>
      </c>
      <c r="T489" s="2" t="s">
        <v>3487</v>
      </c>
      <c r="U489" s="2" t="s">
        <v>3488</v>
      </c>
      <c r="V489" s="2" t="s">
        <v>80</v>
      </c>
    </row>
    <row r="490" spans="1:22" ht="28.8">
      <c r="A490" s="2" t="s">
        <v>254</v>
      </c>
      <c r="B490" s="2" t="s">
        <v>3489</v>
      </c>
      <c r="C490" s="2" t="s">
        <v>3490</v>
      </c>
      <c r="D490" s="2">
        <v>2025</v>
      </c>
      <c r="E490" s="3">
        <v>45664</v>
      </c>
      <c r="F490" s="2" t="s">
        <v>3491</v>
      </c>
      <c r="G490" s="2">
        <v>9</v>
      </c>
      <c r="H490" s="2">
        <v>1</v>
      </c>
      <c r="I490" s="2" t="s">
        <v>43</v>
      </c>
      <c r="J490" s="2" t="s">
        <v>3492</v>
      </c>
      <c r="K490" s="2" t="s">
        <v>566</v>
      </c>
      <c r="L490" s="2" t="s">
        <v>29</v>
      </c>
      <c r="M490" s="2" t="s">
        <v>374</v>
      </c>
      <c r="N490" s="2" t="s">
        <v>961</v>
      </c>
      <c r="O490" s="4">
        <v>2423</v>
      </c>
      <c r="P490" s="2" t="s">
        <v>3493</v>
      </c>
      <c r="Q490" s="2" t="s">
        <v>49</v>
      </c>
      <c r="R490" s="2" t="s">
        <v>3494</v>
      </c>
      <c r="S490" s="2" t="s">
        <v>3495</v>
      </c>
      <c r="T490" s="2" t="s">
        <v>3496</v>
      </c>
      <c r="U490" s="2" t="s">
        <v>3497</v>
      </c>
      <c r="V490" s="2" t="s">
        <v>3498</v>
      </c>
    </row>
    <row r="491" spans="1:22">
      <c r="A491" s="2" t="s">
        <v>1916</v>
      </c>
      <c r="B491" s="2" t="s">
        <v>3499</v>
      </c>
      <c r="C491" s="2" t="s">
        <v>3500</v>
      </c>
      <c r="D491" s="2">
        <v>2024</v>
      </c>
      <c r="E491" s="3">
        <v>45627</v>
      </c>
      <c r="F491" s="2" t="s">
        <v>231</v>
      </c>
      <c r="G491" s="2">
        <v>28</v>
      </c>
      <c r="H491" s="2">
        <v>1</v>
      </c>
      <c r="I491" s="2" t="s">
        <v>43</v>
      </c>
      <c r="J491" s="2" t="s">
        <v>232</v>
      </c>
      <c r="K491" s="2" t="s">
        <v>233</v>
      </c>
      <c r="L491" s="2" t="s">
        <v>29</v>
      </c>
      <c r="M491" s="2" t="s">
        <v>1337</v>
      </c>
      <c r="N491" s="2" t="s">
        <v>31</v>
      </c>
      <c r="O491" s="4">
        <v>2738</v>
      </c>
      <c r="P491" s="2" t="s">
        <v>3501</v>
      </c>
      <c r="Q491" s="2" t="s">
        <v>644</v>
      </c>
      <c r="R491" s="2" t="s">
        <v>3502</v>
      </c>
      <c r="S491" s="2" t="s">
        <v>1681</v>
      </c>
      <c r="T491" s="2" t="s">
        <v>2606</v>
      </c>
      <c r="U491" s="2" t="s">
        <v>1681</v>
      </c>
      <c r="V491" s="2" t="s">
        <v>80</v>
      </c>
    </row>
    <row r="492" spans="1:22">
      <c r="A492" s="2" t="s">
        <v>1344</v>
      </c>
      <c r="B492" s="2" t="s">
        <v>3499</v>
      </c>
      <c r="C492" s="2" t="s">
        <v>3500</v>
      </c>
      <c r="D492" s="2">
        <v>2024</v>
      </c>
      <c r="E492" s="3">
        <v>45627</v>
      </c>
      <c r="F492" s="2" t="s">
        <v>231</v>
      </c>
      <c r="G492" s="2">
        <v>28</v>
      </c>
      <c r="H492" s="2">
        <v>1</v>
      </c>
      <c r="I492" s="2" t="s">
        <v>43</v>
      </c>
      <c r="J492" s="2" t="s">
        <v>232</v>
      </c>
      <c r="K492" s="2" t="s">
        <v>233</v>
      </c>
      <c r="L492" s="2" t="s">
        <v>29</v>
      </c>
      <c r="M492" s="2" t="s">
        <v>1337</v>
      </c>
      <c r="N492" s="2" t="s">
        <v>31</v>
      </c>
      <c r="O492" s="4">
        <v>2738</v>
      </c>
      <c r="P492" s="2" t="s">
        <v>3501</v>
      </c>
      <c r="Q492" s="2" t="s">
        <v>644</v>
      </c>
      <c r="R492" s="2" t="s">
        <v>3502</v>
      </c>
      <c r="S492" s="2" t="s">
        <v>1681</v>
      </c>
      <c r="T492" s="2" t="s">
        <v>2606</v>
      </c>
      <c r="U492" s="2" t="s">
        <v>1681</v>
      </c>
      <c r="V492" s="2" t="s">
        <v>80</v>
      </c>
    </row>
    <row r="493" spans="1:22">
      <c r="A493" s="2" t="s">
        <v>2629</v>
      </c>
      <c r="B493" s="2" t="s">
        <v>3499</v>
      </c>
      <c r="C493" s="2" t="s">
        <v>3500</v>
      </c>
      <c r="D493" s="2">
        <v>2024</v>
      </c>
      <c r="E493" s="3">
        <v>45627</v>
      </c>
      <c r="F493" s="2" t="s">
        <v>231</v>
      </c>
      <c r="G493" s="2">
        <v>28</v>
      </c>
      <c r="H493" s="2">
        <v>1</v>
      </c>
      <c r="I493" s="2" t="s">
        <v>43</v>
      </c>
      <c r="J493" s="2" t="s">
        <v>232</v>
      </c>
      <c r="K493" s="2" t="s">
        <v>233</v>
      </c>
      <c r="L493" s="2" t="s">
        <v>29</v>
      </c>
      <c r="M493" s="2" t="s">
        <v>1337</v>
      </c>
      <c r="N493" s="2" t="s">
        <v>31</v>
      </c>
      <c r="O493" s="4">
        <v>2738</v>
      </c>
      <c r="P493" s="2" t="s">
        <v>3501</v>
      </c>
      <c r="Q493" s="2" t="s">
        <v>644</v>
      </c>
      <c r="R493" s="2" t="s">
        <v>3502</v>
      </c>
      <c r="S493" s="2" t="s">
        <v>1681</v>
      </c>
      <c r="T493" s="2" t="s">
        <v>2606</v>
      </c>
      <c r="U493" s="2" t="s">
        <v>1681</v>
      </c>
      <c r="V493" s="2" t="s">
        <v>80</v>
      </c>
    </row>
    <row r="494" spans="1:22">
      <c r="A494" s="2" t="s">
        <v>3503</v>
      </c>
      <c r="B494" s="2" t="s">
        <v>3504</v>
      </c>
      <c r="C494" s="2" t="s">
        <v>3505</v>
      </c>
      <c r="D494" s="2">
        <v>2024</v>
      </c>
      <c r="E494" s="3">
        <v>45292</v>
      </c>
      <c r="F494" s="2" t="s">
        <v>3506</v>
      </c>
      <c r="G494" s="2">
        <v>17</v>
      </c>
      <c r="H494" s="2">
        <v>3</v>
      </c>
      <c r="I494" s="7">
        <v>44136</v>
      </c>
      <c r="J494" s="2" t="s">
        <v>3507</v>
      </c>
      <c r="K494" s="2" t="s">
        <v>3508</v>
      </c>
      <c r="L494" s="2" t="s">
        <v>773</v>
      </c>
      <c r="M494" s="2" t="s">
        <v>1135</v>
      </c>
      <c r="N494" s="2" t="s">
        <v>1136</v>
      </c>
      <c r="O494" s="2" t="s">
        <v>3509</v>
      </c>
      <c r="P494" s="2" t="s">
        <v>3510</v>
      </c>
      <c r="Q494" s="2" t="s">
        <v>33</v>
      </c>
      <c r="R494" s="2" t="s">
        <v>3511</v>
      </c>
      <c r="S494" s="2" t="s">
        <v>3512</v>
      </c>
      <c r="T494" s="2" t="s">
        <v>3513</v>
      </c>
      <c r="U494" s="2" t="s">
        <v>3514</v>
      </c>
      <c r="V494" s="2" t="s">
        <v>80</v>
      </c>
    </row>
    <row r="495" spans="1:22">
      <c r="A495" s="2" t="s">
        <v>3515</v>
      </c>
      <c r="B495" s="2" t="s">
        <v>3516</v>
      </c>
      <c r="C495" s="2" t="s">
        <v>3517</v>
      </c>
      <c r="D495" s="2">
        <v>2025</v>
      </c>
      <c r="E495" s="3">
        <v>45809</v>
      </c>
      <c r="F495" s="2" t="s">
        <v>3518</v>
      </c>
      <c r="G495" s="2">
        <v>38</v>
      </c>
      <c r="H495" s="2">
        <v>6</v>
      </c>
      <c r="I495" s="2" t="s">
        <v>3519</v>
      </c>
      <c r="J495" s="2" t="s">
        <v>3520</v>
      </c>
      <c r="K495" s="2" t="s">
        <v>3037</v>
      </c>
      <c r="L495" s="2" t="s">
        <v>29</v>
      </c>
      <c r="M495" s="2" t="s">
        <v>498</v>
      </c>
      <c r="N495" s="2" t="s">
        <v>1473</v>
      </c>
      <c r="O495" s="4">
        <v>1109</v>
      </c>
      <c r="P495" s="2" t="s">
        <v>3521</v>
      </c>
      <c r="Q495" s="2" t="s">
        <v>33</v>
      </c>
      <c r="R495" s="2" t="s">
        <v>3522</v>
      </c>
      <c r="S495" s="2" t="s">
        <v>511</v>
      </c>
      <c r="T495" s="2" t="s">
        <v>3523</v>
      </c>
      <c r="U495" s="2" t="s">
        <v>3524</v>
      </c>
      <c r="V495" s="2" t="s">
        <v>80</v>
      </c>
    </row>
    <row r="496" spans="1:22">
      <c r="A496" s="2" t="s">
        <v>3525</v>
      </c>
      <c r="B496" s="2" t="s">
        <v>3526</v>
      </c>
      <c r="C496" s="2" t="s">
        <v>3527</v>
      </c>
      <c r="D496" s="2">
        <v>2024</v>
      </c>
      <c r="E496" s="3">
        <v>45292</v>
      </c>
      <c r="F496" s="2" t="s">
        <v>3528</v>
      </c>
      <c r="G496" s="2" t="s">
        <v>43</v>
      </c>
      <c r="H496" s="2">
        <v>21</v>
      </c>
      <c r="I496" s="2" t="s">
        <v>3529</v>
      </c>
      <c r="J496" s="2" t="s">
        <v>3530</v>
      </c>
      <c r="K496" s="2" t="s">
        <v>3531</v>
      </c>
      <c r="L496" s="2" t="s">
        <v>773</v>
      </c>
      <c r="M496" s="2" t="s">
        <v>47</v>
      </c>
      <c r="N496" s="2" t="s">
        <v>2754</v>
      </c>
      <c r="O496" s="2" t="s">
        <v>3532</v>
      </c>
      <c r="P496" s="2" t="s">
        <v>3533</v>
      </c>
      <c r="Q496" s="2" t="s">
        <v>33</v>
      </c>
      <c r="R496" s="2" t="s">
        <v>3534</v>
      </c>
      <c r="S496" s="2" t="s">
        <v>79</v>
      </c>
      <c r="T496" s="5">
        <v>601053680000000</v>
      </c>
      <c r="U496" s="2" t="s">
        <v>79</v>
      </c>
      <c r="V496" s="2" t="s">
        <v>80</v>
      </c>
    </row>
    <row r="497" spans="1:22">
      <c r="A497" s="2" t="s">
        <v>1527</v>
      </c>
      <c r="B497" s="2" t="s">
        <v>3535</v>
      </c>
      <c r="C497" s="2" t="s">
        <v>3536</v>
      </c>
      <c r="D497" s="2">
        <v>2025</v>
      </c>
      <c r="E497" s="3">
        <v>45658</v>
      </c>
      <c r="F497" s="2" t="s">
        <v>3537</v>
      </c>
      <c r="G497" s="2">
        <v>29</v>
      </c>
      <c r="H497" s="2">
        <v>2</v>
      </c>
      <c r="I497" s="7">
        <v>44927</v>
      </c>
      <c r="J497" s="2" t="s">
        <v>3538</v>
      </c>
      <c r="K497" s="2" t="s">
        <v>3539</v>
      </c>
      <c r="L497" s="2" t="s">
        <v>773</v>
      </c>
      <c r="M497" s="2" t="s">
        <v>853</v>
      </c>
      <c r="N497" s="2" t="s">
        <v>1976</v>
      </c>
      <c r="O497" s="2" t="s">
        <v>3540</v>
      </c>
      <c r="P497" s="2" t="s">
        <v>3541</v>
      </c>
      <c r="Q497" s="2" t="s">
        <v>33</v>
      </c>
      <c r="R497" s="2" t="s">
        <v>3542</v>
      </c>
      <c r="S497" s="2" t="s">
        <v>79</v>
      </c>
      <c r="T497" s="5">
        <v>601053680000000</v>
      </c>
      <c r="U497" s="2" t="s">
        <v>79</v>
      </c>
      <c r="V497" s="2" t="s">
        <v>3543</v>
      </c>
    </row>
    <row r="498" spans="1:22">
      <c r="A498" s="2" t="s">
        <v>3544</v>
      </c>
      <c r="B498" s="2" t="s">
        <v>3535</v>
      </c>
      <c r="C498" s="2" t="s">
        <v>3536</v>
      </c>
      <c r="D498" s="2">
        <v>2025</v>
      </c>
      <c r="E498" s="3">
        <v>45658</v>
      </c>
      <c r="F498" s="2" t="s">
        <v>3537</v>
      </c>
      <c r="G498" s="2">
        <v>29</v>
      </c>
      <c r="H498" s="2">
        <v>2</v>
      </c>
      <c r="I498" s="7">
        <v>44927</v>
      </c>
      <c r="J498" s="2" t="s">
        <v>3538</v>
      </c>
      <c r="K498" s="2" t="s">
        <v>3539</v>
      </c>
      <c r="L498" s="2" t="s">
        <v>773</v>
      </c>
      <c r="M498" s="2" t="s">
        <v>853</v>
      </c>
      <c r="N498" s="2" t="s">
        <v>1976</v>
      </c>
      <c r="O498" s="2" t="s">
        <v>3540</v>
      </c>
      <c r="P498" s="2" t="s">
        <v>3541</v>
      </c>
      <c r="Q498" s="2" t="s">
        <v>33</v>
      </c>
      <c r="R498" s="2" t="s">
        <v>3542</v>
      </c>
      <c r="S498" s="2" t="s">
        <v>79</v>
      </c>
      <c r="T498" s="5">
        <v>601053680000000</v>
      </c>
      <c r="U498" s="2" t="s">
        <v>79</v>
      </c>
      <c r="V498" s="2" t="s">
        <v>3543</v>
      </c>
    </row>
    <row r="499" spans="1:22">
      <c r="A499" s="2" t="s">
        <v>3545</v>
      </c>
      <c r="B499" s="2" t="s">
        <v>3535</v>
      </c>
      <c r="C499" s="2" t="s">
        <v>3536</v>
      </c>
      <c r="D499" s="2">
        <v>2025</v>
      </c>
      <c r="E499" s="3">
        <v>45658</v>
      </c>
      <c r="F499" s="2" t="s">
        <v>3537</v>
      </c>
      <c r="G499" s="2">
        <v>29</v>
      </c>
      <c r="H499" s="2">
        <v>2</v>
      </c>
      <c r="I499" s="7">
        <v>44927</v>
      </c>
      <c r="J499" s="2" t="s">
        <v>3538</v>
      </c>
      <c r="K499" s="2" t="s">
        <v>3539</v>
      </c>
      <c r="L499" s="2" t="s">
        <v>773</v>
      </c>
      <c r="M499" s="2" t="s">
        <v>853</v>
      </c>
      <c r="N499" s="2" t="s">
        <v>1976</v>
      </c>
      <c r="O499" s="2" t="s">
        <v>3540</v>
      </c>
      <c r="P499" s="2" t="s">
        <v>3541</v>
      </c>
      <c r="Q499" s="2" t="s">
        <v>33</v>
      </c>
      <c r="R499" s="2" t="s">
        <v>3542</v>
      </c>
      <c r="S499" s="2" t="s">
        <v>79</v>
      </c>
      <c r="T499" s="5">
        <v>601053680000000</v>
      </c>
      <c r="U499" s="2" t="s">
        <v>79</v>
      </c>
      <c r="V499" s="2" t="s">
        <v>3543</v>
      </c>
    </row>
    <row r="500" spans="1:22">
      <c r="A500" s="2" t="s">
        <v>1619</v>
      </c>
      <c r="B500" s="2" t="s">
        <v>3546</v>
      </c>
      <c r="C500" s="2" t="s">
        <v>3547</v>
      </c>
      <c r="D500" s="2">
        <v>2025</v>
      </c>
      <c r="E500" s="3">
        <v>45870</v>
      </c>
      <c r="F500" s="2" t="s">
        <v>2091</v>
      </c>
      <c r="G500" s="2">
        <v>13</v>
      </c>
      <c r="H500" s="2">
        <v>8</v>
      </c>
      <c r="I500" s="2" t="s">
        <v>43</v>
      </c>
      <c r="J500" s="2" t="s">
        <v>2092</v>
      </c>
      <c r="K500" s="2" t="s">
        <v>61</v>
      </c>
      <c r="L500" s="2" t="s">
        <v>29</v>
      </c>
      <c r="M500" s="2" t="s">
        <v>439</v>
      </c>
      <c r="N500" s="2" t="s">
        <v>196</v>
      </c>
      <c r="O500" s="2" t="s">
        <v>2093</v>
      </c>
      <c r="P500" s="2" t="s">
        <v>3548</v>
      </c>
      <c r="Q500" s="2" t="s">
        <v>33</v>
      </c>
      <c r="R500" s="2" t="s">
        <v>3549</v>
      </c>
      <c r="S500" s="2" t="s">
        <v>3550</v>
      </c>
      <c r="T500" s="2" t="s">
        <v>3551</v>
      </c>
      <c r="U500" s="2" t="s">
        <v>3552</v>
      </c>
      <c r="V500" s="2" t="s">
        <v>141</v>
      </c>
    </row>
    <row r="501" spans="1:22">
      <c r="A501" s="2" t="s">
        <v>2099</v>
      </c>
      <c r="B501" s="2" t="s">
        <v>3546</v>
      </c>
      <c r="C501" s="2" t="s">
        <v>3547</v>
      </c>
      <c r="D501" s="2">
        <v>2025</v>
      </c>
      <c r="E501" s="3">
        <v>45870</v>
      </c>
      <c r="F501" s="2" t="s">
        <v>2091</v>
      </c>
      <c r="G501" s="2">
        <v>13</v>
      </c>
      <c r="H501" s="2">
        <v>8</v>
      </c>
      <c r="I501" s="2" t="s">
        <v>43</v>
      </c>
      <c r="J501" s="2" t="s">
        <v>2092</v>
      </c>
      <c r="K501" s="2" t="s">
        <v>61</v>
      </c>
      <c r="L501" s="2" t="s">
        <v>29</v>
      </c>
      <c r="M501" s="2" t="s">
        <v>439</v>
      </c>
      <c r="N501" s="2" t="s">
        <v>196</v>
      </c>
      <c r="O501" s="2" t="s">
        <v>2093</v>
      </c>
      <c r="P501" s="2" t="s">
        <v>3548</v>
      </c>
      <c r="Q501" s="2" t="s">
        <v>33</v>
      </c>
      <c r="R501" s="2" t="s">
        <v>3549</v>
      </c>
      <c r="S501" s="2" t="s">
        <v>3550</v>
      </c>
      <c r="T501" s="2" t="s">
        <v>3551</v>
      </c>
      <c r="U501" s="2" t="s">
        <v>3552</v>
      </c>
      <c r="V501" s="2" t="s">
        <v>141</v>
      </c>
    </row>
    <row r="502" spans="1:22">
      <c r="A502" s="2" t="s">
        <v>3553</v>
      </c>
      <c r="B502" s="2" t="s">
        <v>3546</v>
      </c>
      <c r="C502" s="2" t="s">
        <v>3547</v>
      </c>
      <c r="D502" s="2">
        <v>2025</v>
      </c>
      <c r="E502" s="3">
        <v>45870</v>
      </c>
      <c r="F502" s="2" t="s">
        <v>2091</v>
      </c>
      <c r="G502" s="2">
        <v>13</v>
      </c>
      <c r="H502" s="2">
        <v>8</v>
      </c>
      <c r="I502" s="2" t="s">
        <v>43</v>
      </c>
      <c r="J502" s="2" t="s">
        <v>2092</v>
      </c>
      <c r="K502" s="2" t="s">
        <v>61</v>
      </c>
      <c r="L502" s="2" t="s">
        <v>29</v>
      </c>
      <c r="M502" s="2" t="s">
        <v>439</v>
      </c>
      <c r="N502" s="2" t="s">
        <v>196</v>
      </c>
      <c r="O502" s="2" t="s">
        <v>2093</v>
      </c>
      <c r="P502" s="2" t="s">
        <v>3548</v>
      </c>
      <c r="Q502" s="2" t="s">
        <v>33</v>
      </c>
      <c r="R502" s="2" t="s">
        <v>3549</v>
      </c>
      <c r="S502" s="2" t="s">
        <v>3550</v>
      </c>
      <c r="T502" s="2" t="s">
        <v>3551</v>
      </c>
      <c r="U502" s="2" t="s">
        <v>3552</v>
      </c>
      <c r="V502" s="2" t="s">
        <v>141</v>
      </c>
    </row>
    <row r="503" spans="1:22">
      <c r="A503" s="2" t="s">
        <v>2100</v>
      </c>
      <c r="B503" s="2" t="s">
        <v>3546</v>
      </c>
      <c r="C503" s="2" t="s">
        <v>3547</v>
      </c>
      <c r="D503" s="2">
        <v>2025</v>
      </c>
      <c r="E503" s="3">
        <v>45870</v>
      </c>
      <c r="F503" s="2" t="s">
        <v>2091</v>
      </c>
      <c r="G503" s="2">
        <v>13</v>
      </c>
      <c r="H503" s="2">
        <v>8</v>
      </c>
      <c r="I503" s="2" t="s">
        <v>43</v>
      </c>
      <c r="J503" s="2" t="s">
        <v>2092</v>
      </c>
      <c r="K503" s="2" t="s">
        <v>61</v>
      </c>
      <c r="L503" s="2" t="s">
        <v>29</v>
      </c>
      <c r="M503" s="2" t="s">
        <v>439</v>
      </c>
      <c r="N503" s="2" t="s">
        <v>196</v>
      </c>
      <c r="O503" s="2" t="s">
        <v>2093</v>
      </c>
      <c r="P503" s="2" t="s">
        <v>3548</v>
      </c>
      <c r="Q503" s="2" t="s">
        <v>33</v>
      </c>
      <c r="R503" s="2" t="s">
        <v>3549</v>
      </c>
      <c r="S503" s="2" t="s">
        <v>3550</v>
      </c>
      <c r="T503" s="2" t="s">
        <v>3551</v>
      </c>
      <c r="U503" s="2" t="s">
        <v>3552</v>
      </c>
      <c r="V503" s="2" t="s">
        <v>141</v>
      </c>
    </row>
    <row r="504" spans="1:22">
      <c r="A504" s="2" t="s">
        <v>3554</v>
      </c>
      <c r="B504" s="2" t="s">
        <v>3555</v>
      </c>
      <c r="C504" s="2" t="s">
        <v>3556</v>
      </c>
      <c r="D504" s="2">
        <v>2024</v>
      </c>
      <c r="E504" s="3">
        <v>45323</v>
      </c>
      <c r="F504" s="2" t="s">
        <v>3096</v>
      </c>
      <c r="G504" s="2">
        <v>152</v>
      </c>
      <c r="H504" s="2">
        <v>2</v>
      </c>
      <c r="I504" s="2" t="s">
        <v>3557</v>
      </c>
      <c r="J504" s="2" t="s">
        <v>3098</v>
      </c>
      <c r="K504" s="2" t="s">
        <v>3099</v>
      </c>
      <c r="L504" s="2" t="s">
        <v>1867</v>
      </c>
      <c r="M504" s="2" t="s">
        <v>47</v>
      </c>
      <c r="N504" s="2" t="s">
        <v>2797</v>
      </c>
      <c r="O504" s="2" t="s">
        <v>3100</v>
      </c>
      <c r="P504" s="2" t="s">
        <v>3558</v>
      </c>
      <c r="Q504" s="2" t="s">
        <v>49</v>
      </c>
      <c r="R504" s="2" t="s">
        <v>3559</v>
      </c>
      <c r="S504" s="2" t="s">
        <v>844</v>
      </c>
      <c r="T504" s="2" t="s">
        <v>3560</v>
      </c>
      <c r="U504" s="2" t="s">
        <v>3561</v>
      </c>
      <c r="V504" s="2" t="s">
        <v>80</v>
      </c>
    </row>
    <row r="505" spans="1:22">
      <c r="A505" s="2" t="s">
        <v>3562</v>
      </c>
      <c r="B505" s="2" t="s">
        <v>3563</v>
      </c>
      <c r="C505" s="2" t="s">
        <v>3564</v>
      </c>
      <c r="D505" s="2">
        <v>2025</v>
      </c>
      <c r="E505" s="3">
        <v>45931</v>
      </c>
      <c r="F505" s="2" t="s">
        <v>3565</v>
      </c>
      <c r="G505" s="2">
        <v>12</v>
      </c>
      <c r="H505" s="2">
        <v>5</v>
      </c>
      <c r="I505" s="2" t="s">
        <v>43</v>
      </c>
      <c r="J505" s="2" t="s">
        <v>3566</v>
      </c>
      <c r="K505" s="2" t="s">
        <v>61</v>
      </c>
      <c r="L505" s="2" t="s">
        <v>29</v>
      </c>
      <c r="M505" s="2" t="s">
        <v>498</v>
      </c>
      <c r="N505" s="2" t="s">
        <v>121</v>
      </c>
      <c r="O505" s="2" t="s">
        <v>3567</v>
      </c>
      <c r="P505" s="2" t="s">
        <v>3568</v>
      </c>
      <c r="Q505" s="2" t="s">
        <v>49</v>
      </c>
      <c r="R505" s="2" t="s">
        <v>3569</v>
      </c>
      <c r="S505" s="2" t="s">
        <v>844</v>
      </c>
      <c r="T505" s="2" t="s">
        <v>3570</v>
      </c>
      <c r="U505" s="2" t="s">
        <v>3571</v>
      </c>
      <c r="V505" s="2" t="s">
        <v>80</v>
      </c>
    </row>
    <row r="506" spans="1:22" ht="43.2">
      <c r="A506" s="2" t="s">
        <v>1925</v>
      </c>
      <c r="B506" s="2" t="s">
        <v>3572</v>
      </c>
      <c r="C506" s="2" t="s">
        <v>3573</v>
      </c>
      <c r="D506" s="2">
        <v>2025</v>
      </c>
      <c r="E506" s="3">
        <v>45992</v>
      </c>
      <c r="F506" s="2" t="s">
        <v>3574</v>
      </c>
      <c r="G506" s="2">
        <v>83</v>
      </c>
      <c r="H506" s="2">
        <v>1</v>
      </c>
      <c r="I506" s="2" t="s">
        <v>43</v>
      </c>
      <c r="J506" s="2" t="s">
        <v>3575</v>
      </c>
      <c r="K506" s="2" t="s">
        <v>233</v>
      </c>
      <c r="L506" s="2" t="s">
        <v>29</v>
      </c>
      <c r="M506" s="2" t="s">
        <v>144</v>
      </c>
      <c r="N506" s="2" t="s">
        <v>331</v>
      </c>
      <c r="O506" s="4">
        <v>1022</v>
      </c>
      <c r="P506" s="2" t="s">
        <v>3576</v>
      </c>
      <c r="Q506" s="2" t="s">
        <v>33</v>
      </c>
      <c r="R506" s="2" t="s">
        <v>3577</v>
      </c>
      <c r="S506" s="2" t="s">
        <v>3578</v>
      </c>
      <c r="T506" s="2" t="s">
        <v>3579</v>
      </c>
      <c r="U506" s="2" t="s">
        <v>3580</v>
      </c>
      <c r="V506" s="2" t="s">
        <v>3581</v>
      </c>
    </row>
    <row r="507" spans="1:22">
      <c r="A507" s="2" t="s">
        <v>3582</v>
      </c>
      <c r="B507" s="2" t="s">
        <v>3583</v>
      </c>
      <c r="C507" s="2" t="s">
        <v>3584</v>
      </c>
      <c r="D507" s="2">
        <v>2024</v>
      </c>
      <c r="E507" s="3">
        <v>45292</v>
      </c>
      <c r="F507" s="2" t="s">
        <v>2392</v>
      </c>
      <c r="G507" s="2">
        <v>35</v>
      </c>
      <c r="H507" s="2">
        <v>1</v>
      </c>
      <c r="I507" s="2" t="s">
        <v>3585</v>
      </c>
      <c r="J507" s="2" t="s">
        <v>2394</v>
      </c>
      <c r="K507" s="2" t="s">
        <v>392</v>
      </c>
      <c r="L507" s="2" t="s">
        <v>773</v>
      </c>
      <c r="M507" s="2" t="s">
        <v>47</v>
      </c>
      <c r="N507" s="2" t="s">
        <v>2395</v>
      </c>
      <c r="O507" s="2" t="s">
        <v>2396</v>
      </c>
      <c r="P507" s="2" t="s">
        <v>3586</v>
      </c>
      <c r="Q507" s="2" t="s">
        <v>33</v>
      </c>
      <c r="R507" s="2" t="s">
        <v>3587</v>
      </c>
      <c r="S507" s="2" t="s">
        <v>1681</v>
      </c>
      <c r="T507" s="2" t="s">
        <v>2606</v>
      </c>
      <c r="U507" s="2" t="s">
        <v>1681</v>
      </c>
      <c r="V507" s="2" t="s">
        <v>80</v>
      </c>
    </row>
    <row r="508" spans="1:22">
      <c r="A508" s="2" t="s">
        <v>1916</v>
      </c>
      <c r="B508" s="2" t="s">
        <v>3583</v>
      </c>
      <c r="C508" s="2" t="s">
        <v>3584</v>
      </c>
      <c r="D508" s="2">
        <v>2024</v>
      </c>
      <c r="E508" s="3">
        <v>45292</v>
      </c>
      <c r="F508" s="2" t="s">
        <v>2392</v>
      </c>
      <c r="G508" s="2">
        <v>35</v>
      </c>
      <c r="H508" s="2">
        <v>1</v>
      </c>
      <c r="I508" s="2" t="s">
        <v>3585</v>
      </c>
      <c r="J508" s="2" t="s">
        <v>2394</v>
      </c>
      <c r="K508" s="2" t="s">
        <v>392</v>
      </c>
      <c r="L508" s="2" t="s">
        <v>773</v>
      </c>
      <c r="M508" s="2" t="s">
        <v>47</v>
      </c>
      <c r="N508" s="2" t="s">
        <v>2395</v>
      </c>
      <c r="O508" s="2" t="s">
        <v>2396</v>
      </c>
      <c r="P508" s="2" t="s">
        <v>3586</v>
      </c>
      <c r="Q508" s="2" t="s">
        <v>33</v>
      </c>
      <c r="R508" s="2" t="s">
        <v>3587</v>
      </c>
      <c r="S508" s="2" t="s">
        <v>1681</v>
      </c>
      <c r="T508" s="2" t="s">
        <v>2606</v>
      </c>
      <c r="U508" s="2" t="s">
        <v>1681</v>
      </c>
      <c r="V508" s="2" t="s">
        <v>80</v>
      </c>
    </row>
    <row r="509" spans="1:22">
      <c r="A509" s="2" t="s">
        <v>3588</v>
      </c>
      <c r="B509" s="2" t="s">
        <v>3583</v>
      </c>
      <c r="C509" s="2" t="s">
        <v>3584</v>
      </c>
      <c r="D509" s="2">
        <v>2024</v>
      </c>
      <c r="E509" s="3">
        <v>45292</v>
      </c>
      <c r="F509" s="2" t="s">
        <v>2392</v>
      </c>
      <c r="G509" s="2">
        <v>35</v>
      </c>
      <c r="H509" s="2">
        <v>1</v>
      </c>
      <c r="I509" s="2" t="s">
        <v>3585</v>
      </c>
      <c r="J509" s="2" t="s">
        <v>2394</v>
      </c>
      <c r="K509" s="2" t="s">
        <v>392</v>
      </c>
      <c r="L509" s="2" t="s">
        <v>773</v>
      </c>
      <c r="M509" s="2" t="s">
        <v>47</v>
      </c>
      <c r="N509" s="2" t="s">
        <v>2395</v>
      </c>
      <c r="O509" s="2" t="s">
        <v>2396</v>
      </c>
      <c r="P509" s="2" t="s">
        <v>3586</v>
      </c>
      <c r="Q509" s="2" t="s">
        <v>33</v>
      </c>
      <c r="R509" s="2" t="s">
        <v>3587</v>
      </c>
      <c r="S509" s="2" t="s">
        <v>1681</v>
      </c>
      <c r="T509" s="2" t="s">
        <v>2606</v>
      </c>
      <c r="U509" s="2" t="s">
        <v>1681</v>
      </c>
      <c r="V509" s="2" t="s">
        <v>80</v>
      </c>
    </row>
    <row r="510" spans="1:22">
      <c r="A510" s="2" t="s">
        <v>3589</v>
      </c>
      <c r="B510" s="2" t="s">
        <v>3583</v>
      </c>
      <c r="C510" s="2" t="s">
        <v>3584</v>
      </c>
      <c r="D510" s="2">
        <v>2024</v>
      </c>
      <c r="E510" s="3">
        <v>45292</v>
      </c>
      <c r="F510" s="2" t="s">
        <v>2392</v>
      </c>
      <c r="G510" s="2">
        <v>35</v>
      </c>
      <c r="H510" s="2">
        <v>1</v>
      </c>
      <c r="I510" s="2" t="s">
        <v>3585</v>
      </c>
      <c r="J510" s="2" t="s">
        <v>2394</v>
      </c>
      <c r="K510" s="2" t="s">
        <v>392</v>
      </c>
      <c r="L510" s="2" t="s">
        <v>773</v>
      </c>
      <c r="M510" s="2" t="s">
        <v>47</v>
      </c>
      <c r="N510" s="2" t="s">
        <v>2395</v>
      </c>
      <c r="O510" s="2" t="s">
        <v>2396</v>
      </c>
      <c r="P510" s="2" t="s">
        <v>3586</v>
      </c>
      <c r="Q510" s="2" t="s">
        <v>33</v>
      </c>
      <c r="R510" s="2" t="s">
        <v>3587</v>
      </c>
      <c r="S510" s="2" t="s">
        <v>1681</v>
      </c>
      <c r="T510" s="2" t="s">
        <v>2606</v>
      </c>
      <c r="U510" s="2" t="s">
        <v>1681</v>
      </c>
      <c r="V510" s="2" t="s">
        <v>80</v>
      </c>
    </row>
    <row r="511" spans="1:22">
      <c r="A511" s="2" t="s">
        <v>2608</v>
      </c>
      <c r="B511" s="2" t="s">
        <v>3583</v>
      </c>
      <c r="C511" s="2" t="s">
        <v>3584</v>
      </c>
      <c r="D511" s="2">
        <v>2024</v>
      </c>
      <c r="E511" s="3">
        <v>45292</v>
      </c>
      <c r="F511" s="2" t="s">
        <v>2392</v>
      </c>
      <c r="G511" s="2">
        <v>35</v>
      </c>
      <c r="H511" s="2">
        <v>1</v>
      </c>
      <c r="I511" s="2" t="s">
        <v>3585</v>
      </c>
      <c r="J511" s="2" t="s">
        <v>2394</v>
      </c>
      <c r="K511" s="2" t="s">
        <v>392</v>
      </c>
      <c r="L511" s="2" t="s">
        <v>773</v>
      </c>
      <c r="M511" s="2" t="s">
        <v>47</v>
      </c>
      <c r="N511" s="2" t="s">
        <v>2395</v>
      </c>
      <c r="O511" s="2" t="s">
        <v>2396</v>
      </c>
      <c r="P511" s="2" t="s">
        <v>3586</v>
      </c>
      <c r="Q511" s="2" t="s">
        <v>33</v>
      </c>
      <c r="R511" s="2" t="s">
        <v>3587</v>
      </c>
      <c r="S511" s="2" t="s">
        <v>1681</v>
      </c>
      <c r="T511" s="2" t="s">
        <v>2606</v>
      </c>
      <c r="U511" s="2" t="s">
        <v>1681</v>
      </c>
      <c r="V511" s="2" t="s">
        <v>80</v>
      </c>
    </row>
    <row r="512" spans="1:22">
      <c r="A512" s="2" t="s">
        <v>1344</v>
      </c>
      <c r="B512" s="2" t="s">
        <v>3583</v>
      </c>
      <c r="C512" s="2" t="s">
        <v>3584</v>
      </c>
      <c r="D512" s="2">
        <v>2024</v>
      </c>
      <c r="E512" s="3">
        <v>45292</v>
      </c>
      <c r="F512" s="2" t="s">
        <v>2392</v>
      </c>
      <c r="G512" s="2">
        <v>35</v>
      </c>
      <c r="H512" s="2">
        <v>1</v>
      </c>
      <c r="I512" s="2" t="s">
        <v>3585</v>
      </c>
      <c r="J512" s="2" t="s">
        <v>2394</v>
      </c>
      <c r="K512" s="2" t="s">
        <v>392</v>
      </c>
      <c r="L512" s="2" t="s">
        <v>773</v>
      </c>
      <c r="M512" s="2" t="s">
        <v>47</v>
      </c>
      <c r="N512" s="2" t="s">
        <v>2395</v>
      </c>
      <c r="O512" s="2" t="s">
        <v>2396</v>
      </c>
      <c r="P512" s="2" t="s">
        <v>3586</v>
      </c>
      <c r="Q512" s="2" t="s">
        <v>33</v>
      </c>
      <c r="R512" s="2" t="s">
        <v>3587</v>
      </c>
      <c r="S512" s="2" t="s">
        <v>1681</v>
      </c>
      <c r="T512" s="2" t="s">
        <v>2606</v>
      </c>
      <c r="U512" s="2" t="s">
        <v>1681</v>
      </c>
      <c r="V512" s="2" t="s">
        <v>80</v>
      </c>
    </row>
    <row r="513" spans="1:22">
      <c r="A513" s="2" t="s">
        <v>3590</v>
      </c>
      <c r="B513" s="2" t="s">
        <v>3591</v>
      </c>
      <c r="C513" s="2" t="s">
        <v>3592</v>
      </c>
      <c r="D513" s="2">
        <v>2025</v>
      </c>
      <c r="E513" s="3">
        <v>45839</v>
      </c>
      <c r="F513" s="2" t="s">
        <v>2392</v>
      </c>
      <c r="G513" s="2">
        <v>36</v>
      </c>
      <c r="H513" s="2">
        <v>4</v>
      </c>
      <c r="I513" s="2" t="s">
        <v>3593</v>
      </c>
      <c r="J513" s="2" t="s">
        <v>2394</v>
      </c>
      <c r="K513" s="2" t="s">
        <v>392</v>
      </c>
      <c r="L513" s="2" t="s">
        <v>773</v>
      </c>
      <c r="M513" s="2" t="s">
        <v>1948</v>
      </c>
      <c r="N513" s="2" t="s">
        <v>2156</v>
      </c>
      <c r="O513" s="2" t="s">
        <v>3438</v>
      </c>
      <c r="P513" s="2" t="s">
        <v>3594</v>
      </c>
      <c r="Q513" s="2" t="s">
        <v>33</v>
      </c>
      <c r="R513" s="2" t="s">
        <v>3595</v>
      </c>
      <c r="S513" s="2" t="s">
        <v>1681</v>
      </c>
      <c r="T513" s="2" t="s">
        <v>2561</v>
      </c>
      <c r="U513" s="2" t="s">
        <v>2562</v>
      </c>
      <c r="V513" s="2" t="s">
        <v>80</v>
      </c>
    </row>
    <row r="514" spans="1:22">
      <c r="A514" s="2" t="s">
        <v>2563</v>
      </c>
      <c r="B514" s="2" t="s">
        <v>3591</v>
      </c>
      <c r="C514" s="2" t="s">
        <v>3592</v>
      </c>
      <c r="D514" s="2">
        <v>2025</v>
      </c>
      <c r="E514" s="3">
        <v>45839</v>
      </c>
      <c r="F514" s="2" t="s">
        <v>2392</v>
      </c>
      <c r="G514" s="2">
        <v>36</v>
      </c>
      <c r="H514" s="2">
        <v>4</v>
      </c>
      <c r="I514" s="2" t="s">
        <v>3593</v>
      </c>
      <c r="J514" s="2" t="s">
        <v>2394</v>
      </c>
      <c r="K514" s="2" t="s">
        <v>392</v>
      </c>
      <c r="L514" s="2" t="s">
        <v>773</v>
      </c>
      <c r="M514" s="2" t="s">
        <v>1948</v>
      </c>
      <c r="N514" s="2" t="s">
        <v>2156</v>
      </c>
      <c r="O514" s="2" t="s">
        <v>3438</v>
      </c>
      <c r="P514" s="2" t="s">
        <v>3594</v>
      </c>
      <c r="Q514" s="2" t="s">
        <v>33</v>
      </c>
      <c r="R514" s="2" t="s">
        <v>3595</v>
      </c>
      <c r="S514" s="2" t="s">
        <v>1681</v>
      </c>
      <c r="T514" s="2" t="s">
        <v>2561</v>
      </c>
      <c r="U514" s="2" t="s">
        <v>2562</v>
      </c>
      <c r="V514" s="2" t="s">
        <v>80</v>
      </c>
    </row>
    <row r="515" spans="1:22">
      <c r="A515" s="2" t="s">
        <v>2100</v>
      </c>
      <c r="B515" s="2" t="s">
        <v>3596</v>
      </c>
      <c r="C515" s="2" t="s">
        <v>3597</v>
      </c>
      <c r="D515" s="2">
        <v>2025</v>
      </c>
      <c r="E515" s="3">
        <v>45839</v>
      </c>
      <c r="F515" s="2" t="s">
        <v>3598</v>
      </c>
      <c r="G515" s="2">
        <v>10</v>
      </c>
      <c r="H515" s="2">
        <v>7</v>
      </c>
      <c r="I515" s="2" t="s">
        <v>43</v>
      </c>
      <c r="J515" s="2" t="s">
        <v>3599</v>
      </c>
      <c r="K515" s="2" t="s">
        <v>61</v>
      </c>
      <c r="L515" s="2" t="s">
        <v>29</v>
      </c>
      <c r="M515" s="2" t="s">
        <v>2119</v>
      </c>
      <c r="N515" s="2" t="s">
        <v>134</v>
      </c>
      <c r="O515" s="2" t="s">
        <v>3600</v>
      </c>
      <c r="P515" s="2" t="s">
        <v>3601</v>
      </c>
      <c r="Q515" s="2" t="s">
        <v>33</v>
      </c>
      <c r="R515" s="2" t="s">
        <v>3602</v>
      </c>
      <c r="S515" s="2" t="s">
        <v>3603</v>
      </c>
      <c r="T515" s="2" t="s">
        <v>3604</v>
      </c>
      <c r="U515" s="2" t="s">
        <v>3605</v>
      </c>
      <c r="V515" s="2" t="s">
        <v>1078</v>
      </c>
    </row>
    <row r="516" spans="1:22" ht="28.8">
      <c r="A516" s="2" t="s">
        <v>3606</v>
      </c>
      <c r="B516" s="2" t="s">
        <v>3607</v>
      </c>
      <c r="C516" s="2" t="s">
        <v>3608</v>
      </c>
      <c r="D516" s="2">
        <v>2024</v>
      </c>
      <c r="E516" s="3">
        <v>45292</v>
      </c>
      <c r="F516" s="2" t="s">
        <v>3609</v>
      </c>
      <c r="G516" s="2">
        <v>34</v>
      </c>
      <c r="H516" s="2">
        <v>2</v>
      </c>
      <c r="I516" s="2" t="s">
        <v>3610</v>
      </c>
      <c r="J516" s="2" t="s">
        <v>3611</v>
      </c>
      <c r="K516" s="2" t="s">
        <v>3612</v>
      </c>
      <c r="L516" s="2" t="s">
        <v>29</v>
      </c>
      <c r="M516" s="2" t="s">
        <v>393</v>
      </c>
      <c r="N516" s="2" t="s">
        <v>1444</v>
      </c>
      <c r="O516" s="2" t="s">
        <v>3613</v>
      </c>
      <c r="P516" s="2" t="s">
        <v>3614</v>
      </c>
      <c r="Q516" s="2" t="s">
        <v>33</v>
      </c>
      <c r="R516" s="2" t="s">
        <v>3615</v>
      </c>
      <c r="S516" s="2" t="s">
        <v>3616</v>
      </c>
      <c r="T516" s="2" t="s">
        <v>3617</v>
      </c>
      <c r="U516" s="2" t="s">
        <v>3618</v>
      </c>
      <c r="V516" s="2" t="s">
        <v>1249</v>
      </c>
    </row>
    <row r="517" spans="1:22">
      <c r="A517" s="2" t="s">
        <v>22</v>
      </c>
      <c r="B517" s="2" t="s">
        <v>3619</v>
      </c>
      <c r="C517" s="2" t="s">
        <v>3620</v>
      </c>
      <c r="D517" s="2">
        <v>2025</v>
      </c>
      <c r="E517" s="3">
        <v>45717</v>
      </c>
      <c r="F517" s="2" t="s">
        <v>3332</v>
      </c>
      <c r="G517" s="2">
        <v>13</v>
      </c>
      <c r="H517" s="2">
        <v>3</v>
      </c>
      <c r="I517" s="2" t="s">
        <v>43</v>
      </c>
      <c r="J517" s="2" t="s">
        <v>3333</v>
      </c>
      <c r="K517" s="2" t="s">
        <v>61</v>
      </c>
      <c r="L517" s="2" t="s">
        <v>29</v>
      </c>
      <c r="M517" s="2" t="s">
        <v>1326</v>
      </c>
      <c r="N517" s="2" t="s">
        <v>134</v>
      </c>
      <c r="O517" s="2" t="s">
        <v>2851</v>
      </c>
      <c r="P517" s="2" t="s">
        <v>3621</v>
      </c>
      <c r="Q517" s="2" t="s">
        <v>33</v>
      </c>
      <c r="R517" s="2" t="s">
        <v>3622</v>
      </c>
      <c r="S517" s="2" t="s">
        <v>3623</v>
      </c>
      <c r="T517" s="2" t="s">
        <v>3624</v>
      </c>
      <c r="U517" s="2" t="s">
        <v>3625</v>
      </c>
      <c r="V517" s="2" t="s">
        <v>3626</v>
      </c>
    </row>
    <row r="518" spans="1:22">
      <c r="A518" s="2" t="s">
        <v>97</v>
      </c>
      <c r="B518" s="2" t="s">
        <v>3627</v>
      </c>
      <c r="C518" s="2" t="s">
        <v>3628</v>
      </c>
      <c r="D518" s="2">
        <v>2024</v>
      </c>
      <c r="E518" s="3">
        <v>45459</v>
      </c>
      <c r="F518" s="2" t="s">
        <v>3629</v>
      </c>
      <c r="G518" s="2">
        <v>845</v>
      </c>
      <c r="H518" s="2" t="s">
        <v>43</v>
      </c>
      <c r="I518" s="2" t="s">
        <v>43</v>
      </c>
      <c r="J518" s="2" t="s">
        <v>3630</v>
      </c>
      <c r="K518" s="2" t="s">
        <v>103</v>
      </c>
      <c r="L518" s="2" t="s">
        <v>29</v>
      </c>
      <c r="M518" s="2" t="s">
        <v>1472</v>
      </c>
      <c r="N518" s="2" t="s">
        <v>1544</v>
      </c>
      <c r="O518" s="2" t="s">
        <v>3631</v>
      </c>
      <c r="P518" s="2" t="s">
        <v>3632</v>
      </c>
      <c r="Q518" s="2" t="s">
        <v>33</v>
      </c>
      <c r="R518" s="2" t="s">
        <v>3633</v>
      </c>
      <c r="S518" s="2" t="s">
        <v>3634</v>
      </c>
      <c r="T518" s="2" t="s">
        <v>3635</v>
      </c>
      <c r="U518" s="2" t="s">
        <v>3636</v>
      </c>
      <c r="V518" s="2" t="s">
        <v>80</v>
      </c>
    </row>
    <row r="519" spans="1:22">
      <c r="A519" s="2" t="s">
        <v>3637</v>
      </c>
      <c r="B519" s="2" t="s">
        <v>3638</v>
      </c>
      <c r="C519" s="2" t="s">
        <v>3639</v>
      </c>
      <c r="D519" s="2">
        <v>2024</v>
      </c>
      <c r="E519" s="3">
        <v>45292</v>
      </c>
      <c r="F519" s="2" t="s">
        <v>3640</v>
      </c>
      <c r="G519" s="2">
        <v>12</v>
      </c>
      <c r="H519" s="2">
        <v>1</v>
      </c>
      <c r="I519" s="7">
        <v>47119</v>
      </c>
      <c r="J519" s="2" t="s">
        <v>3641</v>
      </c>
      <c r="K519" s="2" t="s">
        <v>3642</v>
      </c>
      <c r="L519" s="2" t="s">
        <v>29</v>
      </c>
      <c r="M519" s="2" t="s">
        <v>3357</v>
      </c>
      <c r="N519" s="2" t="s">
        <v>3643</v>
      </c>
      <c r="O519" s="2" t="s">
        <v>3644</v>
      </c>
      <c r="P519" s="2" t="s">
        <v>3645</v>
      </c>
      <c r="Q519" s="2" t="s">
        <v>33</v>
      </c>
      <c r="R519" s="2" t="s">
        <v>3646</v>
      </c>
      <c r="S519" s="2" t="s">
        <v>511</v>
      </c>
      <c r="T519" s="2" t="s">
        <v>885</v>
      </c>
      <c r="U519" s="2" t="s">
        <v>886</v>
      </c>
      <c r="V519" s="2" t="s">
        <v>80</v>
      </c>
    </row>
    <row r="520" spans="1:22">
      <c r="A520" s="2" t="s">
        <v>3647</v>
      </c>
      <c r="B520" s="2" t="s">
        <v>3648</v>
      </c>
      <c r="C520" s="2" t="s">
        <v>3649</v>
      </c>
      <c r="D520" s="2">
        <v>2025</v>
      </c>
      <c r="E520" s="3">
        <v>46007</v>
      </c>
      <c r="F520" s="2" t="s">
        <v>731</v>
      </c>
      <c r="G520" s="2">
        <v>241</v>
      </c>
      <c r="H520" s="2" t="s">
        <v>43</v>
      </c>
      <c r="I520" s="2" t="s">
        <v>3650</v>
      </c>
      <c r="J520" s="2" t="s">
        <v>733</v>
      </c>
      <c r="K520" s="2" t="s">
        <v>734</v>
      </c>
      <c r="L520" s="2" t="s">
        <v>29</v>
      </c>
      <c r="M520" s="2" t="s">
        <v>1017</v>
      </c>
      <c r="N520" s="2" t="s">
        <v>247</v>
      </c>
      <c r="O520" s="4">
        <v>2105</v>
      </c>
      <c r="P520" s="2" t="s">
        <v>3651</v>
      </c>
      <c r="Q520" s="2" t="s">
        <v>49</v>
      </c>
      <c r="R520" s="2" t="s">
        <v>3652</v>
      </c>
      <c r="S520" s="2" t="s">
        <v>3653</v>
      </c>
      <c r="T520" s="2" t="s">
        <v>3654</v>
      </c>
      <c r="U520" s="2" t="s">
        <v>3655</v>
      </c>
      <c r="V520" s="2" t="s">
        <v>693</v>
      </c>
    </row>
    <row r="521" spans="1:22">
      <c r="A521" s="2" t="s">
        <v>1751</v>
      </c>
      <c r="B521" s="2" t="s">
        <v>3648</v>
      </c>
      <c r="C521" s="2" t="s">
        <v>3649</v>
      </c>
      <c r="D521" s="2">
        <v>2025</v>
      </c>
      <c r="E521" s="3">
        <v>46007</v>
      </c>
      <c r="F521" s="2" t="s">
        <v>731</v>
      </c>
      <c r="G521" s="2">
        <v>241</v>
      </c>
      <c r="H521" s="2" t="s">
        <v>43</v>
      </c>
      <c r="I521" s="2" t="s">
        <v>3650</v>
      </c>
      <c r="J521" s="2" t="s">
        <v>733</v>
      </c>
      <c r="K521" s="2" t="s">
        <v>734</v>
      </c>
      <c r="L521" s="2" t="s">
        <v>29</v>
      </c>
      <c r="M521" s="2" t="s">
        <v>1017</v>
      </c>
      <c r="N521" s="2" t="s">
        <v>247</v>
      </c>
      <c r="O521" s="4">
        <v>2105</v>
      </c>
      <c r="P521" s="2" t="s">
        <v>3651</v>
      </c>
      <c r="Q521" s="2" t="s">
        <v>49</v>
      </c>
      <c r="R521" s="2" t="s">
        <v>3652</v>
      </c>
      <c r="S521" s="2" t="s">
        <v>3653</v>
      </c>
      <c r="T521" s="2" t="s">
        <v>3654</v>
      </c>
      <c r="U521" s="2" t="s">
        <v>3655</v>
      </c>
      <c r="V521" s="2" t="s">
        <v>693</v>
      </c>
    </row>
    <row r="522" spans="1:22">
      <c r="A522" s="2" t="s">
        <v>2763</v>
      </c>
      <c r="B522" s="2" t="s">
        <v>3656</v>
      </c>
      <c r="C522" s="2" t="s">
        <v>3657</v>
      </c>
      <c r="D522" s="2">
        <v>2025</v>
      </c>
      <c r="E522" s="3">
        <v>45658</v>
      </c>
      <c r="F522" s="2" t="s">
        <v>3658</v>
      </c>
      <c r="G522" s="2">
        <v>50</v>
      </c>
      <c r="H522" s="2">
        <v>2</v>
      </c>
      <c r="I522" s="2" t="s">
        <v>3659</v>
      </c>
      <c r="J522" s="2" t="s">
        <v>3660</v>
      </c>
      <c r="K522" s="2" t="s">
        <v>3661</v>
      </c>
      <c r="L522" s="2" t="s">
        <v>29</v>
      </c>
      <c r="M522" s="2" t="s">
        <v>1691</v>
      </c>
      <c r="N522" s="2" t="s">
        <v>2797</v>
      </c>
      <c r="O522" s="2" t="s">
        <v>3662</v>
      </c>
      <c r="P522" s="2" t="s">
        <v>3663</v>
      </c>
      <c r="Q522" s="2" t="s">
        <v>33</v>
      </c>
      <c r="R522" s="2" t="s">
        <v>3664</v>
      </c>
      <c r="S522" s="2" t="s">
        <v>3665</v>
      </c>
      <c r="T522" s="2" t="s">
        <v>3666</v>
      </c>
      <c r="U522" s="2" t="s">
        <v>3667</v>
      </c>
      <c r="V522" s="2" t="s">
        <v>80</v>
      </c>
    </row>
    <row r="523" spans="1:22">
      <c r="A523" s="2" t="s">
        <v>3668</v>
      </c>
      <c r="B523" s="2" t="s">
        <v>3669</v>
      </c>
      <c r="C523" s="2" t="s">
        <v>3670</v>
      </c>
      <c r="D523" s="2">
        <v>2024</v>
      </c>
      <c r="E523" s="3">
        <v>45408</v>
      </c>
      <c r="F523" s="2" t="s">
        <v>3671</v>
      </c>
      <c r="G523" s="2">
        <v>24</v>
      </c>
      <c r="H523" s="2">
        <v>2</v>
      </c>
      <c r="I523" s="2" t="s">
        <v>43</v>
      </c>
      <c r="J523" s="2" t="s">
        <v>3672</v>
      </c>
      <c r="K523" s="2" t="s">
        <v>3673</v>
      </c>
      <c r="L523" s="2" t="s">
        <v>1867</v>
      </c>
      <c r="M523" s="2" t="s">
        <v>47</v>
      </c>
      <c r="N523" s="2" t="s">
        <v>3674</v>
      </c>
      <c r="O523" s="2" t="s">
        <v>2423</v>
      </c>
      <c r="P523" s="2" t="s">
        <v>3675</v>
      </c>
      <c r="Q523" s="2" t="s">
        <v>3676</v>
      </c>
      <c r="R523" s="2" t="s">
        <v>3677</v>
      </c>
      <c r="S523" s="2" t="s">
        <v>3678</v>
      </c>
      <c r="T523" s="2" t="s">
        <v>3679</v>
      </c>
      <c r="U523" s="2" t="s">
        <v>3680</v>
      </c>
      <c r="V523" s="2" t="s">
        <v>1380</v>
      </c>
    </row>
    <row r="524" spans="1:22">
      <c r="A524" s="2" t="s">
        <v>3141</v>
      </c>
      <c r="B524" s="2" t="s">
        <v>3681</v>
      </c>
      <c r="C524" s="2" t="s">
        <v>3682</v>
      </c>
      <c r="D524" s="2">
        <v>2024</v>
      </c>
      <c r="E524" s="3">
        <v>45627</v>
      </c>
      <c r="F524" s="2" t="s">
        <v>2912</v>
      </c>
      <c r="G524" s="2">
        <v>51</v>
      </c>
      <c r="H524" s="2">
        <v>6</v>
      </c>
      <c r="I524" s="2" t="s">
        <v>3683</v>
      </c>
      <c r="J524" s="2" t="s">
        <v>2914</v>
      </c>
      <c r="K524" s="2" t="s">
        <v>2915</v>
      </c>
      <c r="L524" s="2" t="s">
        <v>1867</v>
      </c>
      <c r="M524" s="2" t="s">
        <v>2155</v>
      </c>
      <c r="N524" s="2" t="s">
        <v>3684</v>
      </c>
      <c r="O524" s="2" t="s">
        <v>3685</v>
      </c>
      <c r="P524" s="2" t="s">
        <v>3686</v>
      </c>
      <c r="Q524" s="2" t="s">
        <v>644</v>
      </c>
      <c r="R524" s="2" t="s">
        <v>3687</v>
      </c>
      <c r="S524" s="2" t="s">
        <v>79</v>
      </c>
      <c r="T524" s="5">
        <v>601053680000000</v>
      </c>
      <c r="U524" s="2" t="s">
        <v>79</v>
      </c>
      <c r="V524" s="2" t="s">
        <v>80</v>
      </c>
    </row>
    <row r="525" spans="1:22">
      <c r="A525" s="2" t="s">
        <v>1024</v>
      </c>
      <c r="B525" s="2" t="s">
        <v>3681</v>
      </c>
      <c r="C525" s="2" t="s">
        <v>3682</v>
      </c>
      <c r="D525" s="2">
        <v>2024</v>
      </c>
      <c r="E525" s="3">
        <v>45627</v>
      </c>
      <c r="F525" s="2" t="s">
        <v>2912</v>
      </c>
      <c r="G525" s="2">
        <v>51</v>
      </c>
      <c r="H525" s="2">
        <v>6</v>
      </c>
      <c r="I525" s="2" t="s">
        <v>3683</v>
      </c>
      <c r="J525" s="2" t="s">
        <v>2914</v>
      </c>
      <c r="K525" s="2" t="s">
        <v>2915</v>
      </c>
      <c r="L525" s="2" t="s">
        <v>1867</v>
      </c>
      <c r="M525" s="2" t="s">
        <v>2155</v>
      </c>
      <c r="N525" s="2" t="s">
        <v>3684</v>
      </c>
      <c r="O525" s="2" t="s">
        <v>3685</v>
      </c>
      <c r="P525" s="2" t="s">
        <v>3686</v>
      </c>
      <c r="Q525" s="2" t="s">
        <v>644</v>
      </c>
      <c r="R525" s="2" t="s">
        <v>3687</v>
      </c>
      <c r="S525" s="2" t="s">
        <v>79</v>
      </c>
      <c r="T525" s="5">
        <v>601053680000000</v>
      </c>
      <c r="U525" s="2" t="s">
        <v>79</v>
      </c>
      <c r="V525" s="2" t="s">
        <v>80</v>
      </c>
    </row>
    <row r="526" spans="1:22">
      <c r="A526" s="2" t="s">
        <v>3688</v>
      </c>
      <c r="B526" s="2" t="s">
        <v>3681</v>
      </c>
      <c r="C526" s="2" t="s">
        <v>3682</v>
      </c>
      <c r="D526" s="2">
        <v>2024</v>
      </c>
      <c r="E526" s="3">
        <v>45627</v>
      </c>
      <c r="F526" s="2" t="s">
        <v>2912</v>
      </c>
      <c r="G526" s="2">
        <v>51</v>
      </c>
      <c r="H526" s="2">
        <v>6</v>
      </c>
      <c r="I526" s="2" t="s">
        <v>3683</v>
      </c>
      <c r="J526" s="2" t="s">
        <v>2914</v>
      </c>
      <c r="K526" s="2" t="s">
        <v>2915</v>
      </c>
      <c r="L526" s="2" t="s">
        <v>1867</v>
      </c>
      <c r="M526" s="2" t="s">
        <v>2155</v>
      </c>
      <c r="N526" s="2" t="s">
        <v>3684</v>
      </c>
      <c r="O526" s="2" t="s">
        <v>3685</v>
      </c>
      <c r="P526" s="2" t="s">
        <v>3686</v>
      </c>
      <c r="Q526" s="2" t="s">
        <v>644</v>
      </c>
      <c r="R526" s="2" t="s">
        <v>3687</v>
      </c>
      <c r="S526" s="2" t="s">
        <v>79</v>
      </c>
      <c r="T526" s="5">
        <v>601053680000000</v>
      </c>
      <c r="U526" s="2" t="s">
        <v>79</v>
      </c>
      <c r="V526" s="2" t="s">
        <v>80</v>
      </c>
    </row>
    <row r="527" spans="1:22">
      <c r="A527" s="2" t="s">
        <v>3689</v>
      </c>
      <c r="B527" s="2" t="s">
        <v>3690</v>
      </c>
      <c r="C527" s="2" t="s">
        <v>3691</v>
      </c>
      <c r="D527" s="2">
        <v>2025</v>
      </c>
      <c r="E527" s="3">
        <v>45931</v>
      </c>
      <c r="F527" s="2" t="s">
        <v>3692</v>
      </c>
      <c r="G527" s="2">
        <v>31</v>
      </c>
      <c r="H527" s="2">
        <v>7</v>
      </c>
      <c r="I527" s="2" t="s">
        <v>3693</v>
      </c>
      <c r="J527" s="2" t="s">
        <v>3694</v>
      </c>
      <c r="K527" s="2" t="s">
        <v>45</v>
      </c>
      <c r="L527" s="2" t="s">
        <v>29</v>
      </c>
      <c r="M527" s="2" t="s">
        <v>2785</v>
      </c>
      <c r="N527" s="2" t="s">
        <v>807</v>
      </c>
      <c r="O527" s="2" t="s">
        <v>654</v>
      </c>
      <c r="P527" s="2" t="s">
        <v>3695</v>
      </c>
      <c r="Q527" s="2" t="s">
        <v>33</v>
      </c>
      <c r="R527" s="2" t="s">
        <v>3696</v>
      </c>
      <c r="S527" s="2" t="s">
        <v>3697</v>
      </c>
      <c r="T527" s="2" t="s">
        <v>3698</v>
      </c>
      <c r="U527" s="2" t="s">
        <v>3699</v>
      </c>
      <c r="V527" s="2" t="s">
        <v>594</v>
      </c>
    </row>
    <row r="528" spans="1:22">
      <c r="A528" s="2" t="s">
        <v>3700</v>
      </c>
      <c r="B528" s="2" t="s">
        <v>3701</v>
      </c>
      <c r="C528" s="2" t="s">
        <v>3702</v>
      </c>
      <c r="D528" s="2">
        <v>2024</v>
      </c>
      <c r="E528" s="3">
        <v>45292</v>
      </c>
      <c r="F528" s="2" t="s">
        <v>3703</v>
      </c>
      <c r="G528" s="2" t="s">
        <v>43</v>
      </c>
      <c r="H528" s="2" t="s">
        <v>43</v>
      </c>
      <c r="I528" s="2" t="s">
        <v>43</v>
      </c>
      <c r="J528" s="2" t="s">
        <v>3704</v>
      </c>
      <c r="K528" s="2" t="s">
        <v>3705</v>
      </c>
      <c r="L528" s="2" t="s">
        <v>29</v>
      </c>
      <c r="M528" s="2" t="s">
        <v>2203</v>
      </c>
      <c r="N528" s="2" t="s">
        <v>3706</v>
      </c>
      <c r="O528" s="2" t="s">
        <v>43</v>
      </c>
      <c r="P528" s="2" t="s">
        <v>3707</v>
      </c>
      <c r="Q528" s="2" t="s">
        <v>2112</v>
      </c>
      <c r="R528" s="2" t="s">
        <v>3708</v>
      </c>
      <c r="S528" s="2" t="s">
        <v>3709</v>
      </c>
      <c r="T528" s="2" t="s">
        <v>3710</v>
      </c>
      <c r="U528" s="2" t="s">
        <v>3709</v>
      </c>
      <c r="V528" s="2" t="s">
        <v>80</v>
      </c>
    </row>
    <row r="529" spans="1:22">
      <c r="A529" s="2" t="s">
        <v>1983</v>
      </c>
      <c r="B529" s="2" t="s">
        <v>3711</v>
      </c>
      <c r="C529" s="2" t="s">
        <v>3712</v>
      </c>
      <c r="D529" s="2">
        <v>2025</v>
      </c>
      <c r="E529" s="3">
        <v>45992</v>
      </c>
      <c r="F529" s="2" t="s">
        <v>3713</v>
      </c>
      <c r="G529" s="2">
        <v>5</v>
      </c>
      <c r="H529" s="2">
        <v>12</v>
      </c>
      <c r="I529" s="2" t="s">
        <v>43</v>
      </c>
      <c r="J529" s="2" t="s">
        <v>3714</v>
      </c>
      <c r="K529" s="2" t="s">
        <v>61</v>
      </c>
      <c r="L529" s="2" t="s">
        <v>29</v>
      </c>
      <c r="M529" s="2" t="s">
        <v>105</v>
      </c>
      <c r="N529" s="2" t="s">
        <v>3715</v>
      </c>
      <c r="O529" s="2" t="s">
        <v>3716</v>
      </c>
      <c r="P529" s="2" t="s">
        <v>3717</v>
      </c>
      <c r="Q529" s="2" t="s">
        <v>33</v>
      </c>
      <c r="R529" s="2" t="s">
        <v>3718</v>
      </c>
      <c r="S529" s="2" t="s">
        <v>3719</v>
      </c>
      <c r="T529" s="2" t="s">
        <v>3720</v>
      </c>
      <c r="U529" s="2" t="s">
        <v>3721</v>
      </c>
      <c r="V529" s="2" t="s">
        <v>594</v>
      </c>
    </row>
    <row r="530" spans="1:22">
      <c r="A530" s="2" t="s">
        <v>2672</v>
      </c>
      <c r="B530" s="2" t="s">
        <v>3722</v>
      </c>
      <c r="C530" s="2" t="s">
        <v>3723</v>
      </c>
      <c r="D530" s="2">
        <v>2025</v>
      </c>
      <c r="E530" s="3">
        <v>45976</v>
      </c>
      <c r="F530" s="2" t="s">
        <v>3724</v>
      </c>
      <c r="G530" s="2">
        <v>709</v>
      </c>
      <c r="H530" s="2" t="s">
        <v>43</v>
      </c>
      <c r="I530" s="2" t="s">
        <v>43</v>
      </c>
      <c r="J530" s="2" t="s">
        <v>3725</v>
      </c>
      <c r="K530" s="2" t="s">
        <v>103</v>
      </c>
      <c r="L530" s="2" t="s">
        <v>29</v>
      </c>
      <c r="M530" s="2" t="s">
        <v>1072</v>
      </c>
      <c r="N530" s="2" t="s">
        <v>498</v>
      </c>
      <c r="O530" s="4">
        <v>1117</v>
      </c>
      <c r="P530" s="2" t="s">
        <v>3726</v>
      </c>
      <c r="Q530" s="2" t="s">
        <v>33</v>
      </c>
      <c r="R530" s="2" t="s">
        <v>3727</v>
      </c>
      <c r="S530" s="2" t="s">
        <v>3728</v>
      </c>
      <c r="T530" s="2" t="s">
        <v>3729</v>
      </c>
      <c r="U530" s="2" t="s">
        <v>3730</v>
      </c>
      <c r="V530" s="2" t="s">
        <v>621</v>
      </c>
    </row>
    <row r="531" spans="1:22">
      <c r="A531" s="2" t="s">
        <v>200</v>
      </c>
      <c r="B531" s="2" t="s">
        <v>3731</v>
      </c>
      <c r="C531" s="2" t="s">
        <v>3732</v>
      </c>
      <c r="D531" s="2">
        <v>2024</v>
      </c>
      <c r="E531" s="3">
        <v>45292</v>
      </c>
      <c r="F531" s="2" t="s">
        <v>3733</v>
      </c>
      <c r="G531" s="2">
        <v>9</v>
      </c>
      <c r="H531" s="2" t="s">
        <v>43</v>
      </c>
      <c r="I531" s="2" t="s">
        <v>43</v>
      </c>
      <c r="J531" s="2" t="s">
        <v>3734</v>
      </c>
      <c r="K531" s="2" t="s">
        <v>45</v>
      </c>
      <c r="L531" s="2" t="s">
        <v>29</v>
      </c>
      <c r="M531" s="2" t="s">
        <v>1326</v>
      </c>
      <c r="N531" s="2" t="s">
        <v>234</v>
      </c>
      <c r="O531" s="2" t="s">
        <v>3735</v>
      </c>
      <c r="P531" s="2" t="s">
        <v>3736</v>
      </c>
      <c r="Q531" s="2" t="s">
        <v>33</v>
      </c>
      <c r="R531" s="2" t="s">
        <v>3737</v>
      </c>
      <c r="S531" s="2" t="s">
        <v>3738</v>
      </c>
      <c r="T531" s="2" t="s">
        <v>3739</v>
      </c>
      <c r="U531" s="2" t="s">
        <v>3740</v>
      </c>
      <c r="V531" s="2" t="s">
        <v>3741</v>
      </c>
    </row>
    <row r="532" spans="1:22">
      <c r="A532" s="2" t="s">
        <v>1109</v>
      </c>
      <c r="B532" s="2" t="s">
        <v>3742</v>
      </c>
      <c r="C532" s="2" t="s">
        <v>3743</v>
      </c>
      <c r="D532" s="2">
        <v>2025</v>
      </c>
      <c r="E532" s="3">
        <v>45658</v>
      </c>
      <c r="F532" s="2" t="s">
        <v>1112</v>
      </c>
      <c r="G532" s="2">
        <v>71</v>
      </c>
      <c r="H532" s="2" t="s">
        <v>43</v>
      </c>
      <c r="I532" s="2" t="s">
        <v>43</v>
      </c>
      <c r="J532" s="2" t="s">
        <v>1113</v>
      </c>
      <c r="K532" s="2" t="s">
        <v>45</v>
      </c>
      <c r="L532" s="2" t="s">
        <v>29</v>
      </c>
      <c r="M532" s="2" t="s">
        <v>1114</v>
      </c>
      <c r="N532" s="2" t="s">
        <v>75</v>
      </c>
      <c r="O532" s="4">
        <v>1672</v>
      </c>
      <c r="P532" s="2" t="s">
        <v>3744</v>
      </c>
      <c r="Q532" s="2" t="s">
        <v>33</v>
      </c>
      <c r="R532" s="2" t="s">
        <v>3745</v>
      </c>
      <c r="S532" s="2" t="s">
        <v>1117</v>
      </c>
      <c r="T532" s="2" t="s">
        <v>2961</v>
      </c>
      <c r="U532" s="2" t="s">
        <v>2962</v>
      </c>
      <c r="V532" s="2" t="s">
        <v>80</v>
      </c>
    </row>
    <row r="533" spans="1:22">
      <c r="A533" s="2" t="s">
        <v>967</v>
      </c>
      <c r="B533" s="2" t="s">
        <v>3746</v>
      </c>
      <c r="C533" s="2" t="s">
        <v>3747</v>
      </c>
      <c r="D533" s="2">
        <v>2025</v>
      </c>
      <c r="E533" s="3">
        <v>45717</v>
      </c>
      <c r="F533" s="2" t="s">
        <v>3748</v>
      </c>
      <c r="G533" s="2">
        <v>10</v>
      </c>
      <c r="H533" s="2">
        <v>1</v>
      </c>
      <c r="I533" s="2" t="s">
        <v>43</v>
      </c>
      <c r="J533" s="2" t="s">
        <v>3749</v>
      </c>
      <c r="K533" s="2" t="s">
        <v>61</v>
      </c>
      <c r="L533" s="2" t="s">
        <v>29</v>
      </c>
      <c r="M533" s="2" t="s">
        <v>3750</v>
      </c>
      <c r="N533" s="2" t="s">
        <v>1327</v>
      </c>
      <c r="O533" s="2" t="s">
        <v>3751</v>
      </c>
      <c r="P533" s="2" t="s">
        <v>3752</v>
      </c>
      <c r="Q533" s="2" t="s">
        <v>33</v>
      </c>
      <c r="R533" s="2" t="s">
        <v>3753</v>
      </c>
      <c r="S533" s="2" t="s">
        <v>398</v>
      </c>
      <c r="T533" s="2" t="s">
        <v>3754</v>
      </c>
      <c r="U533" s="2" t="s">
        <v>3755</v>
      </c>
      <c r="V533" s="2" t="s">
        <v>80</v>
      </c>
    </row>
    <row r="534" spans="1:22">
      <c r="A534" s="2" t="s">
        <v>22</v>
      </c>
      <c r="B534" s="2" t="s">
        <v>3756</v>
      </c>
      <c r="C534" s="2" t="s">
        <v>3757</v>
      </c>
      <c r="D534" s="2">
        <v>2025</v>
      </c>
      <c r="E534" s="3">
        <v>45658</v>
      </c>
      <c r="F534" s="2" t="s">
        <v>3758</v>
      </c>
      <c r="G534" s="2">
        <v>7</v>
      </c>
      <c r="H534" s="2" t="s">
        <v>43</v>
      </c>
      <c r="I534" s="2" t="s">
        <v>43</v>
      </c>
      <c r="J534" s="2" t="s">
        <v>3759</v>
      </c>
      <c r="K534" s="2" t="s">
        <v>183</v>
      </c>
      <c r="L534" s="2" t="s">
        <v>29</v>
      </c>
      <c r="M534" s="2" t="s">
        <v>2052</v>
      </c>
      <c r="N534" s="2" t="s">
        <v>247</v>
      </c>
      <c r="O534" s="2" t="s">
        <v>3760</v>
      </c>
      <c r="P534" s="2" t="s">
        <v>3761</v>
      </c>
      <c r="Q534" s="2" t="s">
        <v>33</v>
      </c>
      <c r="R534" s="2" t="s">
        <v>3762</v>
      </c>
      <c r="S534" s="2" t="s">
        <v>3763</v>
      </c>
      <c r="T534" s="2" t="s">
        <v>3764</v>
      </c>
      <c r="U534" s="2" t="s">
        <v>3765</v>
      </c>
      <c r="V534" s="2" t="s">
        <v>1408</v>
      </c>
    </row>
    <row r="535" spans="1:22">
      <c r="A535" s="2" t="s">
        <v>1916</v>
      </c>
      <c r="B535" s="2" t="s">
        <v>3766</v>
      </c>
      <c r="C535" s="2" t="s">
        <v>3767</v>
      </c>
      <c r="D535" s="2">
        <v>2024</v>
      </c>
      <c r="E535" s="3">
        <v>45444</v>
      </c>
      <c r="F535" s="2" t="s">
        <v>3077</v>
      </c>
      <c r="G535" s="2">
        <v>33</v>
      </c>
      <c r="H535" s="2">
        <v>7</v>
      </c>
      <c r="I535" s="2" t="s">
        <v>3768</v>
      </c>
      <c r="J535" s="2" t="s">
        <v>3078</v>
      </c>
      <c r="K535" s="2" t="s">
        <v>302</v>
      </c>
      <c r="L535" s="2" t="s">
        <v>29</v>
      </c>
      <c r="M535" s="2" t="s">
        <v>2110</v>
      </c>
      <c r="N535" s="2" t="s">
        <v>775</v>
      </c>
      <c r="O535" s="2" t="s">
        <v>3769</v>
      </c>
      <c r="P535" s="2" t="s">
        <v>3770</v>
      </c>
      <c r="Q535" s="2" t="s">
        <v>33</v>
      </c>
      <c r="R535" s="2" t="s">
        <v>3771</v>
      </c>
      <c r="S535" s="2" t="s">
        <v>1681</v>
      </c>
      <c r="T535" s="2" t="s">
        <v>3772</v>
      </c>
      <c r="U535" s="2" t="s">
        <v>3773</v>
      </c>
      <c r="V535" s="2" t="s">
        <v>80</v>
      </c>
    </row>
    <row r="536" spans="1:22">
      <c r="A536" s="2" t="s">
        <v>1012</v>
      </c>
      <c r="B536" s="2" t="s">
        <v>3774</v>
      </c>
      <c r="C536" s="2" t="s">
        <v>3775</v>
      </c>
      <c r="D536" s="2">
        <v>2025</v>
      </c>
      <c r="E536" s="3">
        <v>45658</v>
      </c>
      <c r="F536" s="2" t="s">
        <v>743</v>
      </c>
      <c r="G536" s="2">
        <v>16</v>
      </c>
      <c r="H536" s="2" t="s">
        <v>43</v>
      </c>
      <c r="I536" s="2" t="s">
        <v>43</v>
      </c>
      <c r="J536" s="2" t="s">
        <v>744</v>
      </c>
      <c r="K536" s="2" t="s">
        <v>183</v>
      </c>
      <c r="L536" s="2" t="s">
        <v>29</v>
      </c>
      <c r="M536" s="2" t="s">
        <v>247</v>
      </c>
      <c r="N536" s="2" t="s">
        <v>63</v>
      </c>
      <c r="O536" s="4">
        <v>1065</v>
      </c>
      <c r="P536" s="2" t="s">
        <v>3776</v>
      </c>
      <c r="Q536" s="2" t="s">
        <v>33</v>
      </c>
      <c r="R536" s="2" t="s">
        <v>3777</v>
      </c>
      <c r="S536" s="2" t="s">
        <v>3778</v>
      </c>
      <c r="T536" s="2" t="s">
        <v>3779</v>
      </c>
      <c r="U536" s="2" t="s">
        <v>3780</v>
      </c>
      <c r="V536" s="2" t="s">
        <v>80</v>
      </c>
    </row>
    <row r="537" spans="1:22">
      <c r="A537" s="2" t="s">
        <v>2099</v>
      </c>
      <c r="B537" s="2" t="s">
        <v>3781</v>
      </c>
      <c r="C537" s="2" t="s">
        <v>3782</v>
      </c>
      <c r="D537" s="2">
        <v>2024</v>
      </c>
      <c r="E537" s="3">
        <v>45292</v>
      </c>
      <c r="F537" s="2" t="s">
        <v>1421</v>
      </c>
      <c r="G537" s="2" t="s">
        <v>43</v>
      </c>
      <c r="H537" s="2" t="s">
        <v>43</v>
      </c>
      <c r="I537" s="2" t="s">
        <v>3783</v>
      </c>
      <c r="J537" s="2" t="s">
        <v>43</v>
      </c>
      <c r="K537" s="2" t="s">
        <v>1423</v>
      </c>
      <c r="L537" s="2" t="s">
        <v>29</v>
      </c>
      <c r="M537" s="2" t="s">
        <v>43</v>
      </c>
      <c r="N537" s="2" t="s">
        <v>43</v>
      </c>
      <c r="O537" s="2" t="s">
        <v>43</v>
      </c>
      <c r="P537" s="2" t="s">
        <v>43</v>
      </c>
      <c r="Q537" s="2" t="s">
        <v>1125</v>
      </c>
      <c r="R537" s="2" t="s">
        <v>3784</v>
      </c>
      <c r="S537" s="2" t="s">
        <v>79</v>
      </c>
      <c r="T537" s="2" t="s">
        <v>3785</v>
      </c>
      <c r="U537" s="2" t="s">
        <v>3786</v>
      </c>
      <c r="V537" s="2" t="s">
        <v>141</v>
      </c>
    </row>
    <row r="538" spans="1:22">
      <c r="A538" s="2" t="s">
        <v>22</v>
      </c>
      <c r="B538" s="2" t="s">
        <v>3787</v>
      </c>
      <c r="C538" s="2" t="s">
        <v>3788</v>
      </c>
      <c r="D538" s="2">
        <v>2025</v>
      </c>
      <c r="E538" s="3">
        <v>45992</v>
      </c>
      <c r="F538" s="2" t="s">
        <v>357</v>
      </c>
      <c r="G538" s="2">
        <v>20</v>
      </c>
      <c r="H538" s="2">
        <v>12</v>
      </c>
      <c r="I538" s="2" t="s">
        <v>3789</v>
      </c>
      <c r="J538" s="2" t="s">
        <v>359</v>
      </c>
      <c r="K538" s="2" t="s">
        <v>360</v>
      </c>
      <c r="L538" s="2" t="s">
        <v>29</v>
      </c>
      <c r="M538" s="2" t="s">
        <v>361</v>
      </c>
      <c r="N538" s="2" t="s">
        <v>121</v>
      </c>
      <c r="O538" s="4">
        <v>1833</v>
      </c>
      <c r="P538" s="2" t="s">
        <v>3790</v>
      </c>
      <c r="Q538" s="2" t="s">
        <v>33</v>
      </c>
      <c r="R538" s="2" t="s">
        <v>3791</v>
      </c>
      <c r="S538" s="2" t="s">
        <v>3792</v>
      </c>
      <c r="T538" s="2" t="s">
        <v>3793</v>
      </c>
      <c r="U538" s="2" t="s">
        <v>3794</v>
      </c>
      <c r="V538" s="2" t="s">
        <v>2265</v>
      </c>
    </row>
    <row r="539" spans="1:22">
      <c r="A539" s="2" t="s">
        <v>22</v>
      </c>
      <c r="B539" s="2" t="s">
        <v>3795</v>
      </c>
      <c r="C539" s="2" t="s">
        <v>3796</v>
      </c>
      <c r="D539" s="2">
        <v>2025</v>
      </c>
      <c r="E539" s="3">
        <v>45658</v>
      </c>
      <c r="F539" s="2" t="s">
        <v>3758</v>
      </c>
      <c r="G539" s="2">
        <v>7</v>
      </c>
      <c r="H539" s="2" t="s">
        <v>43</v>
      </c>
      <c r="I539" s="2" t="s">
        <v>43</v>
      </c>
      <c r="J539" s="2" t="s">
        <v>3759</v>
      </c>
      <c r="K539" s="2" t="s">
        <v>183</v>
      </c>
      <c r="L539" s="2" t="s">
        <v>29</v>
      </c>
      <c r="M539" s="2" t="s">
        <v>2052</v>
      </c>
      <c r="N539" s="2" t="s">
        <v>247</v>
      </c>
      <c r="O539" s="2" t="s">
        <v>3760</v>
      </c>
      <c r="P539" s="2" t="s">
        <v>3797</v>
      </c>
      <c r="Q539" s="2" t="s">
        <v>33</v>
      </c>
      <c r="R539" s="2" t="s">
        <v>3798</v>
      </c>
      <c r="S539" s="2" t="s">
        <v>3799</v>
      </c>
      <c r="T539" s="2" t="s">
        <v>3800</v>
      </c>
      <c r="U539" s="2" t="s">
        <v>3801</v>
      </c>
      <c r="V539" s="2" t="s">
        <v>3802</v>
      </c>
    </row>
    <row r="540" spans="1:22" ht="28.8">
      <c r="A540" s="2" t="s">
        <v>3803</v>
      </c>
      <c r="B540" s="2" t="s">
        <v>3804</v>
      </c>
      <c r="C540" s="2" t="s">
        <v>3805</v>
      </c>
      <c r="D540" s="2">
        <v>2024</v>
      </c>
      <c r="E540" s="3">
        <v>45292</v>
      </c>
      <c r="F540" s="2" t="s">
        <v>3806</v>
      </c>
      <c r="G540" s="2">
        <v>53</v>
      </c>
      <c r="H540" s="2">
        <v>1</v>
      </c>
      <c r="I540" s="2" t="s">
        <v>3807</v>
      </c>
      <c r="J540" s="2" t="s">
        <v>3808</v>
      </c>
      <c r="K540" s="2" t="s">
        <v>3809</v>
      </c>
      <c r="L540" s="2" t="s">
        <v>29</v>
      </c>
      <c r="M540" s="2" t="s">
        <v>3810</v>
      </c>
      <c r="N540" s="2" t="s">
        <v>3811</v>
      </c>
      <c r="O540" s="2" t="s">
        <v>3428</v>
      </c>
      <c r="P540" s="2" t="s">
        <v>3812</v>
      </c>
      <c r="Q540" s="2" t="s">
        <v>49</v>
      </c>
      <c r="R540" s="2" t="s">
        <v>3813</v>
      </c>
      <c r="S540" s="2" t="s">
        <v>3814</v>
      </c>
      <c r="T540" s="2" t="s">
        <v>3815</v>
      </c>
      <c r="U540" s="2" t="s">
        <v>3816</v>
      </c>
      <c r="V540" s="2" t="s">
        <v>3498</v>
      </c>
    </row>
    <row r="541" spans="1:22">
      <c r="A541" s="2" t="s">
        <v>1013</v>
      </c>
      <c r="B541" s="2" t="s">
        <v>3817</v>
      </c>
      <c r="C541" s="2" t="s">
        <v>3818</v>
      </c>
      <c r="D541" s="2">
        <v>2024</v>
      </c>
      <c r="E541" s="3">
        <v>45383</v>
      </c>
      <c r="F541" s="2" t="s">
        <v>2912</v>
      </c>
      <c r="G541" s="2">
        <v>51</v>
      </c>
      <c r="H541" s="2">
        <v>2</v>
      </c>
      <c r="I541" s="2" t="s">
        <v>3819</v>
      </c>
      <c r="J541" s="2" t="s">
        <v>3820</v>
      </c>
      <c r="K541" s="2" t="s">
        <v>2915</v>
      </c>
      <c r="L541" s="2" t="s">
        <v>1867</v>
      </c>
      <c r="M541" s="2" t="s">
        <v>2155</v>
      </c>
      <c r="N541" s="2" t="s">
        <v>3684</v>
      </c>
      <c r="O541" s="2" t="s">
        <v>3685</v>
      </c>
      <c r="P541" s="2" t="s">
        <v>3821</v>
      </c>
      <c r="Q541" s="2" t="s">
        <v>33</v>
      </c>
      <c r="R541" s="2" t="s">
        <v>3822</v>
      </c>
      <c r="S541" s="2" t="s">
        <v>3823</v>
      </c>
      <c r="T541" s="2" t="s">
        <v>3824</v>
      </c>
      <c r="U541" s="2" t="s">
        <v>3825</v>
      </c>
      <c r="V541" s="2" t="s">
        <v>80</v>
      </c>
    </row>
    <row r="542" spans="1:22">
      <c r="A542" s="2" t="s">
        <v>1024</v>
      </c>
      <c r="B542" s="2" t="s">
        <v>3817</v>
      </c>
      <c r="C542" s="2" t="s">
        <v>3818</v>
      </c>
      <c r="D542" s="2">
        <v>2024</v>
      </c>
      <c r="E542" s="3">
        <v>45383</v>
      </c>
      <c r="F542" s="2" t="s">
        <v>2912</v>
      </c>
      <c r="G542" s="2">
        <v>51</v>
      </c>
      <c r="H542" s="2">
        <v>2</v>
      </c>
      <c r="I542" s="2" t="s">
        <v>3819</v>
      </c>
      <c r="J542" s="2" t="s">
        <v>3820</v>
      </c>
      <c r="K542" s="2" t="s">
        <v>2915</v>
      </c>
      <c r="L542" s="2" t="s">
        <v>1867</v>
      </c>
      <c r="M542" s="2" t="s">
        <v>2155</v>
      </c>
      <c r="N542" s="2" t="s">
        <v>3684</v>
      </c>
      <c r="O542" s="2" t="s">
        <v>3685</v>
      </c>
      <c r="P542" s="2" t="s">
        <v>3821</v>
      </c>
      <c r="Q542" s="2" t="s">
        <v>33</v>
      </c>
      <c r="R542" s="2" t="s">
        <v>3822</v>
      </c>
      <c r="S542" s="2" t="s">
        <v>3823</v>
      </c>
      <c r="T542" s="2" t="s">
        <v>3824</v>
      </c>
      <c r="U542" s="2" t="s">
        <v>3825</v>
      </c>
      <c r="V542" s="2" t="s">
        <v>80</v>
      </c>
    </row>
    <row r="543" spans="1:22">
      <c r="A543" s="2" t="s">
        <v>3826</v>
      </c>
      <c r="B543" s="2" t="s">
        <v>3827</v>
      </c>
      <c r="C543" s="2" t="s">
        <v>3828</v>
      </c>
      <c r="D543" s="2">
        <v>2024</v>
      </c>
      <c r="E543" s="3">
        <v>45335</v>
      </c>
      <c r="F543" s="2" t="s">
        <v>3829</v>
      </c>
      <c r="G543" s="2">
        <v>14</v>
      </c>
      <c r="H543" s="2">
        <v>8</v>
      </c>
      <c r="I543" s="2" t="s">
        <v>3830</v>
      </c>
      <c r="J543" s="2" t="s">
        <v>3831</v>
      </c>
      <c r="K543" s="2" t="s">
        <v>3832</v>
      </c>
      <c r="L543" s="2" t="s">
        <v>29</v>
      </c>
      <c r="M543" s="2" t="s">
        <v>2850</v>
      </c>
      <c r="N543" s="2" t="s">
        <v>1581</v>
      </c>
      <c r="O543" s="2" t="s">
        <v>3833</v>
      </c>
      <c r="P543" s="2" t="s">
        <v>3834</v>
      </c>
      <c r="Q543" s="2" t="s">
        <v>33</v>
      </c>
      <c r="R543" s="2" t="s">
        <v>3835</v>
      </c>
      <c r="S543" s="2" t="s">
        <v>409</v>
      </c>
      <c r="T543" s="2" t="s">
        <v>410</v>
      </c>
      <c r="U543" s="2" t="s">
        <v>411</v>
      </c>
      <c r="V543" s="2" t="s">
        <v>80</v>
      </c>
    </row>
    <row r="544" spans="1:22" ht="129.6">
      <c r="A544" s="2" t="s">
        <v>3836</v>
      </c>
      <c r="B544" s="2" t="s">
        <v>3837</v>
      </c>
      <c r="C544" s="2" t="s">
        <v>3838</v>
      </c>
      <c r="D544" s="2">
        <v>2024</v>
      </c>
      <c r="E544" s="3">
        <v>45292</v>
      </c>
      <c r="F544" s="2" t="s">
        <v>3839</v>
      </c>
      <c r="G544" s="2">
        <v>29</v>
      </c>
      <c r="H544" s="2">
        <v>1</v>
      </c>
      <c r="I544" s="2" t="s">
        <v>43</v>
      </c>
      <c r="J544" s="2" t="s">
        <v>3840</v>
      </c>
      <c r="K544" s="2" t="s">
        <v>2154</v>
      </c>
      <c r="L544" s="2" t="s">
        <v>29</v>
      </c>
      <c r="M544" s="2" t="s">
        <v>3841</v>
      </c>
      <c r="N544" s="2" t="s">
        <v>105</v>
      </c>
      <c r="O544" s="4">
        <v>4022</v>
      </c>
      <c r="P544" s="2" t="s">
        <v>3842</v>
      </c>
      <c r="Q544" s="2" t="s">
        <v>3843</v>
      </c>
      <c r="R544" s="2" t="s">
        <v>3844</v>
      </c>
      <c r="S544" s="2" t="s">
        <v>3845</v>
      </c>
      <c r="T544" s="2" t="s">
        <v>3846</v>
      </c>
      <c r="U544" s="2" t="s">
        <v>3847</v>
      </c>
      <c r="V544" s="2" t="s">
        <v>3848</v>
      </c>
    </row>
    <row r="545" spans="1:22">
      <c r="A545" s="2" t="s">
        <v>3849</v>
      </c>
      <c r="B545" s="2" t="s">
        <v>3850</v>
      </c>
      <c r="C545" s="2" t="s">
        <v>3851</v>
      </c>
      <c r="D545" s="2">
        <v>2024</v>
      </c>
      <c r="E545" s="3">
        <v>45383</v>
      </c>
      <c r="F545" s="2" t="s">
        <v>3852</v>
      </c>
      <c r="G545" s="2">
        <v>68</v>
      </c>
      <c r="H545" s="2">
        <v>2</v>
      </c>
      <c r="I545" s="2" t="s">
        <v>3853</v>
      </c>
      <c r="J545" s="2" t="s">
        <v>3854</v>
      </c>
      <c r="K545" s="2" t="s">
        <v>3855</v>
      </c>
      <c r="L545" s="2" t="s">
        <v>29</v>
      </c>
      <c r="M545" s="2" t="s">
        <v>1182</v>
      </c>
      <c r="N545" s="2" t="s">
        <v>1136</v>
      </c>
      <c r="O545" s="2" t="s">
        <v>3600</v>
      </c>
      <c r="P545" s="2" t="s">
        <v>3856</v>
      </c>
      <c r="Q545" s="2" t="s">
        <v>49</v>
      </c>
      <c r="R545" s="2" t="s">
        <v>3857</v>
      </c>
      <c r="S545" s="2" t="s">
        <v>3858</v>
      </c>
      <c r="T545" s="2" t="s">
        <v>3859</v>
      </c>
      <c r="U545" s="2" t="s">
        <v>3860</v>
      </c>
      <c r="V545" s="2" t="s">
        <v>621</v>
      </c>
    </row>
    <row r="546" spans="1:22">
      <c r="A546" s="2" t="s">
        <v>3861</v>
      </c>
      <c r="B546" s="2" t="s">
        <v>3862</v>
      </c>
      <c r="C546" s="2" t="s">
        <v>3863</v>
      </c>
      <c r="D546" s="2">
        <v>2024</v>
      </c>
      <c r="E546" s="3">
        <v>45323</v>
      </c>
      <c r="F546" s="2" t="s">
        <v>3864</v>
      </c>
      <c r="G546" s="2">
        <v>37</v>
      </c>
      <c r="H546" s="2">
        <v>1</v>
      </c>
      <c r="I546" s="2" t="s">
        <v>3865</v>
      </c>
      <c r="J546" s="2" t="s">
        <v>3866</v>
      </c>
      <c r="K546" s="2" t="s">
        <v>3867</v>
      </c>
      <c r="L546" s="2" t="s">
        <v>29</v>
      </c>
      <c r="M546" s="2" t="s">
        <v>3416</v>
      </c>
      <c r="N546" s="2" t="s">
        <v>3868</v>
      </c>
      <c r="O546" s="2" t="s">
        <v>3869</v>
      </c>
      <c r="P546" s="2" t="s">
        <v>3870</v>
      </c>
      <c r="Q546" s="2" t="s">
        <v>49</v>
      </c>
      <c r="R546" s="2" t="s">
        <v>3871</v>
      </c>
      <c r="S546" s="2" t="s">
        <v>3872</v>
      </c>
      <c r="T546" s="2" t="s">
        <v>3873</v>
      </c>
      <c r="U546" s="2" t="s">
        <v>3874</v>
      </c>
      <c r="V546" s="2" t="s">
        <v>802</v>
      </c>
    </row>
    <row r="547" spans="1:22">
      <c r="A547" s="2" t="s">
        <v>433</v>
      </c>
      <c r="B547" s="2" t="s">
        <v>3875</v>
      </c>
      <c r="C547" s="2" t="s">
        <v>3876</v>
      </c>
      <c r="D547" s="2">
        <v>2024</v>
      </c>
      <c r="E547" s="3">
        <v>45413</v>
      </c>
      <c r="F547" s="2" t="s">
        <v>2392</v>
      </c>
      <c r="G547" s="2">
        <v>35</v>
      </c>
      <c r="H547" s="6">
        <v>46115</v>
      </c>
      <c r="I547" s="2" t="s">
        <v>3877</v>
      </c>
      <c r="J547" s="2" t="s">
        <v>2394</v>
      </c>
      <c r="K547" s="2" t="s">
        <v>392</v>
      </c>
      <c r="L547" s="2" t="s">
        <v>773</v>
      </c>
      <c r="M547" s="2" t="s">
        <v>47</v>
      </c>
      <c r="N547" s="2" t="s">
        <v>2395</v>
      </c>
      <c r="O547" s="2" t="s">
        <v>2396</v>
      </c>
      <c r="P547" s="2" t="s">
        <v>3878</v>
      </c>
      <c r="Q547" s="2" t="s">
        <v>33</v>
      </c>
      <c r="R547" s="2" t="s">
        <v>3879</v>
      </c>
      <c r="S547" s="2" t="s">
        <v>1681</v>
      </c>
      <c r="T547" s="2" t="s">
        <v>2561</v>
      </c>
      <c r="U547" s="2" t="s">
        <v>2562</v>
      </c>
      <c r="V547" s="2" t="s">
        <v>80</v>
      </c>
    </row>
    <row r="548" spans="1:22">
      <c r="A548" s="2" t="s">
        <v>3880</v>
      </c>
      <c r="B548" s="2" t="s">
        <v>3881</v>
      </c>
      <c r="C548" s="2" t="s">
        <v>3882</v>
      </c>
      <c r="D548" s="2">
        <v>2024</v>
      </c>
      <c r="E548" s="3">
        <v>45536</v>
      </c>
      <c r="F548" s="2" t="s">
        <v>3883</v>
      </c>
      <c r="G548" s="2" t="s">
        <v>43</v>
      </c>
      <c r="H548" s="2">
        <v>53</v>
      </c>
      <c r="I548" s="2" t="s">
        <v>43</v>
      </c>
      <c r="J548" s="2" t="s">
        <v>3884</v>
      </c>
      <c r="K548" s="2" t="s">
        <v>3885</v>
      </c>
      <c r="L548" s="2" t="s">
        <v>1867</v>
      </c>
      <c r="M548" s="2" t="s">
        <v>2423</v>
      </c>
      <c r="N548" s="2" t="s">
        <v>3886</v>
      </c>
      <c r="O548" s="2" t="s">
        <v>3887</v>
      </c>
      <c r="P548" s="2" t="s">
        <v>43</v>
      </c>
      <c r="Q548" s="2" t="s">
        <v>33</v>
      </c>
      <c r="R548" s="2" t="s">
        <v>3888</v>
      </c>
      <c r="S548" s="2" t="s">
        <v>3889</v>
      </c>
      <c r="T548" s="2" t="s">
        <v>3890</v>
      </c>
      <c r="U548" s="2" t="s">
        <v>3891</v>
      </c>
      <c r="V548" s="2" t="s">
        <v>80</v>
      </c>
    </row>
    <row r="549" spans="1:22">
      <c r="A549" s="2" t="s">
        <v>3892</v>
      </c>
      <c r="B549" s="2" t="s">
        <v>3893</v>
      </c>
      <c r="C549" s="2" t="s">
        <v>3894</v>
      </c>
      <c r="D549" s="2">
        <v>2025</v>
      </c>
      <c r="E549" s="3">
        <v>45658</v>
      </c>
      <c r="F549" s="2" t="s">
        <v>2392</v>
      </c>
      <c r="G549" s="2">
        <v>36</v>
      </c>
      <c r="H549" s="2">
        <v>1</v>
      </c>
      <c r="I549" s="2" t="s">
        <v>3895</v>
      </c>
      <c r="J549" s="2" t="s">
        <v>2394</v>
      </c>
      <c r="K549" s="2" t="s">
        <v>392</v>
      </c>
      <c r="L549" s="2" t="s">
        <v>773</v>
      </c>
      <c r="M549" s="2" t="s">
        <v>1948</v>
      </c>
      <c r="N549" s="2" t="s">
        <v>2156</v>
      </c>
      <c r="O549" s="2" t="s">
        <v>3438</v>
      </c>
      <c r="P549" s="2" t="s">
        <v>3896</v>
      </c>
      <c r="Q549" s="2" t="s">
        <v>33</v>
      </c>
      <c r="R549" s="2" t="s">
        <v>3897</v>
      </c>
      <c r="S549" s="2" t="s">
        <v>1681</v>
      </c>
      <c r="T549" s="2" t="s">
        <v>3898</v>
      </c>
      <c r="U549" s="2" t="s">
        <v>3899</v>
      </c>
      <c r="V549" s="2" t="s">
        <v>80</v>
      </c>
    </row>
    <row r="550" spans="1:22">
      <c r="A550" s="2" t="s">
        <v>3900</v>
      </c>
      <c r="B550" s="2" t="s">
        <v>3893</v>
      </c>
      <c r="C550" s="2" t="s">
        <v>3894</v>
      </c>
      <c r="D550" s="2">
        <v>2025</v>
      </c>
      <c r="E550" s="3">
        <v>45658</v>
      </c>
      <c r="F550" s="2" t="s">
        <v>2392</v>
      </c>
      <c r="G550" s="2">
        <v>36</v>
      </c>
      <c r="H550" s="2">
        <v>1</v>
      </c>
      <c r="I550" s="2" t="s">
        <v>3895</v>
      </c>
      <c r="J550" s="2" t="s">
        <v>2394</v>
      </c>
      <c r="K550" s="2" t="s">
        <v>392</v>
      </c>
      <c r="L550" s="2" t="s">
        <v>773</v>
      </c>
      <c r="M550" s="2" t="s">
        <v>1948</v>
      </c>
      <c r="N550" s="2" t="s">
        <v>2156</v>
      </c>
      <c r="O550" s="2" t="s">
        <v>3438</v>
      </c>
      <c r="P550" s="2" t="s">
        <v>3896</v>
      </c>
      <c r="Q550" s="2" t="s">
        <v>33</v>
      </c>
      <c r="R550" s="2" t="s">
        <v>3897</v>
      </c>
      <c r="S550" s="2" t="s">
        <v>1681</v>
      </c>
      <c r="T550" s="2" t="s">
        <v>3898</v>
      </c>
      <c r="U550" s="2" t="s">
        <v>3899</v>
      </c>
      <c r="V550" s="2" t="s">
        <v>80</v>
      </c>
    </row>
    <row r="551" spans="1:22">
      <c r="A551" s="2" t="s">
        <v>3901</v>
      </c>
      <c r="B551" s="2" t="s">
        <v>3893</v>
      </c>
      <c r="C551" s="2" t="s">
        <v>3894</v>
      </c>
      <c r="D551" s="2">
        <v>2025</v>
      </c>
      <c r="E551" s="3">
        <v>45658</v>
      </c>
      <c r="F551" s="2" t="s">
        <v>2392</v>
      </c>
      <c r="G551" s="2">
        <v>36</v>
      </c>
      <c r="H551" s="2">
        <v>1</v>
      </c>
      <c r="I551" s="2" t="s">
        <v>3895</v>
      </c>
      <c r="J551" s="2" t="s">
        <v>2394</v>
      </c>
      <c r="K551" s="2" t="s">
        <v>392</v>
      </c>
      <c r="L551" s="2" t="s">
        <v>773</v>
      </c>
      <c r="M551" s="2" t="s">
        <v>1948</v>
      </c>
      <c r="N551" s="2" t="s">
        <v>2156</v>
      </c>
      <c r="O551" s="2" t="s">
        <v>3438</v>
      </c>
      <c r="P551" s="2" t="s">
        <v>3896</v>
      </c>
      <c r="Q551" s="2" t="s">
        <v>33</v>
      </c>
      <c r="R551" s="2" t="s">
        <v>3897</v>
      </c>
      <c r="S551" s="2" t="s">
        <v>1681</v>
      </c>
      <c r="T551" s="2" t="s">
        <v>3898</v>
      </c>
      <c r="U551" s="2" t="s">
        <v>3899</v>
      </c>
      <c r="V551" s="2" t="s">
        <v>80</v>
      </c>
    </row>
    <row r="552" spans="1:22">
      <c r="A552" s="2" t="s">
        <v>3902</v>
      </c>
      <c r="B552" s="2" t="s">
        <v>3893</v>
      </c>
      <c r="C552" s="2" t="s">
        <v>3894</v>
      </c>
      <c r="D552" s="2">
        <v>2025</v>
      </c>
      <c r="E552" s="3">
        <v>45658</v>
      </c>
      <c r="F552" s="2" t="s">
        <v>2392</v>
      </c>
      <c r="G552" s="2">
        <v>36</v>
      </c>
      <c r="H552" s="2">
        <v>1</v>
      </c>
      <c r="I552" s="2" t="s">
        <v>3895</v>
      </c>
      <c r="J552" s="2" t="s">
        <v>2394</v>
      </c>
      <c r="K552" s="2" t="s">
        <v>392</v>
      </c>
      <c r="L552" s="2" t="s">
        <v>773</v>
      </c>
      <c r="M552" s="2" t="s">
        <v>1948</v>
      </c>
      <c r="N552" s="2" t="s">
        <v>2156</v>
      </c>
      <c r="O552" s="2" t="s">
        <v>3438</v>
      </c>
      <c r="P552" s="2" t="s">
        <v>3896</v>
      </c>
      <c r="Q552" s="2" t="s">
        <v>33</v>
      </c>
      <c r="R552" s="2" t="s">
        <v>3897</v>
      </c>
      <c r="S552" s="2" t="s">
        <v>1681</v>
      </c>
      <c r="T552" s="2" t="s">
        <v>3898</v>
      </c>
      <c r="U552" s="2" t="s">
        <v>3899</v>
      </c>
      <c r="V552" s="2" t="s">
        <v>80</v>
      </c>
    </row>
    <row r="553" spans="1:22">
      <c r="A553" s="2" t="s">
        <v>3903</v>
      </c>
      <c r="B553" s="2" t="s">
        <v>3893</v>
      </c>
      <c r="C553" s="2" t="s">
        <v>3894</v>
      </c>
      <c r="D553" s="2">
        <v>2025</v>
      </c>
      <c r="E553" s="3">
        <v>45658</v>
      </c>
      <c r="F553" s="2" t="s">
        <v>2392</v>
      </c>
      <c r="G553" s="2">
        <v>36</v>
      </c>
      <c r="H553" s="2">
        <v>1</v>
      </c>
      <c r="I553" s="2" t="s">
        <v>3895</v>
      </c>
      <c r="J553" s="2" t="s">
        <v>2394</v>
      </c>
      <c r="K553" s="2" t="s">
        <v>392</v>
      </c>
      <c r="L553" s="2" t="s">
        <v>773</v>
      </c>
      <c r="M553" s="2" t="s">
        <v>1948</v>
      </c>
      <c r="N553" s="2" t="s">
        <v>2156</v>
      </c>
      <c r="O553" s="2" t="s">
        <v>3438</v>
      </c>
      <c r="P553" s="2" t="s">
        <v>3896</v>
      </c>
      <c r="Q553" s="2" t="s">
        <v>33</v>
      </c>
      <c r="R553" s="2" t="s">
        <v>3897</v>
      </c>
      <c r="S553" s="2" t="s">
        <v>1681</v>
      </c>
      <c r="T553" s="2" t="s">
        <v>3898</v>
      </c>
      <c r="U553" s="2" t="s">
        <v>3899</v>
      </c>
      <c r="V553" s="2" t="s">
        <v>80</v>
      </c>
    </row>
    <row r="554" spans="1:22">
      <c r="A554" s="2" t="s">
        <v>3904</v>
      </c>
      <c r="B554" s="2" t="s">
        <v>3905</v>
      </c>
      <c r="C554" s="2" t="s">
        <v>3906</v>
      </c>
      <c r="D554" s="2">
        <v>2024</v>
      </c>
      <c r="E554" s="3">
        <v>45292</v>
      </c>
      <c r="F554" s="2" t="s">
        <v>2392</v>
      </c>
      <c r="G554" s="2">
        <v>35</v>
      </c>
      <c r="H554" s="2">
        <v>1</v>
      </c>
      <c r="I554" s="2" t="s">
        <v>3907</v>
      </c>
      <c r="J554" s="2" t="s">
        <v>2394</v>
      </c>
      <c r="K554" s="2" t="s">
        <v>392</v>
      </c>
      <c r="L554" s="2" t="s">
        <v>773</v>
      </c>
      <c r="M554" s="2" t="s">
        <v>47</v>
      </c>
      <c r="N554" s="2" t="s">
        <v>2395</v>
      </c>
      <c r="O554" s="2" t="s">
        <v>2396</v>
      </c>
      <c r="P554" s="2" t="s">
        <v>3908</v>
      </c>
      <c r="Q554" s="2" t="s">
        <v>49</v>
      </c>
      <c r="R554" s="2" t="s">
        <v>3909</v>
      </c>
      <c r="S554" s="2" t="s">
        <v>1681</v>
      </c>
      <c r="T554" s="2" t="s">
        <v>2561</v>
      </c>
      <c r="U554" s="2" t="s">
        <v>2562</v>
      </c>
      <c r="V554" s="2" t="s">
        <v>80</v>
      </c>
    </row>
    <row r="555" spans="1:22">
      <c r="A555" s="2" t="s">
        <v>3910</v>
      </c>
      <c r="B555" s="2" t="s">
        <v>3905</v>
      </c>
      <c r="C555" s="2" t="s">
        <v>3906</v>
      </c>
      <c r="D555" s="2">
        <v>2024</v>
      </c>
      <c r="E555" s="3">
        <v>45292</v>
      </c>
      <c r="F555" s="2" t="s">
        <v>2392</v>
      </c>
      <c r="G555" s="2">
        <v>35</v>
      </c>
      <c r="H555" s="2">
        <v>1</v>
      </c>
      <c r="I555" s="2" t="s">
        <v>3907</v>
      </c>
      <c r="J555" s="2" t="s">
        <v>2394</v>
      </c>
      <c r="K555" s="2" t="s">
        <v>392</v>
      </c>
      <c r="L555" s="2" t="s">
        <v>773</v>
      </c>
      <c r="M555" s="2" t="s">
        <v>47</v>
      </c>
      <c r="N555" s="2" t="s">
        <v>2395</v>
      </c>
      <c r="O555" s="2" t="s">
        <v>2396</v>
      </c>
      <c r="P555" s="2" t="s">
        <v>3908</v>
      </c>
      <c r="Q555" s="2" t="s">
        <v>49</v>
      </c>
      <c r="R555" s="2" t="s">
        <v>3909</v>
      </c>
      <c r="S555" s="2" t="s">
        <v>1681</v>
      </c>
      <c r="T555" s="2" t="s">
        <v>2561</v>
      </c>
      <c r="U555" s="2" t="s">
        <v>2562</v>
      </c>
      <c r="V555" s="2" t="s">
        <v>80</v>
      </c>
    </row>
    <row r="556" spans="1:22">
      <c r="A556" s="2" t="s">
        <v>1344</v>
      </c>
      <c r="B556" s="2" t="s">
        <v>3905</v>
      </c>
      <c r="C556" s="2" t="s">
        <v>3906</v>
      </c>
      <c r="D556" s="2">
        <v>2024</v>
      </c>
      <c r="E556" s="3">
        <v>45292</v>
      </c>
      <c r="F556" s="2" t="s">
        <v>2392</v>
      </c>
      <c r="G556" s="2">
        <v>35</v>
      </c>
      <c r="H556" s="2">
        <v>1</v>
      </c>
      <c r="I556" s="2" t="s">
        <v>3907</v>
      </c>
      <c r="J556" s="2" t="s">
        <v>2394</v>
      </c>
      <c r="K556" s="2" t="s">
        <v>392</v>
      </c>
      <c r="L556" s="2" t="s">
        <v>773</v>
      </c>
      <c r="M556" s="2" t="s">
        <v>47</v>
      </c>
      <c r="N556" s="2" t="s">
        <v>2395</v>
      </c>
      <c r="O556" s="2" t="s">
        <v>2396</v>
      </c>
      <c r="P556" s="2" t="s">
        <v>3908</v>
      </c>
      <c r="Q556" s="2" t="s">
        <v>49</v>
      </c>
      <c r="R556" s="2" t="s">
        <v>3909</v>
      </c>
      <c r="S556" s="2" t="s">
        <v>1681</v>
      </c>
      <c r="T556" s="2" t="s">
        <v>2561</v>
      </c>
      <c r="U556" s="2" t="s">
        <v>2562</v>
      </c>
      <c r="V556" s="2" t="s">
        <v>80</v>
      </c>
    </row>
    <row r="557" spans="1:22">
      <c r="A557" s="2" t="s">
        <v>3911</v>
      </c>
      <c r="B557" s="2" t="s">
        <v>3912</v>
      </c>
      <c r="C557" s="2" t="s">
        <v>3913</v>
      </c>
      <c r="D557" s="2">
        <v>2025</v>
      </c>
      <c r="E557" s="3">
        <v>45658</v>
      </c>
      <c r="F557" s="2" t="s">
        <v>3914</v>
      </c>
      <c r="G557" s="2" t="s">
        <v>43</v>
      </c>
      <c r="H557" s="2" t="s">
        <v>43</v>
      </c>
      <c r="I557" s="2" t="s">
        <v>43</v>
      </c>
      <c r="J557" s="2" t="s">
        <v>3915</v>
      </c>
      <c r="K557" s="2" t="s">
        <v>1624</v>
      </c>
      <c r="L557" s="2" t="s">
        <v>29</v>
      </c>
      <c r="M557" s="2" t="s">
        <v>2143</v>
      </c>
      <c r="N557" s="2" t="s">
        <v>2647</v>
      </c>
      <c r="O557" s="2" t="s">
        <v>3916</v>
      </c>
      <c r="P557" s="2" t="s">
        <v>3917</v>
      </c>
      <c r="Q557" s="2" t="s">
        <v>33</v>
      </c>
      <c r="R557" s="2" t="s">
        <v>3918</v>
      </c>
      <c r="S557" s="2" t="s">
        <v>511</v>
      </c>
      <c r="T557" s="2" t="s">
        <v>885</v>
      </c>
      <c r="U557" s="2" t="s">
        <v>886</v>
      </c>
      <c r="V557" s="2" t="s">
        <v>80</v>
      </c>
    </row>
    <row r="558" spans="1:22">
      <c r="A558" s="2" t="s">
        <v>3919</v>
      </c>
      <c r="B558" s="2" t="s">
        <v>3920</v>
      </c>
      <c r="C558" s="2" t="s">
        <v>3921</v>
      </c>
      <c r="D558" s="2">
        <v>2025</v>
      </c>
      <c r="E558" s="3">
        <v>45717</v>
      </c>
      <c r="F558" s="2" t="s">
        <v>2392</v>
      </c>
      <c r="G558" s="2">
        <v>36</v>
      </c>
      <c r="H558" s="2">
        <v>2</v>
      </c>
      <c r="I558" s="2" t="s">
        <v>3922</v>
      </c>
      <c r="J558" s="2" t="s">
        <v>2394</v>
      </c>
      <c r="K558" s="2" t="s">
        <v>392</v>
      </c>
      <c r="L558" s="2" t="s">
        <v>773</v>
      </c>
      <c r="M558" s="2" t="s">
        <v>1948</v>
      </c>
      <c r="N558" s="2" t="s">
        <v>2156</v>
      </c>
      <c r="O558" s="2" t="s">
        <v>3438</v>
      </c>
      <c r="P558" s="2" t="s">
        <v>3923</v>
      </c>
      <c r="Q558" s="2" t="s">
        <v>33</v>
      </c>
      <c r="R558" s="2" t="s">
        <v>3924</v>
      </c>
      <c r="S558" s="2" t="s">
        <v>1681</v>
      </c>
      <c r="T558" s="2" t="s">
        <v>3925</v>
      </c>
      <c r="U558" s="2" t="s">
        <v>3926</v>
      </c>
      <c r="V558" s="2" t="s">
        <v>3927</v>
      </c>
    </row>
    <row r="559" spans="1:22">
      <c r="A559" s="2" t="s">
        <v>385</v>
      </c>
      <c r="B559" s="2" t="s">
        <v>3928</v>
      </c>
      <c r="C559" s="2" t="s">
        <v>3929</v>
      </c>
      <c r="D559" s="2">
        <v>2025</v>
      </c>
      <c r="E559" s="3">
        <v>45778</v>
      </c>
      <c r="F559" s="2" t="s">
        <v>3930</v>
      </c>
      <c r="G559" s="2">
        <v>328</v>
      </c>
      <c r="H559" s="2">
        <v>5</v>
      </c>
      <c r="I559" s="2" t="s">
        <v>3931</v>
      </c>
      <c r="J559" s="2" t="s">
        <v>3932</v>
      </c>
      <c r="K559" s="2" t="s">
        <v>2328</v>
      </c>
      <c r="L559" s="2" t="s">
        <v>29</v>
      </c>
      <c r="M559" s="2" t="s">
        <v>485</v>
      </c>
      <c r="N559" s="2" t="s">
        <v>1544</v>
      </c>
      <c r="O559" s="4">
        <v>1383</v>
      </c>
      <c r="P559" s="2" t="s">
        <v>3933</v>
      </c>
      <c r="Q559" s="2" t="s">
        <v>3676</v>
      </c>
      <c r="R559" s="2" t="s">
        <v>3934</v>
      </c>
      <c r="S559" s="2" t="s">
        <v>3935</v>
      </c>
      <c r="T559" s="2" t="s">
        <v>3936</v>
      </c>
      <c r="U559" s="2" t="s">
        <v>3937</v>
      </c>
      <c r="V559" s="2" t="s">
        <v>1060</v>
      </c>
    </row>
    <row r="560" spans="1:22">
      <c r="A560" s="2" t="s">
        <v>3938</v>
      </c>
      <c r="B560" s="2" t="s">
        <v>3939</v>
      </c>
      <c r="C560" s="2" t="s">
        <v>3940</v>
      </c>
      <c r="D560" s="2">
        <v>2025</v>
      </c>
      <c r="E560" s="3">
        <v>45717</v>
      </c>
      <c r="F560" s="2" t="s">
        <v>2392</v>
      </c>
      <c r="G560" s="2">
        <v>36</v>
      </c>
      <c r="H560" s="2">
        <v>2</v>
      </c>
      <c r="I560" s="2" t="s">
        <v>3941</v>
      </c>
      <c r="J560" s="2" t="s">
        <v>2394</v>
      </c>
      <c r="K560" s="2" t="s">
        <v>392</v>
      </c>
      <c r="L560" s="2" t="s">
        <v>773</v>
      </c>
      <c r="M560" s="2" t="s">
        <v>1948</v>
      </c>
      <c r="N560" s="2" t="s">
        <v>2156</v>
      </c>
      <c r="O560" s="2" t="s">
        <v>3438</v>
      </c>
      <c r="P560" s="2" t="s">
        <v>3942</v>
      </c>
      <c r="Q560" s="2" t="s">
        <v>33</v>
      </c>
      <c r="R560" s="2" t="s">
        <v>3943</v>
      </c>
      <c r="S560" s="2" t="s">
        <v>1681</v>
      </c>
      <c r="T560" s="2" t="s">
        <v>2561</v>
      </c>
      <c r="U560" s="2" t="s">
        <v>2562</v>
      </c>
      <c r="V560" s="2" t="s">
        <v>80</v>
      </c>
    </row>
    <row r="561" spans="1:22">
      <c r="A561" s="2" t="s">
        <v>3944</v>
      </c>
      <c r="B561" s="2" t="s">
        <v>3939</v>
      </c>
      <c r="C561" s="2" t="s">
        <v>3940</v>
      </c>
      <c r="D561" s="2">
        <v>2025</v>
      </c>
      <c r="E561" s="3">
        <v>45717</v>
      </c>
      <c r="F561" s="2" t="s">
        <v>2392</v>
      </c>
      <c r="G561" s="2">
        <v>36</v>
      </c>
      <c r="H561" s="2">
        <v>2</v>
      </c>
      <c r="I561" s="2" t="s">
        <v>3941</v>
      </c>
      <c r="J561" s="2" t="s">
        <v>2394</v>
      </c>
      <c r="K561" s="2" t="s">
        <v>392</v>
      </c>
      <c r="L561" s="2" t="s">
        <v>773</v>
      </c>
      <c r="M561" s="2" t="s">
        <v>1948</v>
      </c>
      <c r="N561" s="2" t="s">
        <v>2156</v>
      </c>
      <c r="O561" s="2" t="s">
        <v>3438</v>
      </c>
      <c r="P561" s="2" t="s">
        <v>3942</v>
      </c>
      <c r="Q561" s="2" t="s">
        <v>33</v>
      </c>
      <c r="R561" s="2" t="s">
        <v>3943</v>
      </c>
      <c r="S561" s="2" t="s">
        <v>1681</v>
      </c>
      <c r="T561" s="2" t="s">
        <v>2561</v>
      </c>
      <c r="U561" s="2" t="s">
        <v>2562</v>
      </c>
      <c r="V561" s="2" t="s">
        <v>80</v>
      </c>
    </row>
    <row r="562" spans="1:22">
      <c r="A562" s="2" t="s">
        <v>1344</v>
      </c>
      <c r="B562" s="2" t="s">
        <v>3939</v>
      </c>
      <c r="C562" s="2" t="s">
        <v>3940</v>
      </c>
      <c r="D562" s="2">
        <v>2025</v>
      </c>
      <c r="E562" s="3">
        <v>45717</v>
      </c>
      <c r="F562" s="2" t="s">
        <v>2392</v>
      </c>
      <c r="G562" s="2">
        <v>36</v>
      </c>
      <c r="H562" s="2">
        <v>2</v>
      </c>
      <c r="I562" s="2" t="s">
        <v>3941</v>
      </c>
      <c r="J562" s="2" t="s">
        <v>2394</v>
      </c>
      <c r="K562" s="2" t="s">
        <v>392</v>
      </c>
      <c r="L562" s="2" t="s">
        <v>773</v>
      </c>
      <c r="M562" s="2" t="s">
        <v>1948</v>
      </c>
      <c r="N562" s="2" t="s">
        <v>2156</v>
      </c>
      <c r="O562" s="2" t="s">
        <v>3438</v>
      </c>
      <c r="P562" s="2" t="s">
        <v>3942</v>
      </c>
      <c r="Q562" s="2" t="s">
        <v>33</v>
      </c>
      <c r="R562" s="2" t="s">
        <v>3943</v>
      </c>
      <c r="S562" s="2" t="s">
        <v>1681</v>
      </c>
      <c r="T562" s="2" t="s">
        <v>2561</v>
      </c>
      <c r="U562" s="2" t="s">
        <v>2562</v>
      </c>
      <c r="V562" s="2" t="s">
        <v>80</v>
      </c>
    </row>
    <row r="563" spans="1:22">
      <c r="A563" s="2" t="s">
        <v>433</v>
      </c>
      <c r="B563" s="2" t="s">
        <v>3939</v>
      </c>
      <c r="C563" s="2" t="s">
        <v>3940</v>
      </c>
      <c r="D563" s="2">
        <v>2025</v>
      </c>
      <c r="E563" s="3">
        <v>45717</v>
      </c>
      <c r="F563" s="2" t="s">
        <v>2392</v>
      </c>
      <c r="G563" s="2">
        <v>36</v>
      </c>
      <c r="H563" s="2">
        <v>2</v>
      </c>
      <c r="I563" s="2" t="s">
        <v>3941</v>
      </c>
      <c r="J563" s="2" t="s">
        <v>2394</v>
      </c>
      <c r="K563" s="2" t="s">
        <v>392</v>
      </c>
      <c r="L563" s="2" t="s">
        <v>773</v>
      </c>
      <c r="M563" s="2" t="s">
        <v>1948</v>
      </c>
      <c r="N563" s="2" t="s">
        <v>2156</v>
      </c>
      <c r="O563" s="2" t="s">
        <v>3438</v>
      </c>
      <c r="P563" s="2" t="s">
        <v>3942</v>
      </c>
      <c r="Q563" s="2" t="s">
        <v>33</v>
      </c>
      <c r="R563" s="2" t="s">
        <v>3943</v>
      </c>
      <c r="S563" s="2" t="s">
        <v>1681</v>
      </c>
      <c r="T563" s="2" t="s">
        <v>2561</v>
      </c>
      <c r="U563" s="2" t="s">
        <v>2562</v>
      </c>
      <c r="V563" s="2" t="s">
        <v>80</v>
      </c>
    </row>
    <row r="564" spans="1:22">
      <c r="A564" s="2" t="s">
        <v>1916</v>
      </c>
      <c r="B564" s="2" t="s">
        <v>3939</v>
      </c>
      <c r="C564" s="2" t="s">
        <v>3940</v>
      </c>
      <c r="D564" s="2">
        <v>2025</v>
      </c>
      <c r="E564" s="3">
        <v>45717</v>
      </c>
      <c r="F564" s="2" t="s">
        <v>2392</v>
      </c>
      <c r="G564" s="2">
        <v>36</v>
      </c>
      <c r="H564" s="2">
        <v>2</v>
      </c>
      <c r="I564" s="2" t="s">
        <v>3941</v>
      </c>
      <c r="J564" s="2" t="s">
        <v>2394</v>
      </c>
      <c r="K564" s="2" t="s">
        <v>392</v>
      </c>
      <c r="L564" s="2" t="s">
        <v>773</v>
      </c>
      <c r="M564" s="2" t="s">
        <v>1948</v>
      </c>
      <c r="N564" s="2" t="s">
        <v>2156</v>
      </c>
      <c r="O564" s="2" t="s">
        <v>3438</v>
      </c>
      <c r="P564" s="2" t="s">
        <v>3942</v>
      </c>
      <c r="Q564" s="2" t="s">
        <v>33</v>
      </c>
      <c r="R564" s="2" t="s">
        <v>3943</v>
      </c>
      <c r="S564" s="2" t="s">
        <v>1681</v>
      </c>
      <c r="T564" s="2" t="s">
        <v>2561</v>
      </c>
      <c r="U564" s="2" t="s">
        <v>2562</v>
      </c>
      <c r="V564" s="2" t="s">
        <v>80</v>
      </c>
    </row>
    <row r="565" spans="1:22">
      <c r="A565" s="2" t="s">
        <v>3910</v>
      </c>
      <c r="B565" s="2" t="s">
        <v>3939</v>
      </c>
      <c r="C565" s="2" t="s">
        <v>3940</v>
      </c>
      <c r="D565" s="2">
        <v>2025</v>
      </c>
      <c r="E565" s="3">
        <v>45717</v>
      </c>
      <c r="F565" s="2" t="s">
        <v>2392</v>
      </c>
      <c r="G565" s="2">
        <v>36</v>
      </c>
      <c r="H565" s="2">
        <v>2</v>
      </c>
      <c r="I565" s="2" t="s">
        <v>3941</v>
      </c>
      <c r="J565" s="2" t="s">
        <v>2394</v>
      </c>
      <c r="K565" s="2" t="s">
        <v>392</v>
      </c>
      <c r="L565" s="2" t="s">
        <v>773</v>
      </c>
      <c r="M565" s="2" t="s">
        <v>1948</v>
      </c>
      <c r="N565" s="2" t="s">
        <v>2156</v>
      </c>
      <c r="O565" s="2" t="s">
        <v>3438</v>
      </c>
      <c r="P565" s="2" t="s">
        <v>3942</v>
      </c>
      <c r="Q565" s="2" t="s">
        <v>33</v>
      </c>
      <c r="R565" s="2" t="s">
        <v>3943</v>
      </c>
      <c r="S565" s="2" t="s">
        <v>1681</v>
      </c>
      <c r="T565" s="2" t="s">
        <v>2561</v>
      </c>
      <c r="U565" s="2" t="s">
        <v>2562</v>
      </c>
      <c r="V565" s="2" t="s">
        <v>80</v>
      </c>
    </row>
    <row r="566" spans="1:22" ht="28.8">
      <c r="A566" s="2" t="s">
        <v>1369</v>
      </c>
      <c r="B566" s="2" t="s">
        <v>3945</v>
      </c>
      <c r="C566" s="2" t="s">
        <v>3946</v>
      </c>
      <c r="D566" s="2">
        <v>2025</v>
      </c>
      <c r="E566" s="3">
        <v>45839</v>
      </c>
      <c r="F566" s="2" t="s">
        <v>3947</v>
      </c>
      <c r="G566" s="2">
        <v>82</v>
      </c>
      <c r="H566" s="2">
        <v>4</v>
      </c>
      <c r="I566" s="2" t="s">
        <v>3948</v>
      </c>
      <c r="J566" s="2" t="s">
        <v>3949</v>
      </c>
      <c r="K566" s="2" t="s">
        <v>3950</v>
      </c>
      <c r="L566" s="2" t="s">
        <v>1867</v>
      </c>
      <c r="M566" s="2" t="s">
        <v>904</v>
      </c>
      <c r="N566" s="2" t="s">
        <v>3951</v>
      </c>
      <c r="O566" s="2" t="s">
        <v>3952</v>
      </c>
      <c r="P566" s="2" t="s">
        <v>3953</v>
      </c>
      <c r="Q566" s="2" t="s">
        <v>33</v>
      </c>
      <c r="R566" s="2" t="s">
        <v>3954</v>
      </c>
      <c r="S566" s="2" t="s">
        <v>3955</v>
      </c>
      <c r="T566" s="2" t="s">
        <v>3956</v>
      </c>
      <c r="U566" s="2" t="s">
        <v>3957</v>
      </c>
      <c r="V566" s="2" t="s">
        <v>3958</v>
      </c>
    </row>
    <row r="567" spans="1:22">
      <c r="A567" s="2" t="s">
        <v>3959</v>
      </c>
      <c r="B567" s="2" t="s">
        <v>3960</v>
      </c>
      <c r="C567" s="2" t="s">
        <v>3961</v>
      </c>
      <c r="D567" s="2">
        <v>2025</v>
      </c>
      <c r="E567" s="3">
        <v>45778</v>
      </c>
      <c r="F567" s="2" t="s">
        <v>3962</v>
      </c>
      <c r="G567" s="2">
        <v>32</v>
      </c>
      <c r="H567" s="2">
        <v>5</v>
      </c>
      <c r="I567" s="2" t="s">
        <v>43</v>
      </c>
      <c r="J567" s="2" t="s">
        <v>3963</v>
      </c>
      <c r="K567" s="2" t="s">
        <v>61</v>
      </c>
      <c r="L567" s="2" t="s">
        <v>29</v>
      </c>
      <c r="M567" s="2" t="s">
        <v>667</v>
      </c>
      <c r="N567" s="2" t="s">
        <v>134</v>
      </c>
      <c r="O567" s="4">
        <v>1132</v>
      </c>
      <c r="P567" s="2" t="s">
        <v>3964</v>
      </c>
      <c r="Q567" s="2" t="s">
        <v>33</v>
      </c>
      <c r="R567" s="2" t="s">
        <v>3965</v>
      </c>
      <c r="S567" s="2" t="s">
        <v>3966</v>
      </c>
      <c r="T567" s="2" t="s">
        <v>3967</v>
      </c>
      <c r="U567" s="2" t="s">
        <v>3968</v>
      </c>
      <c r="V567" s="2" t="s">
        <v>621</v>
      </c>
    </row>
    <row r="568" spans="1:22">
      <c r="A568" s="2" t="s">
        <v>3969</v>
      </c>
      <c r="B568" s="2" t="s">
        <v>3960</v>
      </c>
      <c r="C568" s="2" t="s">
        <v>3961</v>
      </c>
      <c r="D568" s="2">
        <v>2025</v>
      </c>
      <c r="E568" s="3">
        <v>45778</v>
      </c>
      <c r="F568" s="2" t="s">
        <v>3962</v>
      </c>
      <c r="G568" s="2">
        <v>32</v>
      </c>
      <c r="H568" s="2">
        <v>5</v>
      </c>
      <c r="I568" s="2" t="s">
        <v>43</v>
      </c>
      <c r="J568" s="2" t="s">
        <v>3963</v>
      </c>
      <c r="K568" s="2" t="s">
        <v>61</v>
      </c>
      <c r="L568" s="2" t="s">
        <v>29</v>
      </c>
      <c r="M568" s="2" t="s">
        <v>667</v>
      </c>
      <c r="N568" s="2" t="s">
        <v>134</v>
      </c>
      <c r="O568" s="4">
        <v>1132</v>
      </c>
      <c r="P568" s="2" t="s">
        <v>3964</v>
      </c>
      <c r="Q568" s="2" t="s">
        <v>33</v>
      </c>
      <c r="R568" s="2" t="s">
        <v>3965</v>
      </c>
      <c r="S568" s="2" t="s">
        <v>3966</v>
      </c>
      <c r="T568" s="2" t="s">
        <v>3967</v>
      </c>
      <c r="U568" s="2" t="s">
        <v>3968</v>
      </c>
      <c r="V568" s="2" t="s">
        <v>621</v>
      </c>
    </row>
    <row r="569" spans="1:22">
      <c r="A569" s="2" t="s">
        <v>3970</v>
      </c>
      <c r="B569" s="2" t="s">
        <v>3971</v>
      </c>
      <c r="C569" s="2" t="s">
        <v>3972</v>
      </c>
      <c r="D569" s="2">
        <v>2025</v>
      </c>
      <c r="E569" s="3">
        <v>45658</v>
      </c>
      <c r="F569" s="2" t="s">
        <v>3973</v>
      </c>
      <c r="G569" s="2" t="s">
        <v>43</v>
      </c>
      <c r="H569" s="2">
        <v>41</v>
      </c>
      <c r="I569" s="2" t="s">
        <v>3974</v>
      </c>
      <c r="J569" s="2" t="s">
        <v>3975</v>
      </c>
      <c r="K569" s="2" t="s">
        <v>3976</v>
      </c>
      <c r="L569" s="2" t="s">
        <v>1867</v>
      </c>
      <c r="M569" s="2" t="s">
        <v>3357</v>
      </c>
      <c r="N569" s="2" t="s">
        <v>3977</v>
      </c>
      <c r="O569" s="2" t="s">
        <v>3978</v>
      </c>
      <c r="P569" s="2" t="s">
        <v>3979</v>
      </c>
      <c r="Q569" s="2" t="s">
        <v>33</v>
      </c>
      <c r="R569" s="2" t="s">
        <v>3980</v>
      </c>
      <c r="S569" s="2" t="s">
        <v>3981</v>
      </c>
      <c r="T569" s="2" t="s">
        <v>3982</v>
      </c>
      <c r="U569" s="2" t="s">
        <v>3983</v>
      </c>
      <c r="V569" s="2" t="s">
        <v>80</v>
      </c>
    </row>
    <row r="570" spans="1:22" ht="28.8">
      <c r="A570" s="2" t="s">
        <v>1723</v>
      </c>
      <c r="B570" s="2" t="s">
        <v>3984</v>
      </c>
      <c r="C570" s="2" t="s">
        <v>3985</v>
      </c>
      <c r="D570" s="2">
        <v>2025</v>
      </c>
      <c r="E570" s="3">
        <v>45901</v>
      </c>
      <c r="F570" s="2" t="s">
        <v>3986</v>
      </c>
      <c r="G570" s="2">
        <v>12</v>
      </c>
      <c r="H570" s="2">
        <v>5</v>
      </c>
      <c r="I570" s="2" t="s">
        <v>3987</v>
      </c>
      <c r="J570" s="2" t="s">
        <v>3988</v>
      </c>
      <c r="K570" s="2" t="s">
        <v>302</v>
      </c>
      <c r="L570" s="2" t="s">
        <v>29</v>
      </c>
      <c r="M570" s="2" t="s">
        <v>2613</v>
      </c>
      <c r="N570" s="2" t="s">
        <v>1473</v>
      </c>
      <c r="O570" s="4">
        <v>1066</v>
      </c>
      <c r="P570" s="2" t="s">
        <v>3989</v>
      </c>
      <c r="Q570" s="2" t="s">
        <v>33</v>
      </c>
      <c r="R570" s="2" t="s">
        <v>3990</v>
      </c>
      <c r="S570" s="2" t="s">
        <v>3991</v>
      </c>
      <c r="T570" s="2" t="s">
        <v>3992</v>
      </c>
      <c r="U570" s="2" t="s">
        <v>3993</v>
      </c>
      <c r="V570" s="2" t="s">
        <v>3994</v>
      </c>
    </row>
    <row r="571" spans="1:22">
      <c r="A571" s="2" t="s">
        <v>113</v>
      </c>
      <c r="B571" s="2" t="s">
        <v>3995</v>
      </c>
      <c r="C571" s="2" t="s">
        <v>3996</v>
      </c>
      <c r="D571" s="2">
        <v>2024</v>
      </c>
      <c r="E571" s="3">
        <v>45292</v>
      </c>
      <c r="F571" s="2" t="s">
        <v>3997</v>
      </c>
      <c r="G571" s="2">
        <v>32</v>
      </c>
      <c r="H571" s="2">
        <v>4</v>
      </c>
      <c r="I571" s="2" t="s">
        <v>3998</v>
      </c>
      <c r="J571" s="2" t="s">
        <v>3999</v>
      </c>
      <c r="K571" s="2" t="s">
        <v>4000</v>
      </c>
      <c r="L571" s="2" t="s">
        <v>29</v>
      </c>
      <c r="M571" s="2" t="s">
        <v>3475</v>
      </c>
      <c r="N571" s="2" t="s">
        <v>134</v>
      </c>
      <c r="O571" s="2" t="s">
        <v>4001</v>
      </c>
      <c r="P571" s="2" t="s">
        <v>4002</v>
      </c>
      <c r="Q571" s="2" t="s">
        <v>33</v>
      </c>
      <c r="R571" s="2" t="s">
        <v>4003</v>
      </c>
      <c r="S571" s="2" t="s">
        <v>4004</v>
      </c>
      <c r="T571" s="2" t="s">
        <v>4005</v>
      </c>
      <c r="U571" s="2" t="s">
        <v>4006</v>
      </c>
      <c r="V571" s="2" t="s">
        <v>4007</v>
      </c>
    </row>
    <row r="572" spans="1:22">
      <c r="A572" s="2" t="s">
        <v>2427</v>
      </c>
      <c r="B572" s="2" t="s">
        <v>4008</v>
      </c>
      <c r="C572" s="2" t="s">
        <v>4009</v>
      </c>
      <c r="D572" s="2">
        <v>2025</v>
      </c>
      <c r="E572" s="3">
        <v>45839</v>
      </c>
      <c r="F572" s="2" t="s">
        <v>1676</v>
      </c>
      <c r="G572" s="2">
        <v>35</v>
      </c>
      <c r="H572" s="2">
        <v>7</v>
      </c>
      <c r="I572" s="2" t="s">
        <v>4010</v>
      </c>
      <c r="J572" s="2" t="s">
        <v>1678</v>
      </c>
      <c r="K572" s="2" t="s">
        <v>1624</v>
      </c>
      <c r="L572" s="2" t="s">
        <v>29</v>
      </c>
      <c r="M572" s="2" t="s">
        <v>144</v>
      </c>
      <c r="N572" s="2" t="s">
        <v>76</v>
      </c>
      <c r="O572" s="4">
        <v>1058</v>
      </c>
      <c r="P572" s="2" t="s">
        <v>4011</v>
      </c>
      <c r="Q572" s="2" t="s">
        <v>3676</v>
      </c>
      <c r="R572" s="2" t="s">
        <v>4012</v>
      </c>
      <c r="S572" s="2" t="s">
        <v>4013</v>
      </c>
      <c r="T572" s="2" t="s">
        <v>4014</v>
      </c>
      <c r="U572" s="2" t="s">
        <v>4015</v>
      </c>
      <c r="V572" s="2" t="s">
        <v>80</v>
      </c>
    </row>
    <row r="573" spans="1:22">
      <c r="A573" s="2" t="s">
        <v>4016</v>
      </c>
      <c r="B573" s="2" t="s">
        <v>4008</v>
      </c>
      <c r="C573" s="2" t="s">
        <v>4009</v>
      </c>
      <c r="D573" s="2">
        <v>2025</v>
      </c>
      <c r="E573" s="3">
        <v>45839</v>
      </c>
      <c r="F573" s="2" t="s">
        <v>1676</v>
      </c>
      <c r="G573" s="2">
        <v>35</v>
      </c>
      <c r="H573" s="2">
        <v>7</v>
      </c>
      <c r="I573" s="2" t="s">
        <v>4010</v>
      </c>
      <c r="J573" s="2" t="s">
        <v>1678</v>
      </c>
      <c r="K573" s="2" t="s">
        <v>1624</v>
      </c>
      <c r="L573" s="2" t="s">
        <v>29</v>
      </c>
      <c r="M573" s="2" t="s">
        <v>144</v>
      </c>
      <c r="N573" s="2" t="s">
        <v>76</v>
      </c>
      <c r="O573" s="4">
        <v>1058</v>
      </c>
      <c r="P573" s="2" t="s">
        <v>4011</v>
      </c>
      <c r="Q573" s="2" t="s">
        <v>3676</v>
      </c>
      <c r="R573" s="2" t="s">
        <v>4012</v>
      </c>
      <c r="S573" s="2" t="s">
        <v>4013</v>
      </c>
      <c r="T573" s="2" t="s">
        <v>4014</v>
      </c>
      <c r="U573" s="2" t="s">
        <v>4015</v>
      </c>
      <c r="V573" s="2" t="s">
        <v>80</v>
      </c>
    </row>
    <row r="574" spans="1:22">
      <c r="A574" s="2" t="s">
        <v>4017</v>
      </c>
      <c r="B574" s="2" t="s">
        <v>4018</v>
      </c>
      <c r="C574" s="2" t="s">
        <v>4019</v>
      </c>
      <c r="D574" s="2">
        <v>2025</v>
      </c>
      <c r="E574" s="3">
        <v>45778</v>
      </c>
      <c r="F574" s="2" t="s">
        <v>2392</v>
      </c>
      <c r="G574" s="2">
        <v>36</v>
      </c>
      <c r="H574" s="2">
        <v>3</v>
      </c>
      <c r="I574" s="2" t="s">
        <v>4020</v>
      </c>
      <c r="J574" s="2" t="s">
        <v>2394</v>
      </c>
      <c r="K574" s="2" t="s">
        <v>392</v>
      </c>
      <c r="L574" s="2" t="s">
        <v>773</v>
      </c>
      <c r="M574" s="2" t="s">
        <v>1948</v>
      </c>
      <c r="N574" s="2" t="s">
        <v>2156</v>
      </c>
      <c r="O574" s="2" t="s">
        <v>3438</v>
      </c>
      <c r="P574" s="2" t="s">
        <v>4021</v>
      </c>
      <c r="Q574" s="2" t="s">
        <v>49</v>
      </c>
      <c r="R574" s="2" t="s">
        <v>4022</v>
      </c>
      <c r="S574" s="2" t="s">
        <v>1681</v>
      </c>
      <c r="T574" s="2" t="s">
        <v>2561</v>
      </c>
      <c r="U574" s="2" t="s">
        <v>2562</v>
      </c>
      <c r="V574" s="2" t="s">
        <v>80</v>
      </c>
    </row>
    <row r="575" spans="1:22">
      <c r="A575" s="2" t="s">
        <v>635</v>
      </c>
      <c r="B575" s="2" t="s">
        <v>4023</v>
      </c>
      <c r="C575" s="2" t="s">
        <v>4024</v>
      </c>
      <c r="D575" s="2">
        <v>2025</v>
      </c>
      <c r="E575" s="3">
        <v>45833</v>
      </c>
      <c r="F575" s="2" t="s">
        <v>3046</v>
      </c>
      <c r="G575" s="2">
        <v>96</v>
      </c>
      <c r="H575" s="2">
        <v>3</v>
      </c>
      <c r="I575" s="2" t="s">
        <v>4025</v>
      </c>
      <c r="J575" s="2" t="s">
        <v>3048</v>
      </c>
      <c r="K575" s="2" t="s">
        <v>3049</v>
      </c>
      <c r="L575" s="2" t="s">
        <v>1867</v>
      </c>
      <c r="M575" s="2" t="s">
        <v>1919</v>
      </c>
      <c r="N575" s="2" t="s">
        <v>3050</v>
      </c>
      <c r="O575" s="2" t="s">
        <v>3051</v>
      </c>
      <c r="P575" s="2" t="s">
        <v>4026</v>
      </c>
      <c r="Q575" s="2" t="s">
        <v>644</v>
      </c>
      <c r="R575" s="2" t="s">
        <v>4027</v>
      </c>
      <c r="S575" s="2" t="s">
        <v>79</v>
      </c>
      <c r="T575" s="2" t="s">
        <v>3054</v>
      </c>
      <c r="U575" s="2" t="s">
        <v>3055</v>
      </c>
      <c r="V575" s="2" t="s">
        <v>80</v>
      </c>
    </row>
    <row r="576" spans="1:22">
      <c r="A576" s="2" t="s">
        <v>4028</v>
      </c>
      <c r="B576" s="2" t="s">
        <v>4029</v>
      </c>
      <c r="C576" s="2" t="s">
        <v>4030</v>
      </c>
      <c r="D576" s="2">
        <v>2025</v>
      </c>
      <c r="E576" s="3">
        <v>45689</v>
      </c>
      <c r="F576" s="2" t="s">
        <v>4031</v>
      </c>
      <c r="G576" s="2">
        <v>68</v>
      </c>
      <c r="H576" s="2">
        <v>2</v>
      </c>
      <c r="I576" s="2" t="s">
        <v>4032</v>
      </c>
      <c r="J576" s="2" t="s">
        <v>4033</v>
      </c>
      <c r="K576" s="2" t="s">
        <v>43</v>
      </c>
      <c r="L576" s="2" t="s">
        <v>29</v>
      </c>
      <c r="M576" s="2" t="s">
        <v>2040</v>
      </c>
      <c r="N576" s="2" t="s">
        <v>1136</v>
      </c>
      <c r="O576" s="2" t="s">
        <v>4034</v>
      </c>
      <c r="P576" s="2" t="s">
        <v>4035</v>
      </c>
      <c r="Q576" s="2" t="s">
        <v>33</v>
      </c>
      <c r="R576" s="2" t="s">
        <v>4036</v>
      </c>
      <c r="S576" s="2" t="s">
        <v>4037</v>
      </c>
      <c r="T576" s="2" t="s">
        <v>4038</v>
      </c>
      <c r="U576" s="2" t="s">
        <v>4037</v>
      </c>
      <c r="V576" s="2" t="s">
        <v>80</v>
      </c>
    </row>
    <row r="577" spans="1:22">
      <c r="A577" s="2" t="s">
        <v>4039</v>
      </c>
      <c r="B577" s="2" t="s">
        <v>4040</v>
      </c>
      <c r="C577" s="2" t="s">
        <v>4041</v>
      </c>
      <c r="D577" s="2">
        <v>2025</v>
      </c>
      <c r="E577" s="3">
        <v>45809</v>
      </c>
      <c r="F577" s="2" t="s">
        <v>4042</v>
      </c>
      <c r="G577" s="2" t="s">
        <v>43</v>
      </c>
      <c r="H577" s="2">
        <v>62</v>
      </c>
      <c r="I577" s="2" t="s">
        <v>4043</v>
      </c>
      <c r="J577" s="2" t="s">
        <v>4044</v>
      </c>
      <c r="K577" s="2" t="s">
        <v>4045</v>
      </c>
      <c r="L577" s="2" t="s">
        <v>1867</v>
      </c>
      <c r="M577" s="2" t="s">
        <v>2203</v>
      </c>
      <c r="N577" s="2" t="s">
        <v>1473</v>
      </c>
      <c r="O577" s="2" t="s">
        <v>3051</v>
      </c>
      <c r="P577" s="2" t="s">
        <v>4046</v>
      </c>
      <c r="Q577" s="2" t="s">
        <v>33</v>
      </c>
      <c r="R577" s="2" t="s">
        <v>4047</v>
      </c>
      <c r="S577" s="2" t="s">
        <v>4048</v>
      </c>
      <c r="T577" s="2" t="s">
        <v>4049</v>
      </c>
      <c r="U577" s="2" t="s">
        <v>4050</v>
      </c>
      <c r="V577" s="2" t="s">
        <v>310</v>
      </c>
    </row>
    <row r="578" spans="1:22">
      <c r="A578" s="2" t="s">
        <v>4051</v>
      </c>
      <c r="B578" s="2" t="s">
        <v>4052</v>
      </c>
      <c r="C578" s="2" t="s">
        <v>4053</v>
      </c>
      <c r="D578" s="2">
        <v>2024</v>
      </c>
      <c r="E578" s="3">
        <v>45566</v>
      </c>
      <c r="F578" s="2" t="s">
        <v>4054</v>
      </c>
      <c r="G578" s="2">
        <v>30</v>
      </c>
      <c r="H578" s="2">
        <v>2</v>
      </c>
      <c r="I578" s="2" t="s">
        <v>4055</v>
      </c>
      <c r="J578" s="2" t="s">
        <v>4056</v>
      </c>
      <c r="K578" s="2" t="s">
        <v>4057</v>
      </c>
      <c r="L578" s="2" t="s">
        <v>1867</v>
      </c>
      <c r="M578" s="2" t="s">
        <v>2203</v>
      </c>
      <c r="N578" s="2" t="s">
        <v>4058</v>
      </c>
      <c r="O578" s="2" t="s">
        <v>4059</v>
      </c>
      <c r="P578" s="2" t="s">
        <v>4060</v>
      </c>
      <c r="Q578" s="2" t="s">
        <v>33</v>
      </c>
      <c r="R578" s="2" t="s">
        <v>4061</v>
      </c>
      <c r="S578" s="2" t="s">
        <v>4062</v>
      </c>
      <c r="T578" s="2" t="s">
        <v>4063</v>
      </c>
      <c r="U578" s="2" t="s">
        <v>4062</v>
      </c>
      <c r="V578" s="2" t="s">
        <v>80</v>
      </c>
    </row>
    <row r="579" spans="1:22">
      <c r="A579" s="2" t="s">
        <v>4064</v>
      </c>
      <c r="B579" s="2" t="s">
        <v>4065</v>
      </c>
      <c r="C579" s="2" t="s">
        <v>4066</v>
      </c>
      <c r="D579" s="2">
        <v>2024</v>
      </c>
      <c r="E579" s="3">
        <v>45352</v>
      </c>
      <c r="F579" s="2" t="s">
        <v>2392</v>
      </c>
      <c r="G579" s="2">
        <v>35</v>
      </c>
      <c r="H579" s="2">
        <v>2</v>
      </c>
      <c r="I579" s="2" t="s">
        <v>4067</v>
      </c>
      <c r="J579" s="2" t="s">
        <v>2394</v>
      </c>
      <c r="K579" s="2" t="s">
        <v>392</v>
      </c>
      <c r="L579" s="2" t="s">
        <v>773</v>
      </c>
      <c r="M579" s="2" t="s">
        <v>47</v>
      </c>
      <c r="N579" s="2" t="s">
        <v>2395</v>
      </c>
      <c r="O579" s="2" t="s">
        <v>2396</v>
      </c>
      <c r="P579" s="2" t="s">
        <v>4068</v>
      </c>
      <c r="Q579" s="2" t="s">
        <v>33</v>
      </c>
      <c r="R579" s="2" t="s">
        <v>4069</v>
      </c>
      <c r="S579" s="2" t="s">
        <v>1681</v>
      </c>
      <c r="T579" s="2" t="s">
        <v>2606</v>
      </c>
      <c r="U579" s="2" t="s">
        <v>1681</v>
      </c>
      <c r="V579" s="2" t="s">
        <v>80</v>
      </c>
    </row>
    <row r="580" spans="1:22">
      <c r="A580" s="2" t="s">
        <v>3434</v>
      </c>
      <c r="B580" s="2" t="s">
        <v>4070</v>
      </c>
      <c r="C580" s="2" t="s">
        <v>4071</v>
      </c>
      <c r="D580" s="2">
        <v>2024</v>
      </c>
      <c r="E580" s="3">
        <v>45352</v>
      </c>
      <c r="F580" s="2" t="s">
        <v>2392</v>
      </c>
      <c r="G580" s="2">
        <v>35</v>
      </c>
      <c r="H580" s="2">
        <v>2</v>
      </c>
      <c r="I580" s="2" t="s">
        <v>4072</v>
      </c>
      <c r="J580" s="2" t="s">
        <v>2394</v>
      </c>
      <c r="K580" s="2" t="s">
        <v>392</v>
      </c>
      <c r="L580" s="2" t="s">
        <v>773</v>
      </c>
      <c r="M580" s="2" t="s">
        <v>47</v>
      </c>
      <c r="N580" s="2" t="s">
        <v>2395</v>
      </c>
      <c r="O580" s="2" t="s">
        <v>2396</v>
      </c>
      <c r="P580" s="2" t="s">
        <v>4073</v>
      </c>
      <c r="Q580" s="2" t="s">
        <v>33</v>
      </c>
      <c r="R580" s="2" t="s">
        <v>4074</v>
      </c>
      <c r="S580" s="2" t="s">
        <v>3268</v>
      </c>
      <c r="T580" s="2" t="s">
        <v>4075</v>
      </c>
      <c r="U580" s="2" t="s">
        <v>4076</v>
      </c>
      <c r="V580" s="2" t="s">
        <v>80</v>
      </c>
    </row>
    <row r="581" spans="1:22">
      <c r="A581" s="2" t="s">
        <v>214</v>
      </c>
      <c r="B581" s="2" t="s">
        <v>4077</v>
      </c>
      <c r="C581" s="2" t="s">
        <v>4078</v>
      </c>
      <c r="D581" s="2">
        <v>2024</v>
      </c>
      <c r="E581" s="3">
        <v>45292</v>
      </c>
      <c r="F581" s="2" t="s">
        <v>473</v>
      </c>
      <c r="G581" s="2">
        <v>15</v>
      </c>
      <c r="H581" s="2" t="s">
        <v>43</v>
      </c>
      <c r="I581" s="2" t="s">
        <v>43</v>
      </c>
      <c r="J581" s="2" t="s">
        <v>474</v>
      </c>
      <c r="K581" s="2" t="s">
        <v>183</v>
      </c>
      <c r="L581" s="2" t="s">
        <v>29</v>
      </c>
      <c r="M581" s="2" t="s">
        <v>2248</v>
      </c>
      <c r="N581" s="2" t="s">
        <v>961</v>
      </c>
      <c r="O581" s="4">
        <v>1941</v>
      </c>
      <c r="P581" s="2" t="s">
        <v>4079</v>
      </c>
      <c r="Q581" s="2" t="s">
        <v>3843</v>
      </c>
      <c r="R581" s="2" t="s">
        <v>4080</v>
      </c>
      <c r="S581" s="2" t="s">
        <v>4081</v>
      </c>
      <c r="T581" s="2" t="s">
        <v>4082</v>
      </c>
      <c r="U581" s="2" t="s">
        <v>4083</v>
      </c>
      <c r="V581" s="2" t="s">
        <v>933</v>
      </c>
    </row>
    <row r="582" spans="1:22">
      <c r="A582" s="2" t="s">
        <v>996</v>
      </c>
      <c r="B582" s="2" t="s">
        <v>4077</v>
      </c>
      <c r="C582" s="2" t="s">
        <v>4078</v>
      </c>
      <c r="D582" s="2">
        <v>2024</v>
      </c>
      <c r="E582" s="3">
        <v>45292</v>
      </c>
      <c r="F582" s="2" t="s">
        <v>473</v>
      </c>
      <c r="G582" s="2">
        <v>15</v>
      </c>
      <c r="H582" s="2" t="s">
        <v>43</v>
      </c>
      <c r="I582" s="2" t="s">
        <v>43</v>
      </c>
      <c r="J582" s="2" t="s">
        <v>474</v>
      </c>
      <c r="K582" s="2" t="s">
        <v>183</v>
      </c>
      <c r="L582" s="2" t="s">
        <v>29</v>
      </c>
      <c r="M582" s="2" t="s">
        <v>2248</v>
      </c>
      <c r="N582" s="2" t="s">
        <v>961</v>
      </c>
      <c r="O582" s="4">
        <v>1941</v>
      </c>
      <c r="P582" s="2" t="s">
        <v>4079</v>
      </c>
      <c r="Q582" s="2" t="s">
        <v>3843</v>
      </c>
      <c r="R582" s="2" t="s">
        <v>4080</v>
      </c>
      <c r="S582" s="2" t="s">
        <v>4081</v>
      </c>
      <c r="T582" s="2" t="s">
        <v>4082</v>
      </c>
      <c r="U582" s="2" t="s">
        <v>4083</v>
      </c>
      <c r="V582" s="2" t="s">
        <v>933</v>
      </c>
    </row>
    <row r="583" spans="1:22">
      <c r="A583" s="2" t="s">
        <v>4084</v>
      </c>
      <c r="B583" s="2" t="s">
        <v>4085</v>
      </c>
      <c r="C583" s="2" t="s">
        <v>4086</v>
      </c>
      <c r="D583" s="2">
        <v>2025</v>
      </c>
      <c r="E583" s="3">
        <v>45658</v>
      </c>
      <c r="F583" s="2" t="s">
        <v>4087</v>
      </c>
      <c r="G583" s="2" t="s">
        <v>43</v>
      </c>
      <c r="H583" s="2" t="s">
        <v>43</v>
      </c>
      <c r="I583" s="2" t="s">
        <v>43</v>
      </c>
      <c r="J583" s="2" t="s">
        <v>43</v>
      </c>
      <c r="K583" s="2" t="s">
        <v>4088</v>
      </c>
      <c r="L583" s="2" t="s">
        <v>29</v>
      </c>
      <c r="M583" s="2" t="s">
        <v>43</v>
      </c>
      <c r="N583" s="2" t="s">
        <v>43</v>
      </c>
      <c r="O583" s="2" t="s">
        <v>43</v>
      </c>
      <c r="P583" s="2" t="s">
        <v>4089</v>
      </c>
      <c r="Q583" s="2" t="s">
        <v>2112</v>
      </c>
      <c r="R583" s="2" t="s">
        <v>4090</v>
      </c>
      <c r="S583" s="2" t="s">
        <v>4091</v>
      </c>
      <c r="T583" s="2" t="s">
        <v>4092</v>
      </c>
      <c r="U583" s="2" t="s">
        <v>4093</v>
      </c>
      <c r="V583" s="2" t="s">
        <v>4094</v>
      </c>
    </row>
    <row r="584" spans="1:22">
      <c r="A584" s="2" t="s">
        <v>3589</v>
      </c>
      <c r="B584" s="2" t="s">
        <v>4095</v>
      </c>
      <c r="C584" s="2" t="s">
        <v>4096</v>
      </c>
      <c r="D584" s="2">
        <v>2025</v>
      </c>
      <c r="E584" s="3">
        <v>45717</v>
      </c>
      <c r="F584" s="2" t="s">
        <v>2392</v>
      </c>
      <c r="G584" s="2">
        <v>36</v>
      </c>
      <c r="H584" s="2">
        <v>2</v>
      </c>
      <c r="I584" s="2" t="s">
        <v>4097</v>
      </c>
      <c r="J584" s="2" t="s">
        <v>2394</v>
      </c>
      <c r="K584" s="2" t="s">
        <v>392</v>
      </c>
      <c r="L584" s="2" t="s">
        <v>773</v>
      </c>
      <c r="M584" s="2" t="s">
        <v>1948</v>
      </c>
      <c r="N584" s="2" t="s">
        <v>2156</v>
      </c>
      <c r="O584" s="2" t="s">
        <v>3438</v>
      </c>
      <c r="P584" s="2" t="s">
        <v>4098</v>
      </c>
      <c r="Q584" s="2" t="s">
        <v>33</v>
      </c>
      <c r="R584" s="2" t="s">
        <v>4099</v>
      </c>
      <c r="S584" s="2" t="s">
        <v>1681</v>
      </c>
      <c r="T584" s="2" t="s">
        <v>2606</v>
      </c>
      <c r="U584" s="2" t="s">
        <v>1681</v>
      </c>
      <c r="V584" s="2" t="s">
        <v>80</v>
      </c>
    </row>
    <row r="585" spans="1:22">
      <c r="A585" s="2" t="s">
        <v>3588</v>
      </c>
      <c r="B585" s="2" t="s">
        <v>4095</v>
      </c>
      <c r="C585" s="2" t="s">
        <v>4096</v>
      </c>
      <c r="D585" s="2">
        <v>2025</v>
      </c>
      <c r="E585" s="3">
        <v>45717</v>
      </c>
      <c r="F585" s="2" t="s">
        <v>2392</v>
      </c>
      <c r="G585" s="2">
        <v>36</v>
      </c>
      <c r="H585" s="2">
        <v>2</v>
      </c>
      <c r="I585" s="2" t="s">
        <v>4097</v>
      </c>
      <c r="J585" s="2" t="s">
        <v>2394</v>
      </c>
      <c r="K585" s="2" t="s">
        <v>392</v>
      </c>
      <c r="L585" s="2" t="s">
        <v>773</v>
      </c>
      <c r="M585" s="2" t="s">
        <v>1948</v>
      </c>
      <c r="N585" s="2" t="s">
        <v>2156</v>
      </c>
      <c r="O585" s="2" t="s">
        <v>3438</v>
      </c>
      <c r="P585" s="2" t="s">
        <v>4098</v>
      </c>
      <c r="Q585" s="2" t="s">
        <v>33</v>
      </c>
      <c r="R585" s="2" t="s">
        <v>4099</v>
      </c>
      <c r="S585" s="2" t="s">
        <v>1681</v>
      </c>
      <c r="T585" s="2" t="s">
        <v>2606</v>
      </c>
      <c r="U585" s="2" t="s">
        <v>1681</v>
      </c>
      <c r="V585" s="2" t="s">
        <v>80</v>
      </c>
    </row>
    <row r="586" spans="1:22">
      <c r="A586" s="2" t="s">
        <v>2629</v>
      </c>
      <c r="B586" s="2" t="s">
        <v>4095</v>
      </c>
      <c r="C586" s="2" t="s">
        <v>4096</v>
      </c>
      <c r="D586" s="2">
        <v>2025</v>
      </c>
      <c r="E586" s="3">
        <v>45717</v>
      </c>
      <c r="F586" s="2" t="s">
        <v>2392</v>
      </c>
      <c r="G586" s="2">
        <v>36</v>
      </c>
      <c r="H586" s="2">
        <v>2</v>
      </c>
      <c r="I586" s="2" t="s">
        <v>4097</v>
      </c>
      <c r="J586" s="2" t="s">
        <v>2394</v>
      </c>
      <c r="K586" s="2" t="s">
        <v>392</v>
      </c>
      <c r="L586" s="2" t="s">
        <v>773</v>
      </c>
      <c r="M586" s="2" t="s">
        <v>1948</v>
      </c>
      <c r="N586" s="2" t="s">
        <v>2156</v>
      </c>
      <c r="O586" s="2" t="s">
        <v>3438</v>
      </c>
      <c r="P586" s="2" t="s">
        <v>4098</v>
      </c>
      <c r="Q586" s="2" t="s">
        <v>33</v>
      </c>
      <c r="R586" s="2" t="s">
        <v>4099</v>
      </c>
      <c r="S586" s="2" t="s">
        <v>1681</v>
      </c>
      <c r="T586" s="2" t="s">
        <v>2606</v>
      </c>
      <c r="U586" s="2" t="s">
        <v>1681</v>
      </c>
      <c r="V586" s="2" t="s">
        <v>80</v>
      </c>
    </row>
    <row r="587" spans="1:22">
      <c r="A587" s="2" t="s">
        <v>4100</v>
      </c>
      <c r="B587" s="2" t="s">
        <v>4101</v>
      </c>
      <c r="C587" s="2" t="s">
        <v>4102</v>
      </c>
      <c r="D587" s="2">
        <v>2024</v>
      </c>
      <c r="E587" s="3">
        <v>45536</v>
      </c>
      <c r="F587" s="2" t="s">
        <v>4103</v>
      </c>
      <c r="G587" s="2" t="s">
        <v>43</v>
      </c>
      <c r="H587" s="2">
        <v>65</v>
      </c>
      <c r="I587" s="2" t="s">
        <v>4104</v>
      </c>
      <c r="J587" s="2" t="s">
        <v>4105</v>
      </c>
      <c r="K587" s="2" t="s">
        <v>2768</v>
      </c>
      <c r="L587" s="2" t="s">
        <v>1867</v>
      </c>
      <c r="M587" s="2" t="s">
        <v>4106</v>
      </c>
      <c r="N587" s="2" t="s">
        <v>3134</v>
      </c>
      <c r="O587" s="2" t="s">
        <v>4107</v>
      </c>
      <c r="P587" s="2" t="s">
        <v>4108</v>
      </c>
      <c r="Q587" s="2" t="s">
        <v>33</v>
      </c>
      <c r="R587" s="2" t="s">
        <v>4109</v>
      </c>
      <c r="S587" s="2" t="s">
        <v>79</v>
      </c>
      <c r="T587" s="5">
        <v>601053680000000</v>
      </c>
      <c r="U587" s="2" t="s">
        <v>79</v>
      </c>
      <c r="V587" s="2" t="s">
        <v>80</v>
      </c>
    </row>
    <row r="588" spans="1:22">
      <c r="A588" s="2" t="s">
        <v>4110</v>
      </c>
      <c r="B588" s="2" t="s">
        <v>4111</v>
      </c>
      <c r="C588" s="2" t="s">
        <v>4112</v>
      </c>
      <c r="D588" s="2">
        <v>2024</v>
      </c>
      <c r="E588" s="3">
        <v>45474</v>
      </c>
      <c r="F588" s="2" t="s">
        <v>4113</v>
      </c>
      <c r="G588" s="2">
        <v>19</v>
      </c>
      <c r="H588" s="2">
        <v>37</v>
      </c>
      <c r="I588" s="2" t="s">
        <v>4114</v>
      </c>
      <c r="J588" s="2" t="s">
        <v>4115</v>
      </c>
      <c r="K588" s="2" t="s">
        <v>4116</v>
      </c>
      <c r="L588" s="2" t="s">
        <v>1867</v>
      </c>
      <c r="M588" s="2" t="s">
        <v>1919</v>
      </c>
      <c r="N588" s="2" t="s">
        <v>2797</v>
      </c>
      <c r="O588" s="2" t="s">
        <v>776</v>
      </c>
      <c r="P588" s="2" t="s">
        <v>43</v>
      </c>
      <c r="Q588" s="2" t="s">
        <v>33</v>
      </c>
      <c r="R588" s="2" t="s">
        <v>4117</v>
      </c>
      <c r="S588" s="2" t="s">
        <v>79</v>
      </c>
      <c r="T588" s="5">
        <v>601053680000000</v>
      </c>
      <c r="U588" s="2" t="s">
        <v>79</v>
      </c>
      <c r="V588" s="2" t="s">
        <v>80</v>
      </c>
    </row>
    <row r="589" spans="1:22">
      <c r="A589" s="2" t="s">
        <v>2935</v>
      </c>
      <c r="B589" s="2" t="s">
        <v>4118</v>
      </c>
      <c r="C589" s="2" t="s">
        <v>4119</v>
      </c>
      <c r="D589" s="2">
        <v>2025</v>
      </c>
      <c r="E589" s="3">
        <v>45658</v>
      </c>
      <c r="F589" s="2" t="s">
        <v>1676</v>
      </c>
      <c r="G589" s="2">
        <v>35</v>
      </c>
      <c r="H589" s="2">
        <v>1</v>
      </c>
      <c r="I589" s="2" t="s">
        <v>4120</v>
      </c>
      <c r="J589" s="2" t="s">
        <v>1678</v>
      </c>
      <c r="K589" s="2" t="s">
        <v>1624</v>
      </c>
      <c r="L589" s="2" t="s">
        <v>29</v>
      </c>
      <c r="M589" s="2" t="s">
        <v>144</v>
      </c>
      <c r="N589" s="2" t="s">
        <v>76</v>
      </c>
      <c r="O589" s="4">
        <v>1058</v>
      </c>
      <c r="P589" s="2" t="s">
        <v>4121</v>
      </c>
      <c r="Q589" s="2" t="s">
        <v>644</v>
      </c>
      <c r="R589" s="2" t="s">
        <v>4122</v>
      </c>
      <c r="S589" s="2" t="s">
        <v>79</v>
      </c>
      <c r="T589" s="2" t="s">
        <v>4123</v>
      </c>
      <c r="U589" s="2" t="s">
        <v>4124</v>
      </c>
      <c r="V589" s="2" t="s">
        <v>80</v>
      </c>
    </row>
    <row r="590" spans="1:22">
      <c r="A590" s="2" t="s">
        <v>1673</v>
      </c>
      <c r="B590" s="2" t="s">
        <v>4118</v>
      </c>
      <c r="C590" s="2" t="s">
        <v>4119</v>
      </c>
      <c r="D590" s="2">
        <v>2025</v>
      </c>
      <c r="E590" s="3">
        <v>45658</v>
      </c>
      <c r="F590" s="2" t="s">
        <v>1676</v>
      </c>
      <c r="G590" s="2">
        <v>35</v>
      </c>
      <c r="H590" s="2">
        <v>1</v>
      </c>
      <c r="I590" s="2" t="s">
        <v>4120</v>
      </c>
      <c r="J590" s="2" t="s">
        <v>1678</v>
      </c>
      <c r="K590" s="2" t="s">
        <v>1624</v>
      </c>
      <c r="L590" s="2" t="s">
        <v>29</v>
      </c>
      <c r="M590" s="2" t="s">
        <v>144</v>
      </c>
      <c r="N590" s="2" t="s">
        <v>76</v>
      </c>
      <c r="O590" s="4">
        <v>1058</v>
      </c>
      <c r="P590" s="2" t="s">
        <v>4121</v>
      </c>
      <c r="Q590" s="2" t="s">
        <v>644</v>
      </c>
      <c r="R590" s="2" t="s">
        <v>4122</v>
      </c>
      <c r="S590" s="2" t="s">
        <v>79</v>
      </c>
      <c r="T590" s="2" t="s">
        <v>4123</v>
      </c>
      <c r="U590" s="2" t="s">
        <v>4124</v>
      </c>
      <c r="V590" s="2" t="s">
        <v>80</v>
      </c>
    </row>
    <row r="591" spans="1:22">
      <c r="A591" s="2" t="s">
        <v>1282</v>
      </c>
      <c r="B591" s="2" t="s">
        <v>4118</v>
      </c>
      <c r="C591" s="2" t="s">
        <v>4119</v>
      </c>
      <c r="D591" s="2">
        <v>2025</v>
      </c>
      <c r="E591" s="3">
        <v>45658</v>
      </c>
      <c r="F591" s="2" t="s">
        <v>1676</v>
      </c>
      <c r="G591" s="2">
        <v>35</v>
      </c>
      <c r="H591" s="2">
        <v>1</v>
      </c>
      <c r="I591" s="2" t="s">
        <v>4120</v>
      </c>
      <c r="J591" s="2" t="s">
        <v>1678</v>
      </c>
      <c r="K591" s="2" t="s">
        <v>1624</v>
      </c>
      <c r="L591" s="2" t="s">
        <v>29</v>
      </c>
      <c r="M591" s="2" t="s">
        <v>144</v>
      </c>
      <c r="N591" s="2" t="s">
        <v>76</v>
      </c>
      <c r="O591" s="4">
        <v>1058</v>
      </c>
      <c r="P591" s="2" t="s">
        <v>4121</v>
      </c>
      <c r="Q591" s="2" t="s">
        <v>644</v>
      </c>
      <c r="R591" s="2" t="s">
        <v>4122</v>
      </c>
      <c r="S591" s="2" t="s">
        <v>79</v>
      </c>
      <c r="T591" s="2" t="s">
        <v>4123</v>
      </c>
      <c r="U591" s="2" t="s">
        <v>4124</v>
      </c>
      <c r="V591" s="2" t="s">
        <v>80</v>
      </c>
    </row>
    <row r="592" spans="1:22">
      <c r="A592" s="2" t="s">
        <v>4125</v>
      </c>
      <c r="B592" s="2" t="s">
        <v>4126</v>
      </c>
      <c r="C592" s="2" t="s">
        <v>4127</v>
      </c>
      <c r="D592" s="2">
        <v>2025</v>
      </c>
      <c r="E592" s="3">
        <v>45717</v>
      </c>
      <c r="F592" s="2" t="s">
        <v>4128</v>
      </c>
      <c r="G592" s="2">
        <v>22</v>
      </c>
      <c r="H592" s="2" t="s">
        <v>43</v>
      </c>
      <c r="I592" s="2" t="s">
        <v>43</v>
      </c>
      <c r="J592" s="2" t="s">
        <v>4129</v>
      </c>
      <c r="K592" s="2" t="s">
        <v>103</v>
      </c>
      <c r="L592" s="2" t="s">
        <v>29</v>
      </c>
      <c r="M592" s="2" t="s">
        <v>195</v>
      </c>
      <c r="N592" s="2" t="s">
        <v>1581</v>
      </c>
      <c r="O592" s="4">
        <v>1032</v>
      </c>
      <c r="P592" s="2" t="s">
        <v>4130</v>
      </c>
      <c r="Q592" s="2" t="s">
        <v>644</v>
      </c>
      <c r="R592" s="2" t="s">
        <v>4131</v>
      </c>
      <c r="S592" s="2" t="s">
        <v>1681</v>
      </c>
      <c r="T592" s="2" t="s">
        <v>4132</v>
      </c>
      <c r="U592" s="2" t="s">
        <v>4133</v>
      </c>
      <c r="V592" s="2" t="s">
        <v>621</v>
      </c>
    </row>
    <row r="593" spans="1:22">
      <c r="A593" s="2" t="s">
        <v>4134</v>
      </c>
      <c r="B593" s="2" t="s">
        <v>4126</v>
      </c>
      <c r="C593" s="2" t="s">
        <v>4127</v>
      </c>
      <c r="D593" s="2">
        <v>2025</v>
      </c>
      <c r="E593" s="3">
        <v>45717</v>
      </c>
      <c r="F593" s="2" t="s">
        <v>4128</v>
      </c>
      <c r="G593" s="2">
        <v>22</v>
      </c>
      <c r="H593" s="2" t="s">
        <v>43</v>
      </c>
      <c r="I593" s="2" t="s">
        <v>43</v>
      </c>
      <c r="J593" s="2" t="s">
        <v>4129</v>
      </c>
      <c r="K593" s="2" t="s">
        <v>103</v>
      </c>
      <c r="L593" s="2" t="s">
        <v>29</v>
      </c>
      <c r="M593" s="2" t="s">
        <v>195</v>
      </c>
      <c r="N593" s="2" t="s">
        <v>1581</v>
      </c>
      <c r="O593" s="4">
        <v>1032</v>
      </c>
      <c r="P593" s="2" t="s">
        <v>4130</v>
      </c>
      <c r="Q593" s="2" t="s">
        <v>644</v>
      </c>
      <c r="R593" s="2" t="s">
        <v>4131</v>
      </c>
      <c r="S593" s="2" t="s">
        <v>1681</v>
      </c>
      <c r="T593" s="2" t="s">
        <v>4132</v>
      </c>
      <c r="U593" s="2" t="s">
        <v>4133</v>
      </c>
      <c r="V593" s="2" t="s">
        <v>621</v>
      </c>
    </row>
    <row r="594" spans="1:22">
      <c r="A594" s="2" t="s">
        <v>1344</v>
      </c>
      <c r="B594" s="2" t="s">
        <v>4126</v>
      </c>
      <c r="C594" s="2" t="s">
        <v>4127</v>
      </c>
      <c r="D594" s="2">
        <v>2025</v>
      </c>
      <c r="E594" s="3">
        <v>45717</v>
      </c>
      <c r="F594" s="2" t="s">
        <v>4128</v>
      </c>
      <c r="G594" s="2">
        <v>22</v>
      </c>
      <c r="H594" s="2" t="s">
        <v>43</v>
      </c>
      <c r="I594" s="2" t="s">
        <v>43</v>
      </c>
      <c r="J594" s="2" t="s">
        <v>4129</v>
      </c>
      <c r="K594" s="2" t="s">
        <v>103</v>
      </c>
      <c r="L594" s="2" t="s">
        <v>29</v>
      </c>
      <c r="M594" s="2" t="s">
        <v>195</v>
      </c>
      <c r="N594" s="2" t="s">
        <v>1581</v>
      </c>
      <c r="O594" s="4">
        <v>1032</v>
      </c>
      <c r="P594" s="2" t="s">
        <v>4130</v>
      </c>
      <c r="Q594" s="2" t="s">
        <v>644</v>
      </c>
      <c r="R594" s="2" t="s">
        <v>4131</v>
      </c>
      <c r="S594" s="2" t="s">
        <v>1681</v>
      </c>
      <c r="T594" s="2" t="s">
        <v>4132</v>
      </c>
      <c r="U594" s="2" t="s">
        <v>4133</v>
      </c>
      <c r="V594" s="2" t="s">
        <v>621</v>
      </c>
    </row>
    <row r="595" spans="1:22">
      <c r="A595" s="2" t="s">
        <v>1916</v>
      </c>
      <c r="B595" s="2" t="s">
        <v>4126</v>
      </c>
      <c r="C595" s="2" t="s">
        <v>4127</v>
      </c>
      <c r="D595" s="2">
        <v>2025</v>
      </c>
      <c r="E595" s="3">
        <v>45717</v>
      </c>
      <c r="F595" s="2" t="s">
        <v>4128</v>
      </c>
      <c r="G595" s="2">
        <v>22</v>
      </c>
      <c r="H595" s="2" t="s">
        <v>43</v>
      </c>
      <c r="I595" s="2" t="s">
        <v>43</v>
      </c>
      <c r="J595" s="2" t="s">
        <v>4129</v>
      </c>
      <c r="K595" s="2" t="s">
        <v>103</v>
      </c>
      <c r="L595" s="2" t="s">
        <v>29</v>
      </c>
      <c r="M595" s="2" t="s">
        <v>195</v>
      </c>
      <c r="N595" s="2" t="s">
        <v>1581</v>
      </c>
      <c r="O595" s="4">
        <v>1032</v>
      </c>
      <c r="P595" s="2" t="s">
        <v>4130</v>
      </c>
      <c r="Q595" s="2" t="s">
        <v>644</v>
      </c>
      <c r="R595" s="2" t="s">
        <v>4131</v>
      </c>
      <c r="S595" s="2" t="s">
        <v>1681</v>
      </c>
      <c r="T595" s="2" t="s">
        <v>4132</v>
      </c>
      <c r="U595" s="2" t="s">
        <v>4133</v>
      </c>
      <c r="V595" s="2" t="s">
        <v>621</v>
      </c>
    </row>
    <row r="596" spans="1:22" ht="28.8">
      <c r="A596" s="2" t="s">
        <v>276</v>
      </c>
      <c r="B596" s="2" t="s">
        <v>4135</v>
      </c>
      <c r="C596" s="2" t="s">
        <v>4136</v>
      </c>
      <c r="D596" s="2">
        <v>2025</v>
      </c>
      <c r="E596" s="3">
        <v>45658</v>
      </c>
      <c r="F596" s="2" t="s">
        <v>4137</v>
      </c>
      <c r="G596" s="2" t="s">
        <v>43</v>
      </c>
      <c r="H596" s="2" t="s">
        <v>43</v>
      </c>
      <c r="I596" s="2" t="s">
        <v>43</v>
      </c>
      <c r="J596" s="2" t="s">
        <v>4138</v>
      </c>
      <c r="K596" s="2" t="s">
        <v>119</v>
      </c>
      <c r="L596" s="2" t="s">
        <v>29</v>
      </c>
      <c r="M596" s="2" t="s">
        <v>601</v>
      </c>
      <c r="N596" s="2" t="s">
        <v>961</v>
      </c>
      <c r="O596" s="2" t="s">
        <v>4139</v>
      </c>
      <c r="P596" s="2" t="s">
        <v>4140</v>
      </c>
      <c r="Q596" s="2" t="s">
        <v>2904</v>
      </c>
      <c r="R596" s="2" t="s">
        <v>4141</v>
      </c>
      <c r="S596" s="2" t="s">
        <v>4142</v>
      </c>
      <c r="T596" s="2" t="s">
        <v>4143</v>
      </c>
      <c r="U596" s="2" t="s">
        <v>4144</v>
      </c>
      <c r="V596" s="2" t="s">
        <v>4145</v>
      </c>
    </row>
    <row r="597" spans="1:22">
      <c r="A597" s="2" t="s">
        <v>4146</v>
      </c>
      <c r="B597" s="2" t="s">
        <v>4147</v>
      </c>
      <c r="C597" s="2" t="s">
        <v>4148</v>
      </c>
      <c r="D597" s="2">
        <v>2024</v>
      </c>
      <c r="E597" s="3">
        <v>45292</v>
      </c>
      <c r="F597" s="2" t="s">
        <v>4149</v>
      </c>
      <c r="G597" s="2" t="s">
        <v>43</v>
      </c>
      <c r="H597" s="2">
        <v>36</v>
      </c>
      <c r="I597" s="2" t="s">
        <v>4150</v>
      </c>
      <c r="J597" s="2" t="s">
        <v>4151</v>
      </c>
      <c r="K597" s="2" t="s">
        <v>4152</v>
      </c>
      <c r="L597" s="2" t="s">
        <v>773</v>
      </c>
      <c r="M597" s="2" t="s">
        <v>2423</v>
      </c>
      <c r="N597" s="2" t="s">
        <v>4153</v>
      </c>
      <c r="O597" s="2" t="s">
        <v>4154</v>
      </c>
      <c r="P597" s="2" t="s">
        <v>4155</v>
      </c>
      <c r="Q597" s="2" t="s">
        <v>33</v>
      </c>
      <c r="R597" s="2" t="s">
        <v>4156</v>
      </c>
      <c r="S597" s="2" t="s">
        <v>4157</v>
      </c>
      <c r="T597" s="2" t="s">
        <v>4158</v>
      </c>
      <c r="U597" s="2" t="s">
        <v>4157</v>
      </c>
      <c r="V597" s="2" t="s">
        <v>594</v>
      </c>
    </row>
    <row r="598" spans="1:22">
      <c r="A598" s="2" t="s">
        <v>386</v>
      </c>
      <c r="B598" s="2" t="s">
        <v>4159</v>
      </c>
      <c r="C598" s="2" t="s">
        <v>4160</v>
      </c>
      <c r="D598" s="2">
        <v>2024</v>
      </c>
      <c r="E598" s="3">
        <v>45413</v>
      </c>
      <c r="F598" s="2" t="s">
        <v>4161</v>
      </c>
      <c r="G598" s="2">
        <v>39</v>
      </c>
      <c r="H598" s="2">
        <v>5</v>
      </c>
      <c r="I598" s="2" t="s">
        <v>4162</v>
      </c>
      <c r="J598" s="2" t="s">
        <v>4163</v>
      </c>
      <c r="K598" s="2" t="s">
        <v>772</v>
      </c>
      <c r="L598" s="2" t="s">
        <v>4164</v>
      </c>
      <c r="M598" s="2" t="s">
        <v>3416</v>
      </c>
      <c r="N598" s="2" t="s">
        <v>4165</v>
      </c>
      <c r="O598" s="2" t="s">
        <v>4166</v>
      </c>
      <c r="P598" s="2" t="s">
        <v>4167</v>
      </c>
      <c r="Q598" s="2" t="s">
        <v>33</v>
      </c>
      <c r="R598" s="2" t="s">
        <v>4168</v>
      </c>
      <c r="S598" s="2" t="s">
        <v>398</v>
      </c>
      <c r="T598" s="2" t="s">
        <v>4169</v>
      </c>
      <c r="U598" s="2" t="s">
        <v>4170</v>
      </c>
      <c r="V598" s="2" t="s">
        <v>80</v>
      </c>
    </row>
    <row r="599" spans="1:22">
      <c r="A599" s="2" t="s">
        <v>4171</v>
      </c>
      <c r="B599" s="2" t="s">
        <v>4172</v>
      </c>
      <c r="C599" s="2" t="s">
        <v>4173</v>
      </c>
      <c r="D599" s="2">
        <v>2025</v>
      </c>
      <c r="E599" s="3">
        <v>45839</v>
      </c>
      <c r="F599" s="2" t="s">
        <v>4174</v>
      </c>
      <c r="G599" s="2">
        <v>58</v>
      </c>
      <c r="H599" s="2">
        <v>2</v>
      </c>
      <c r="I599" s="2" t="s">
        <v>4175</v>
      </c>
      <c r="J599" s="2" t="s">
        <v>4176</v>
      </c>
      <c r="K599" s="2" t="s">
        <v>2768</v>
      </c>
      <c r="L599" s="2" t="s">
        <v>1867</v>
      </c>
      <c r="M599" s="2" t="s">
        <v>2203</v>
      </c>
      <c r="N599" s="2" t="s">
        <v>1473</v>
      </c>
      <c r="O599" s="2" t="s">
        <v>4177</v>
      </c>
      <c r="P599" s="2" t="s">
        <v>4178</v>
      </c>
      <c r="Q599" s="2" t="s">
        <v>33</v>
      </c>
      <c r="R599" s="2" t="s">
        <v>4179</v>
      </c>
      <c r="S599" s="2" t="s">
        <v>511</v>
      </c>
      <c r="T599" s="2" t="s">
        <v>512</v>
      </c>
      <c r="U599" s="2" t="s">
        <v>511</v>
      </c>
      <c r="V599" s="2" t="s">
        <v>80</v>
      </c>
    </row>
    <row r="600" spans="1:22">
      <c r="A600" s="2" t="s">
        <v>39</v>
      </c>
      <c r="B600" s="2" t="s">
        <v>4180</v>
      </c>
      <c r="C600" s="2" t="s">
        <v>4181</v>
      </c>
      <c r="D600" s="2">
        <v>2025</v>
      </c>
      <c r="E600" s="3">
        <v>45809</v>
      </c>
      <c r="F600" s="2" t="s">
        <v>4182</v>
      </c>
      <c r="G600" s="2">
        <v>33</v>
      </c>
      <c r="H600" s="2">
        <v>6</v>
      </c>
      <c r="I600" s="2" t="s">
        <v>4183</v>
      </c>
      <c r="J600" s="2" t="s">
        <v>4184</v>
      </c>
      <c r="K600" s="2" t="s">
        <v>119</v>
      </c>
      <c r="L600" s="2" t="s">
        <v>29</v>
      </c>
      <c r="M600" s="2" t="s">
        <v>579</v>
      </c>
      <c r="N600" s="2" t="s">
        <v>281</v>
      </c>
      <c r="O600" s="4">
        <v>1765</v>
      </c>
      <c r="P600" s="2" t="s">
        <v>4185</v>
      </c>
      <c r="Q600" s="2" t="s">
        <v>2904</v>
      </c>
      <c r="R600" s="2" t="s">
        <v>4186</v>
      </c>
      <c r="S600" s="2" t="s">
        <v>4187</v>
      </c>
      <c r="T600" s="2" t="s">
        <v>4188</v>
      </c>
      <c r="U600" s="2" t="s">
        <v>4189</v>
      </c>
      <c r="V600" s="2" t="s">
        <v>621</v>
      </c>
    </row>
    <row r="601" spans="1:22">
      <c r="A601" s="2" t="s">
        <v>4190</v>
      </c>
      <c r="B601" s="2" t="s">
        <v>4191</v>
      </c>
      <c r="C601" s="2" t="s">
        <v>4192</v>
      </c>
      <c r="D601" s="2">
        <v>2025</v>
      </c>
      <c r="E601" s="3">
        <v>45839</v>
      </c>
      <c r="F601" s="2" t="s">
        <v>2419</v>
      </c>
      <c r="G601" s="2">
        <v>9</v>
      </c>
      <c r="H601" s="2">
        <v>2</v>
      </c>
      <c r="I601" s="2" t="s">
        <v>4193</v>
      </c>
      <c r="J601" s="2" t="s">
        <v>2421</v>
      </c>
      <c r="K601" s="2" t="s">
        <v>2422</v>
      </c>
      <c r="L601" s="2" t="s">
        <v>1867</v>
      </c>
      <c r="M601" s="2" t="s">
        <v>3357</v>
      </c>
      <c r="N601" s="2" t="s">
        <v>1488</v>
      </c>
      <c r="O601" s="2" t="s">
        <v>4194</v>
      </c>
      <c r="P601" s="2" t="s">
        <v>4195</v>
      </c>
      <c r="Q601" s="2" t="s">
        <v>33</v>
      </c>
      <c r="R601" s="2" t="s">
        <v>4196</v>
      </c>
      <c r="S601" s="2" t="s">
        <v>4197</v>
      </c>
      <c r="T601" s="2" t="s">
        <v>4198</v>
      </c>
      <c r="U601" s="2" t="s">
        <v>4199</v>
      </c>
      <c r="V601" s="2" t="s">
        <v>3927</v>
      </c>
    </row>
    <row r="602" spans="1:22">
      <c r="A602" s="2" t="s">
        <v>1355</v>
      </c>
      <c r="B602" s="2" t="s">
        <v>4200</v>
      </c>
      <c r="C602" s="2" t="s">
        <v>4201</v>
      </c>
      <c r="D602" s="2">
        <v>2024</v>
      </c>
      <c r="E602" s="3">
        <v>45292</v>
      </c>
      <c r="F602" s="2" t="s">
        <v>3692</v>
      </c>
      <c r="G602" s="2">
        <v>30</v>
      </c>
      <c r="H602" s="2">
        <v>1</v>
      </c>
      <c r="I602" s="2" t="s">
        <v>4202</v>
      </c>
      <c r="J602" s="2" t="s">
        <v>3694</v>
      </c>
      <c r="K602" s="2" t="s">
        <v>45</v>
      </c>
      <c r="L602" s="2" t="s">
        <v>29</v>
      </c>
      <c r="M602" s="2" t="s">
        <v>719</v>
      </c>
      <c r="N602" s="2" t="s">
        <v>827</v>
      </c>
      <c r="O602" s="2" t="s">
        <v>4203</v>
      </c>
      <c r="P602" s="2" t="s">
        <v>4204</v>
      </c>
      <c r="Q602" s="2" t="s">
        <v>33</v>
      </c>
      <c r="R602" s="2" t="s">
        <v>4205</v>
      </c>
      <c r="S602" s="2" t="s">
        <v>1681</v>
      </c>
      <c r="T602" s="2" t="s">
        <v>4206</v>
      </c>
      <c r="U602" s="2" t="s">
        <v>4207</v>
      </c>
      <c r="V602" s="2" t="s">
        <v>80</v>
      </c>
    </row>
    <row r="603" spans="1:22">
      <c r="A603" s="2" t="s">
        <v>3689</v>
      </c>
      <c r="B603" s="2" t="s">
        <v>4200</v>
      </c>
      <c r="C603" s="2" t="s">
        <v>4201</v>
      </c>
      <c r="D603" s="2">
        <v>2024</v>
      </c>
      <c r="E603" s="3">
        <v>45292</v>
      </c>
      <c r="F603" s="2" t="s">
        <v>3692</v>
      </c>
      <c r="G603" s="2">
        <v>30</v>
      </c>
      <c r="H603" s="2">
        <v>1</v>
      </c>
      <c r="I603" s="2" t="s">
        <v>4202</v>
      </c>
      <c r="J603" s="2" t="s">
        <v>3694</v>
      </c>
      <c r="K603" s="2" t="s">
        <v>45</v>
      </c>
      <c r="L603" s="2" t="s">
        <v>29</v>
      </c>
      <c r="M603" s="2" t="s">
        <v>719</v>
      </c>
      <c r="N603" s="2" t="s">
        <v>827</v>
      </c>
      <c r="O603" s="2" t="s">
        <v>4203</v>
      </c>
      <c r="P603" s="2" t="s">
        <v>4204</v>
      </c>
      <c r="Q603" s="2" t="s">
        <v>33</v>
      </c>
      <c r="R603" s="2" t="s">
        <v>4205</v>
      </c>
      <c r="S603" s="2" t="s">
        <v>1681</v>
      </c>
      <c r="T603" s="2" t="s">
        <v>4206</v>
      </c>
      <c r="U603" s="2" t="s">
        <v>4207</v>
      </c>
      <c r="V603" s="2" t="s">
        <v>80</v>
      </c>
    </row>
    <row r="604" spans="1:22">
      <c r="A604" s="2" t="s">
        <v>4208</v>
      </c>
      <c r="B604" s="2" t="s">
        <v>4209</v>
      </c>
      <c r="C604" s="2" t="s">
        <v>4210</v>
      </c>
      <c r="D604" s="2">
        <v>2024</v>
      </c>
      <c r="E604" s="3">
        <v>45292</v>
      </c>
      <c r="F604" s="2" t="s">
        <v>4211</v>
      </c>
      <c r="G604" s="2" t="s">
        <v>43</v>
      </c>
      <c r="H604" s="2">
        <v>1</v>
      </c>
      <c r="I604" s="2" t="s">
        <v>4212</v>
      </c>
      <c r="J604" s="2" t="s">
        <v>4213</v>
      </c>
      <c r="K604" s="2" t="s">
        <v>4214</v>
      </c>
      <c r="L604" s="2" t="s">
        <v>773</v>
      </c>
      <c r="M604" s="2" t="s">
        <v>3357</v>
      </c>
      <c r="N604" s="2" t="s">
        <v>2407</v>
      </c>
      <c r="O604" s="2" t="s">
        <v>2736</v>
      </c>
      <c r="P604" s="2" t="s">
        <v>4215</v>
      </c>
      <c r="Q604" s="2" t="s">
        <v>33</v>
      </c>
      <c r="R604" s="2" t="s">
        <v>4216</v>
      </c>
      <c r="S604" s="2" t="s">
        <v>4217</v>
      </c>
      <c r="T604" s="2" t="s">
        <v>4218</v>
      </c>
      <c r="U604" s="2" t="s">
        <v>4219</v>
      </c>
      <c r="V604" s="2" t="s">
        <v>80</v>
      </c>
    </row>
    <row r="605" spans="1:22">
      <c r="A605" s="2" t="s">
        <v>3689</v>
      </c>
      <c r="B605" s="2" t="s">
        <v>4220</v>
      </c>
      <c r="C605" s="2" t="s">
        <v>4221</v>
      </c>
      <c r="D605" s="2">
        <v>2024</v>
      </c>
      <c r="E605" s="3">
        <v>45413</v>
      </c>
      <c r="F605" s="2" t="s">
        <v>2392</v>
      </c>
      <c r="G605" s="2">
        <v>35</v>
      </c>
      <c r="H605" s="6">
        <v>46115</v>
      </c>
      <c r="I605" s="2" t="s">
        <v>4222</v>
      </c>
      <c r="J605" s="2" t="s">
        <v>2394</v>
      </c>
      <c r="K605" s="2" t="s">
        <v>392</v>
      </c>
      <c r="L605" s="2" t="s">
        <v>773</v>
      </c>
      <c r="M605" s="2" t="s">
        <v>47</v>
      </c>
      <c r="N605" s="2" t="s">
        <v>2395</v>
      </c>
      <c r="O605" s="2" t="s">
        <v>2396</v>
      </c>
      <c r="P605" s="2" t="s">
        <v>4223</v>
      </c>
      <c r="Q605" s="2" t="s">
        <v>33</v>
      </c>
      <c r="R605" s="2" t="s">
        <v>4224</v>
      </c>
      <c r="S605" s="2" t="s">
        <v>1681</v>
      </c>
      <c r="T605" s="2" t="s">
        <v>4225</v>
      </c>
      <c r="U605" s="2" t="s">
        <v>4226</v>
      </c>
      <c r="V605" s="2" t="s">
        <v>80</v>
      </c>
    </row>
    <row r="606" spans="1:22">
      <c r="A606" s="2" t="s">
        <v>4227</v>
      </c>
      <c r="B606" s="2" t="s">
        <v>4220</v>
      </c>
      <c r="C606" s="2" t="s">
        <v>4221</v>
      </c>
      <c r="D606" s="2">
        <v>2024</v>
      </c>
      <c r="E606" s="3">
        <v>45413</v>
      </c>
      <c r="F606" s="2" t="s">
        <v>2392</v>
      </c>
      <c r="G606" s="2">
        <v>35</v>
      </c>
      <c r="H606" s="6">
        <v>46115</v>
      </c>
      <c r="I606" s="2" t="s">
        <v>4222</v>
      </c>
      <c r="J606" s="2" t="s">
        <v>2394</v>
      </c>
      <c r="K606" s="2" t="s">
        <v>392</v>
      </c>
      <c r="L606" s="2" t="s">
        <v>773</v>
      </c>
      <c r="M606" s="2" t="s">
        <v>47</v>
      </c>
      <c r="N606" s="2" t="s">
        <v>2395</v>
      </c>
      <c r="O606" s="2" t="s">
        <v>2396</v>
      </c>
      <c r="P606" s="2" t="s">
        <v>4223</v>
      </c>
      <c r="Q606" s="2" t="s">
        <v>33</v>
      </c>
      <c r="R606" s="2" t="s">
        <v>4224</v>
      </c>
      <c r="S606" s="2" t="s">
        <v>1681</v>
      </c>
      <c r="T606" s="2" t="s">
        <v>4225</v>
      </c>
      <c r="U606" s="2" t="s">
        <v>4226</v>
      </c>
      <c r="V606" s="2" t="s">
        <v>80</v>
      </c>
    </row>
    <row r="607" spans="1:22">
      <c r="A607" s="2" t="s">
        <v>4228</v>
      </c>
      <c r="B607" s="2" t="s">
        <v>4220</v>
      </c>
      <c r="C607" s="2" t="s">
        <v>4221</v>
      </c>
      <c r="D607" s="2">
        <v>2024</v>
      </c>
      <c r="E607" s="3">
        <v>45413</v>
      </c>
      <c r="F607" s="2" t="s">
        <v>2392</v>
      </c>
      <c r="G607" s="2">
        <v>35</v>
      </c>
      <c r="H607" s="6">
        <v>46115</v>
      </c>
      <c r="I607" s="2" t="s">
        <v>4222</v>
      </c>
      <c r="J607" s="2" t="s">
        <v>2394</v>
      </c>
      <c r="K607" s="2" t="s">
        <v>392</v>
      </c>
      <c r="L607" s="2" t="s">
        <v>773</v>
      </c>
      <c r="M607" s="2" t="s">
        <v>47</v>
      </c>
      <c r="N607" s="2" t="s">
        <v>2395</v>
      </c>
      <c r="O607" s="2" t="s">
        <v>2396</v>
      </c>
      <c r="P607" s="2" t="s">
        <v>4223</v>
      </c>
      <c r="Q607" s="2" t="s">
        <v>33</v>
      </c>
      <c r="R607" s="2" t="s">
        <v>4224</v>
      </c>
      <c r="S607" s="2" t="s">
        <v>1681</v>
      </c>
      <c r="T607" s="2" t="s">
        <v>4225</v>
      </c>
      <c r="U607" s="2" t="s">
        <v>4226</v>
      </c>
      <c r="V607" s="2" t="s">
        <v>80</v>
      </c>
    </row>
    <row r="608" spans="1:22">
      <c r="A608" s="2" t="s">
        <v>4229</v>
      </c>
      <c r="B608" s="2" t="s">
        <v>4220</v>
      </c>
      <c r="C608" s="2" t="s">
        <v>4221</v>
      </c>
      <c r="D608" s="2">
        <v>2024</v>
      </c>
      <c r="E608" s="3">
        <v>45413</v>
      </c>
      <c r="F608" s="2" t="s">
        <v>2392</v>
      </c>
      <c r="G608" s="2">
        <v>35</v>
      </c>
      <c r="H608" s="6">
        <v>46115</v>
      </c>
      <c r="I608" s="2" t="s">
        <v>4222</v>
      </c>
      <c r="J608" s="2" t="s">
        <v>2394</v>
      </c>
      <c r="K608" s="2" t="s">
        <v>392</v>
      </c>
      <c r="L608" s="2" t="s">
        <v>773</v>
      </c>
      <c r="M608" s="2" t="s">
        <v>47</v>
      </c>
      <c r="N608" s="2" t="s">
        <v>2395</v>
      </c>
      <c r="O608" s="2" t="s">
        <v>2396</v>
      </c>
      <c r="P608" s="2" t="s">
        <v>4223</v>
      </c>
      <c r="Q608" s="2" t="s">
        <v>33</v>
      </c>
      <c r="R608" s="2" t="s">
        <v>4224</v>
      </c>
      <c r="S608" s="2" t="s">
        <v>1681</v>
      </c>
      <c r="T608" s="2" t="s">
        <v>4225</v>
      </c>
      <c r="U608" s="2" t="s">
        <v>4226</v>
      </c>
      <c r="V608" s="2" t="s">
        <v>80</v>
      </c>
    </row>
    <row r="609" spans="1:22">
      <c r="A609" s="2" t="s">
        <v>1051</v>
      </c>
      <c r="B609" s="2" t="s">
        <v>4230</v>
      </c>
      <c r="C609" s="2" t="s">
        <v>4231</v>
      </c>
      <c r="D609" s="2">
        <v>2024</v>
      </c>
      <c r="E609" s="3">
        <v>45292</v>
      </c>
      <c r="F609" s="2" t="s">
        <v>4232</v>
      </c>
      <c r="G609" s="2">
        <v>12</v>
      </c>
      <c r="H609" s="2" t="s">
        <v>43</v>
      </c>
      <c r="I609" s="2" t="s">
        <v>4233</v>
      </c>
      <c r="J609" s="2" t="s">
        <v>4234</v>
      </c>
      <c r="K609" s="2" t="s">
        <v>2893</v>
      </c>
      <c r="L609" s="2" t="s">
        <v>29</v>
      </c>
      <c r="M609" s="2" t="s">
        <v>75</v>
      </c>
      <c r="N609" s="2" t="s">
        <v>76</v>
      </c>
      <c r="O609" s="2" t="s">
        <v>4235</v>
      </c>
      <c r="P609" s="2" t="s">
        <v>4236</v>
      </c>
      <c r="Q609" s="2" t="s">
        <v>33</v>
      </c>
      <c r="R609" s="2" t="s">
        <v>4237</v>
      </c>
      <c r="S609" s="2" t="s">
        <v>4238</v>
      </c>
      <c r="T609" s="2" t="s">
        <v>4239</v>
      </c>
      <c r="U609" s="2" t="s">
        <v>4238</v>
      </c>
      <c r="V609" s="2" t="s">
        <v>80</v>
      </c>
    </row>
    <row r="610" spans="1:22">
      <c r="A610" s="2" t="s">
        <v>4240</v>
      </c>
      <c r="B610" s="2" t="s">
        <v>4241</v>
      </c>
      <c r="C610" s="2" t="s">
        <v>4242</v>
      </c>
      <c r="D610" s="2">
        <v>2024</v>
      </c>
      <c r="E610" s="3">
        <v>45566</v>
      </c>
      <c r="F610" s="2" t="s">
        <v>4243</v>
      </c>
      <c r="G610" s="2">
        <v>2024</v>
      </c>
      <c r="H610" s="2">
        <v>21</v>
      </c>
      <c r="I610" s="2" t="s">
        <v>4244</v>
      </c>
      <c r="J610" s="2" t="s">
        <v>4245</v>
      </c>
      <c r="K610" s="2" t="s">
        <v>4246</v>
      </c>
      <c r="L610" s="2" t="s">
        <v>1867</v>
      </c>
      <c r="M610" s="2" t="s">
        <v>3416</v>
      </c>
      <c r="N610" s="2" t="s">
        <v>4247</v>
      </c>
      <c r="O610" s="2" t="s">
        <v>4248</v>
      </c>
      <c r="P610" s="2" t="s">
        <v>43</v>
      </c>
      <c r="Q610" s="2" t="s">
        <v>33</v>
      </c>
      <c r="R610" s="2" t="s">
        <v>4249</v>
      </c>
      <c r="S610" s="2" t="s">
        <v>79</v>
      </c>
      <c r="T610" s="5">
        <v>601053680000000</v>
      </c>
      <c r="U610" s="2" t="s">
        <v>79</v>
      </c>
      <c r="V610" s="2" t="s">
        <v>80</v>
      </c>
    </row>
    <row r="611" spans="1:22">
      <c r="A611" s="2" t="s">
        <v>4250</v>
      </c>
      <c r="B611" s="2" t="s">
        <v>4251</v>
      </c>
      <c r="C611" s="2" t="s">
        <v>4252</v>
      </c>
      <c r="D611" s="2">
        <v>2025</v>
      </c>
      <c r="E611" s="3">
        <v>45658</v>
      </c>
      <c r="F611" s="2" t="s">
        <v>4253</v>
      </c>
      <c r="G611" s="2">
        <v>64</v>
      </c>
      <c r="H611" s="2" t="s">
        <v>43</v>
      </c>
      <c r="I611" s="2" t="s">
        <v>4254</v>
      </c>
      <c r="J611" s="2" t="s">
        <v>4255</v>
      </c>
      <c r="K611" s="2" t="s">
        <v>4256</v>
      </c>
      <c r="L611" s="2" t="s">
        <v>1867</v>
      </c>
      <c r="M611" s="2" t="s">
        <v>3357</v>
      </c>
      <c r="N611" s="2" t="s">
        <v>4257</v>
      </c>
      <c r="O611" s="2" t="s">
        <v>4258</v>
      </c>
      <c r="P611" s="2" t="s">
        <v>4259</v>
      </c>
      <c r="Q611" s="2" t="s">
        <v>33</v>
      </c>
      <c r="R611" s="2" t="s">
        <v>4260</v>
      </c>
      <c r="S611" s="2" t="s">
        <v>79</v>
      </c>
      <c r="T611" s="5">
        <v>601053680000000</v>
      </c>
      <c r="U611" s="2" t="s">
        <v>79</v>
      </c>
      <c r="V611" s="2" t="s">
        <v>80</v>
      </c>
    </row>
    <row r="612" spans="1:22">
      <c r="A612" s="2" t="s">
        <v>22</v>
      </c>
      <c r="B612" s="2" t="s">
        <v>4261</v>
      </c>
      <c r="C612" s="2" t="s">
        <v>4262</v>
      </c>
      <c r="D612" s="2">
        <v>2025</v>
      </c>
      <c r="E612" s="3">
        <v>45658</v>
      </c>
      <c r="F612" s="2" t="s">
        <v>4263</v>
      </c>
      <c r="G612" s="2" t="s">
        <v>43</v>
      </c>
      <c r="H612" s="2" t="s">
        <v>43</v>
      </c>
      <c r="I612" s="2" t="s">
        <v>4264</v>
      </c>
      <c r="J612" s="2" t="s">
        <v>43</v>
      </c>
      <c r="K612" s="2" t="s">
        <v>4265</v>
      </c>
      <c r="L612" s="2" t="s">
        <v>29</v>
      </c>
      <c r="M612" s="2" t="s">
        <v>43</v>
      </c>
      <c r="N612" s="2" t="s">
        <v>43</v>
      </c>
      <c r="O612" s="2" t="s">
        <v>43</v>
      </c>
      <c r="P612" s="2" t="s">
        <v>4266</v>
      </c>
      <c r="Q612" s="2" t="s">
        <v>1125</v>
      </c>
      <c r="R612" s="2" t="s">
        <v>4267</v>
      </c>
      <c r="S612" s="2" t="s">
        <v>4268</v>
      </c>
      <c r="T612" s="2" t="s">
        <v>4269</v>
      </c>
      <c r="U612" s="2" t="s">
        <v>4270</v>
      </c>
      <c r="V612" s="2" t="s">
        <v>4271</v>
      </c>
    </row>
    <row r="613" spans="1:22" ht="28.8">
      <c r="A613" s="2" t="s">
        <v>200</v>
      </c>
      <c r="B613" s="2" t="s">
        <v>4272</v>
      </c>
      <c r="C613" s="2" t="s">
        <v>4273</v>
      </c>
      <c r="D613" s="2">
        <v>2025</v>
      </c>
      <c r="E613" s="3">
        <v>45992</v>
      </c>
      <c r="F613" s="2" t="s">
        <v>4274</v>
      </c>
      <c r="G613" s="2">
        <v>13</v>
      </c>
      <c r="H613" s="2">
        <v>1</v>
      </c>
      <c r="I613" s="2" t="s">
        <v>43</v>
      </c>
      <c r="J613" s="2" t="s">
        <v>4275</v>
      </c>
      <c r="K613" s="2" t="s">
        <v>233</v>
      </c>
      <c r="L613" s="2" t="s">
        <v>29</v>
      </c>
      <c r="M613" s="2" t="s">
        <v>2040</v>
      </c>
      <c r="N613" s="2" t="s">
        <v>4276</v>
      </c>
      <c r="O613" s="4">
        <v>1127</v>
      </c>
      <c r="P613" s="2" t="s">
        <v>4277</v>
      </c>
      <c r="Q613" s="2" t="s">
        <v>33</v>
      </c>
      <c r="R613" s="2" t="s">
        <v>4278</v>
      </c>
      <c r="S613" s="2" t="s">
        <v>4279</v>
      </c>
      <c r="T613" s="2" t="s">
        <v>4280</v>
      </c>
      <c r="U613" s="2" t="s">
        <v>4281</v>
      </c>
      <c r="V613" s="2" t="s">
        <v>4282</v>
      </c>
    </row>
    <row r="614" spans="1:22">
      <c r="A614" s="2" t="s">
        <v>4283</v>
      </c>
      <c r="B614" s="2" t="s">
        <v>4284</v>
      </c>
      <c r="C614" s="2" t="s">
        <v>4285</v>
      </c>
      <c r="D614" s="2">
        <v>2025</v>
      </c>
      <c r="E614" s="3">
        <v>45838</v>
      </c>
      <c r="F614" s="2" t="s">
        <v>4286</v>
      </c>
      <c r="G614" s="2">
        <v>10</v>
      </c>
      <c r="H614" s="2">
        <v>19</v>
      </c>
      <c r="I614" s="2" t="s">
        <v>4287</v>
      </c>
      <c r="J614" s="2" t="s">
        <v>4288</v>
      </c>
      <c r="K614" s="2" t="s">
        <v>4289</v>
      </c>
      <c r="L614" s="2" t="s">
        <v>1867</v>
      </c>
      <c r="M614" s="2" t="s">
        <v>3416</v>
      </c>
      <c r="N614" s="2" t="s">
        <v>4153</v>
      </c>
      <c r="O614" s="2" t="s">
        <v>4290</v>
      </c>
      <c r="P614" s="2" t="s">
        <v>4291</v>
      </c>
      <c r="Q614" s="2" t="s">
        <v>33</v>
      </c>
      <c r="R614" s="2" t="s">
        <v>4292</v>
      </c>
      <c r="S614" s="2" t="s">
        <v>79</v>
      </c>
      <c r="T614" s="5">
        <v>601053680000000</v>
      </c>
      <c r="U614" s="2" t="s">
        <v>79</v>
      </c>
      <c r="V614" s="2" t="s">
        <v>80</v>
      </c>
    </row>
    <row r="615" spans="1:22">
      <c r="A615" s="2" t="s">
        <v>3074</v>
      </c>
      <c r="B615" s="2" t="s">
        <v>4293</v>
      </c>
      <c r="C615" s="2" t="s">
        <v>4294</v>
      </c>
      <c r="D615" s="2">
        <v>2025</v>
      </c>
      <c r="E615" s="3">
        <v>45717</v>
      </c>
      <c r="F615" s="2" t="s">
        <v>2392</v>
      </c>
      <c r="G615" s="2">
        <v>36</v>
      </c>
      <c r="H615" s="2">
        <v>2</v>
      </c>
      <c r="I615" s="2" t="s">
        <v>4295</v>
      </c>
      <c r="J615" s="2" t="s">
        <v>2394</v>
      </c>
      <c r="K615" s="2" t="s">
        <v>392</v>
      </c>
      <c r="L615" s="2" t="s">
        <v>773</v>
      </c>
      <c r="M615" s="2" t="s">
        <v>1948</v>
      </c>
      <c r="N615" s="2" t="s">
        <v>2156</v>
      </c>
      <c r="O615" s="2" t="s">
        <v>3438</v>
      </c>
      <c r="P615" s="2" t="s">
        <v>4296</v>
      </c>
      <c r="Q615" s="2" t="s">
        <v>644</v>
      </c>
      <c r="R615" s="2" t="s">
        <v>4297</v>
      </c>
      <c r="S615" s="2" t="s">
        <v>1681</v>
      </c>
      <c r="T615" s="2" t="s">
        <v>4298</v>
      </c>
      <c r="U615" s="2" t="s">
        <v>4299</v>
      </c>
      <c r="V615" s="2" t="s">
        <v>594</v>
      </c>
    </row>
    <row r="616" spans="1:22">
      <c r="A616" s="2" t="s">
        <v>4300</v>
      </c>
      <c r="B616" s="2" t="s">
        <v>4293</v>
      </c>
      <c r="C616" s="2" t="s">
        <v>4294</v>
      </c>
      <c r="D616" s="2">
        <v>2025</v>
      </c>
      <c r="E616" s="3">
        <v>45717</v>
      </c>
      <c r="F616" s="2" t="s">
        <v>2392</v>
      </c>
      <c r="G616" s="2">
        <v>36</v>
      </c>
      <c r="H616" s="2">
        <v>2</v>
      </c>
      <c r="I616" s="2" t="s">
        <v>4295</v>
      </c>
      <c r="J616" s="2" t="s">
        <v>2394</v>
      </c>
      <c r="K616" s="2" t="s">
        <v>392</v>
      </c>
      <c r="L616" s="2" t="s">
        <v>773</v>
      </c>
      <c r="M616" s="2" t="s">
        <v>1948</v>
      </c>
      <c r="N616" s="2" t="s">
        <v>2156</v>
      </c>
      <c r="O616" s="2" t="s">
        <v>3438</v>
      </c>
      <c r="P616" s="2" t="s">
        <v>4296</v>
      </c>
      <c r="Q616" s="2" t="s">
        <v>644</v>
      </c>
      <c r="R616" s="2" t="s">
        <v>4297</v>
      </c>
      <c r="S616" s="2" t="s">
        <v>1681</v>
      </c>
      <c r="T616" s="2" t="s">
        <v>4298</v>
      </c>
      <c r="U616" s="2" t="s">
        <v>4299</v>
      </c>
      <c r="V616" s="2" t="s">
        <v>594</v>
      </c>
    </row>
    <row r="617" spans="1:22">
      <c r="A617" s="2" t="s">
        <v>4301</v>
      </c>
      <c r="B617" s="2" t="s">
        <v>4302</v>
      </c>
      <c r="C617" s="2" t="s">
        <v>4303</v>
      </c>
      <c r="D617" s="2">
        <v>2025</v>
      </c>
      <c r="E617" s="3">
        <v>45901</v>
      </c>
      <c r="F617" s="2" t="s">
        <v>4304</v>
      </c>
      <c r="G617" s="2">
        <v>38</v>
      </c>
      <c r="H617" s="2">
        <v>3</v>
      </c>
      <c r="I617" s="2" t="s">
        <v>4305</v>
      </c>
      <c r="J617" s="2" t="s">
        <v>4306</v>
      </c>
      <c r="K617" s="2" t="s">
        <v>1624</v>
      </c>
      <c r="L617" s="2" t="s">
        <v>29</v>
      </c>
      <c r="M617" s="2" t="s">
        <v>184</v>
      </c>
      <c r="N617" s="2" t="s">
        <v>76</v>
      </c>
      <c r="O617" s="2" t="s">
        <v>4307</v>
      </c>
      <c r="P617" s="2" t="s">
        <v>4308</v>
      </c>
      <c r="Q617" s="2" t="s">
        <v>33</v>
      </c>
      <c r="R617" s="2" t="s">
        <v>4309</v>
      </c>
      <c r="S617" s="2" t="s">
        <v>646</v>
      </c>
      <c r="T617" s="2" t="s">
        <v>4310</v>
      </c>
      <c r="U617" s="2" t="s">
        <v>4311</v>
      </c>
      <c r="V617" s="2" t="s">
        <v>80</v>
      </c>
    </row>
    <row r="618" spans="1:22">
      <c r="A618" s="2" t="s">
        <v>4312</v>
      </c>
      <c r="B618" s="2" t="s">
        <v>4313</v>
      </c>
      <c r="C618" s="2" t="s">
        <v>4314</v>
      </c>
      <c r="D618" s="2">
        <v>2025</v>
      </c>
      <c r="E618" s="3">
        <v>45658</v>
      </c>
      <c r="F618" s="2" t="s">
        <v>4315</v>
      </c>
      <c r="G618" s="2">
        <v>63</v>
      </c>
      <c r="H618" s="2">
        <v>1</v>
      </c>
      <c r="I618" s="2" t="s">
        <v>4316</v>
      </c>
      <c r="J618" s="2" t="s">
        <v>4317</v>
      </c>
      <c r="K618" s="2" t="s">
        <v>4318</v>
      </c>
      <c r="L618" s="2" t="s">
        <v>29</v>
      </c>
      <c r="M618" s="2" t="s">
        <v>3357</v>
      </c>
      <c r="N618" s="2" t="s">
        <v>2460</v>
      </c>
      <c r="O618" s="2" t="s">
        <v>4107</v>
      </c>
      <c r="P618" s="2" t="s">
        <v>4319</v>
      </c>
      <c r="Q618" s="2" t="s">
        <v>33</v>
      </c>
      <c r="R618" s="2" t="s">
        <v>4320</v>
      </c>
      <c r="S618" s="2" t="s">
        <v>4321</v>
      </c>
      <c r="T618" s="2" t="s">
        <v>4322</v>
      </c>
      <c r="U618" s="2" t="s">
        <v>4321</v>
      </c>
      <c r="V618" s="2" t="s">
        <v>4323</v>
      </c>
    </row>
    <row r="619" spans="1:22">
      <c r="A619" s="2" t="s">
        <v>433</v>
      </c>
      <c r="B619" s="2" t="s">
        <v>4324</v>
      </c>
    </row>
    <row r="620" spans="1:22">
      <c r="A620" s="2" t="s">
        <v>560</v>
      </c>
      <c r="B620" s="2" t="s">
        <v>4325</v>
      </c>
      <c r="C620" s="2" t="s">
        <v>4326</v>
      </c>
      <c r="D620" s="2">
        <v>2025</v>
      </c>
      <c r="E620" s="3">
        <v>45658</v>
      </c>
      <c r="F620" s="2" t="s">
        <v>1372</v>
      </c>
      <c r="G620" s="2">
        <v>13</v>
      </c>
      <c r="H620" s="2" t="s">
        <v>43</v>
      </c>
      <c r="I620" s="2" t="s">
        <v>43</v>
      </c>
      <c r="J620" s="2" t="s">
        <v>1373</v>
      </c>
      <c r="K620" s="2" t="s">
        <v>183</v>
      </c>
      <c r="L620" s="2" t="s">
        <v>29</v>
      </c>
      <c r="M620" s="2" t="s">
        <v>2040</v>
      </c>
      <c r="N620" s="2" t="s">
        <v>1520</v>
      </c>
      <c r="O620" s="2" t="s">
        <v>2041</v>
      </c>
      <c r="P620" s="2" t="s">
        <v>4327</v>
      </c>
      <c r="Q620" s="2" t="s">
        <v>2904</v>
      </c>
      <c r="R620" s="2" t="s">
        <v>4328</v>
      </c>
      <c r="S620" s="2" t="s">
        <v>79</v>
      </c>
      <c r="T620" s="2" t="s">
        <v>4329</v>
      </c>
      <c r="U620" s="2" t="s">
        <v>4330</v>
      </c>
      <c r="V620" s="2" t="s">
        <v>3927</v>
      </c>
    </row>
    <row r="621" spans="1:22">
      <c r="A621" s="2" t="s">
        <v>3141</v>
      </c>
      <c r="B621" s="2" t="s">
        <v>4331</v>
      </c>
      <c r="C621" s="2" t="s">
        <v>4332</v>
      </c>
      <c r="D621" s="2">
        <v>2025</v>
      </c>
      <c r="E621" s="3">
        <v>45658</v>
      </c>
      <c r="F621" s="2" t="s">
        <v>4333</v>
      </c>
      <c r="G621" s="2">
        <v>41</v>
      </c>
      <c r="H621" s="2">
        <v>1</v>
      </c>
      <c r="I621" s="2" t="s">
        <v>4334</v>
      </c>
      <c r="J621" s="2" t="s">
        <v>4335</v>
      </c>
      <c r="K621" s="2" t="s">
        <v>4336</v>
      </c>
      <c r="L621" s="2" t="s">
        <v>1867</v>
      </c>
      <c r="M621" s="2" t="s">
        <v>3357</v>
      </c>
      <c r="N621" s="2" t="s">
        <v>4337</v>
      </c>
      <c r="O621" s="2" t="s">
        <v>4338</v>
      </c>
      <c r="P621" s="2" t="s">
        <v>4339</v>
      </c>
      <c r="Q621" s="2" t="s">
        <v>33</v>
      </c>
      <c r="R621" s="2" t="s">
        <v>4340</v>
      </c>
      <c r="S621" s="2" t="s">
        <v>4341</v>
      </c>
      <c r="T621" s="2" t="s">
        <v>4342</v>
      </c>
      <c r="U621" s="2" t="s">
        <v>4343</v>
      </c>
      <c r="V621" s="2" t="s">
        <v>1380</v>
      </c>
    </row>
    <row r="622" spans="1:22">
      <c r="A622" s="2" t="s">
        <v>4344</v>
      </c>
      <c r="B622" s="2" t="s">
        <v>4345</v>
      </c>
      <c r="C622" s="2" t="s">
        <v>4346</v>
      </c>
      <c r="D622" s="2">
        <v>2025</v>
      </c>
      <c r="E622" s="3">
        <v>45876</v>
      </c>
      <c r="F622" s="2" t="s">
        <v>4347</v>
      </c>
      <c r="G622" s="2">
        <v>28</v>
      </c>
      <c r="H622" s="2">
        <v>2</v>
      </c>
      <c r="I622" s="2" t="s">
        <v>4348</v>
      </c>
      <c r="J622" s="2" t="s">
        <v>4349</v>
      </c>
      <c r="K622" s="2" t="s">
        <v>4350</v>
      </c>
      <c r="L622" s="2" t="s">
        <v>1867</v>
      </c>
      <c r="M622" s="2" t="s">
        <v>3810</v>
      </c>
      <c r="N622" s="2" t="s">
        <v>4351</v>
      </c>
      <c r="O622" s="2" t="s">
        <v>4352</v>
      </c>
      <c r="P622" s="2" t="s">
        <v>4353</v>
      </c>
      <c r="Q622" s="2" t="s">
        <v>33</v>
      </c>
      <c r="R622" s="2" t="s">
        <v>4354</v>
      </c>
      <c r="S622" s="2" t="s">
        <v>79</v>
      </c>
      <c r="T622" s="5">
        <v>601053680000000</v>
      </c>
      <c r="U622" s="2" t="s">
        <v>79</v>
      </c>
      <c r="V622" s="2" t="s">
        <v>80</v>
      </c>
    </row>
    <row r="623" spans="1:22">
      <c r="A623" s="2" t="s">
        <v>2099</v>
      </c>
      <c r="B623" s="2" t="s">
        <v>4355</v>
      </c>
      <c r="C623" s="2" t="s">
        <v>4356</v>
      </c>
      <c r="D623" s="2">
        <v>2025</v>
      </c>
      <c r="E623" s="3">
        <v>45658</v>
      </c>
      <c r="F623" s="2" t="s">
        <v>4357</v>
      </c>
      <c r="G623" s="2" t="s">
        <v>43</v>
      </c>
      <c r="H623" s="2" t="s">
        <v>43</v>
      </c>
      <c r="I623" s="2" t="s">
        <v>43</v>
      </c>
      <c r="J623" s="2" t="s">
        <v>4358</v>
      </c>
      <c r="K623" s="2" t="s">
        <v>2893</v>
      </c>
      <c r="L623" s="2" t="s">
        <v>29</v>
      </c>
      <c r="M623" s="2" t="s">
        <v>43</v>
      </c>
      <c r="N623" s="2" t="s">
        <v>43</v>
      </c>
      <c r="O623" s="2" t="s">
        <v>43</v>
      </c>
      <c r="P623" s="2" t="s">
        <v>4359</v>
      </c>
      <c r="Q623" s="2" t="s">
        <v>2112</v>
      </c>
      <c r="R623" s="2" t="s">
        <v>4360</v>
      </c>
      <c r="S623" s="2" t="s">
        <v>3709</v>
      </c>
      <c r="T623" s="2" t="s">
        <v>4361</v>
      </c>
      <c r="U623" s="2" t="s">
        <v>4362</v>
      </c>
      <c r="V623" s="2" t="s">
        <v>80</v>
      </c>
    </row>
    <row r="624" spans="1:22" ht="43.2">
      <c r="A624" s="2" t="s">
        <v>4363</v>
      </c>
      <c r="B624" s="2" t="s">
        <v>4364</v>
      </c>
      <c r="C624" s="2" t="s">
        <v>4365</v>
      </c>
      <c r="D624" s="2">
        <v>2025</v>
      </c>
      <c r="E624" s="3">
        <v>45992</v>
      </c>
      <c r="F624" s="2" t="s">
        <v>4366</v>
      </c>
      <c r="G624" s="2">
        <v>40</v>
      </c>
      <c r="H624" s="2">
        <v>8</v>
      </c>
      <c r="I624" s="2" t="s">
        <v>4367</v>
      </c>
      <c r="J624" s="2" t="s">
        <v>4368</v>
      </c>
      <c r="K624" s="2" t="s">
        <v>3037</v>
      </c>
      <c r="L624" s="2" t="s">
        <v>29</v>
      </c>
      <c r="M624" s="2" t="s">
        <v>195</v>
      </c>
      <c r="N624" s="2" t="s">
        <v>1183</v>
      </c>
      <c r="O624" s="2" t="s">
        <v>4369</v>
      </c>
      <c r="P624" s="2" t="s">
        <v>4370</v>
      </c>
      <c r="Q624" s="2" t="s">
        <v>33</v>
      </c>
      <c r="R624" s="2" t="s">
        <v>4371</v>
      </c>
      <c r="S624" s="2" t="s">
        <v>4372</v>
      </c>
      <c r="T624" s="2" t="s">
        <v>4373</v>
      </c>
      <c r="U624" s="2" t="s">
        <v>4374</v>
      </c>
      <c r="V624" s="2" t="s">
        <v>4375</v>
      </c>
    </row>
    <row r="625" spans="1:22">
      <c r="A625" s="2" t="s">
        <v>4376</v>
      </c>
      <c r="B625" s="2" t="s">
        <v>4377</v>
      </c>
      <c r="C625" s="2" t="s">
        <v>4378</v>
      </c>
      <c r="D625" s="2">
        <v>2025</v>
      </c>
      <c r="E625" s="3">
        <v>45978</v>
      </c>
      <c r="F625" s="2" t="s">
        <v>4379</v>
      </c>
      <c r="G625" s="2">
        <v>13</v>
      </c>
      <c r="H625" s="2" t="s">
        <v>43</v>
      </c>
      <c r="I625" s="2" t="s">
        <v>43</v>
      </c>
      <c r="J625" s="2" t="s">
        <v>4380</v>
      </c>
      <c r="K625" s="2" t="s">
        <v>4381</v>
      </c>
      <c r="L625" s="2" t="s">
        <v>29</v>
      </c>
      <c r="M625" s="2" t="s">
        <v>4382</v>
      </c>
      <c r="N625" s="2" t="s">
        <v>961</v>
      </c>
      <c r="O625" s="2" t="s">
        <v>841</v>
      </c>
      <c r="P625" s="2" t="s">
        <v>4383</v>
      </c>
      <c r="Q625" s="2" t="s">
        <v>33</v>
      </c>
      <c r="R625" s="2" t="s">
        <v>4384</v>
      </c>
      <c r="S625" s="2" t="s">
        <v>4385</v>
      </c>
      <c r="T625" s="2" t="s">
        <v>4386</v>
      </c>
      <c r="U625" s="2" t="s">
        <v>4387</v>
      </c>
      <c r="V625" s="2" t="s">
        <v>594</v>
      </c>
    </row>
    <row r="626" spans="1:22">
      <c r="A626" s="2" t="s">
        <v>4388</v>
      </c>
      <c r="B626" s="2" t="s">
        <v>4377</v>
      </c>
      <c r="C626" s="2" t="s">
        <v>4378</v>
      </c>
      <c r="D626" s="2">
        <v>2025</v>
      </c>
      <c r="E626" s="3">
        <v>45978</v>
      </c>
      <c r="F626" s="2" t="s">
        <v>4379</v>
      </c>
      <c r="G626" s="2">
        <v>13</v>
      </c>
      <c r="H626" s="2" t="s">
        <v>43</v>
      </c>
      <c r="I626" s="2" t="s">
        <v>43</v>
      </c>
      <c r="J626" s="2" t="s">
        <v>4380</v>
      </c>
      <c r="K626" s="2" t="s">
        <v>4381</v>
      </c>
      <c r="L626" s="2" t="s">
        <v>29</v>
      </c>
      <c r="M626" s="2" t="s">
        <v>4382</v>
      </c>
      <c r="N626" s="2" t="s">
        <v>961</v>
      </c>
      <c r="O626" s="2" t="s">
        <v>841</v>
      </c>
      <c r="P626" s="2" t="s">
        <v>4383</v>
      </c>
      <c r="Q626" s="2" t="s">
        <v>33</v>
      </c>
      <c r="R626" s="2" t="s">
        <v>4384</v>
      </c>
      <c r="S626" s="2" t="s">
        <v>4385</v>
      </c>
      <c r="T626" s="2" t="s">
        <v>4386</v>
      </c>
      <c r="U626" s="2" t="s">
        <v>4387</v>
      </c>
      <c r="V626" s="2" t="s">
        <v>594</v>
      </c>
    </row>
    <row r="627" spans="1:22">
      <c r="A627" s="2" t="s">
        <v>4389</v>
      </c>
      <c r="B627" s="2" t="s">
        <v>4390</v>
      </c>
      <c r="C627" s="2" t="s">
        <v>4391</v>
      </c>
      <c r="D627" s="2">
        <v>2025</v>
      </c>
      <c r="E627" s="3">
        <v>45658</v>
      </c>
      <c r="F627" s="2" t="s">
        <v>2392</v>
      </c>
      <c r="G627" s="2">
        <v>36</v>
      </c>
      <c r="H627" s="2">
        <v>1</v>
      </c>
      <c r="I627" s="2" t="s">
        <v>4392</v>
      </c>
      <c r="J627" s="2" t="s">
        <v>2394</v>
      </c>
      <c r="K627" s="2" t="s">
        <v>392</v>
      </c>
      <c r="L627" s="2" t="s">
        <v>773</v>
      </c>
      <c r="M627" s="2" t="s">
        <v>1948</v>
      </c>
      <c r="N627" s="2" t="s">
        <v>2156</v>
      </c>
      <c r="O627" s="2" t="s">
        <v>3438</v>
      </c>
      <c r="P627" s="2" t="s">
        <v>4393</v>
      </c>
      <c r="Q627" s="2" t="s">
        <v>33</v>
      </c>
      <c r="R627" s="2" t="s">
        <v>4394</v>
      </c>
      <c r="S627" s="2" t="s">
        <v>1681</v>
      </c>
      <c r="T627" s="2" t="s">
        <v>2606</v>
      </c>
      <c r="U627" s="2" t="s">
        <v>1681</v>
      </c>
      <c r="V627" s="2" t="s">
        <v>80</v>
      </c>
    </row>
    <row r="628" spans="1:22">
      <c r="A628" s="2" t="s">
        <v>4395</v>
      </c>
      <c r="B628" s="2" t="s">
        <v>4390</v>
      </c>
      <c r="C628" s="2" t="s">
        <v>4391</v>
      </c>
      <c r="D628" s="2">
        <v>2025</v>
      </c>
      <c r="E628" s="3">
        <v>45658</v>
      </c>
      <c r="F628" s="2" t="s">
        <v>2392</v>
      </c>
      <c r="G628" s="2">
        <v>36</v>
      </c>
      <c r="H628" s="2">
        <v>1</v>
      </c>
      <c r="I628" s="2" t="s">
        <v>4392</v>
      </c>
      <c r="J628" s="2" t="s">
        <v>2394</v>
      </c>
      <c r="K628" s="2" t="s">
        <v>392</v>
      </c>
      <c r="L628" s="2" t="s">
        <v>773</v>
      </c>
      <c r="M628" s="2" t="s">
        <v>1948</v>
      </c>
      <c r="N628" s="2" t="s">
        <v>2156</v>
      </c>
      <c r="O628" s="2" t="s">
        <v>3438</v>
      </c>
      <c r="P628" s="2" t="s">
        <v>4393</v>
      </c>
      <c r="Q628" s="2" t="s">
        <v>33</v>
      </c>
      <c r="R628" s="2" t="s">
        <v>4394</v>
      </c>
      <c r="S628" s="2" t="s">
        <v>1681</v>
      </c>
      <c r="T628" s="2" t="s">
        <v>2606</v>
      </c>
      <c r="U628" s="2" t="s">
        <v>1681</v>
      </c>
      <c r="V628" s="2" t="s">
        <v>80</v>
      </c>
    </row>
    <row r="629" spans="1:22">
      <c r="A629" s="2" t="s">
        <v>4396</v>
      </c>
      <c r="B629" s="2" t="s">
        <v>4390</v>
      </c>
      <c r="C629" s="2" t="s">
        <v>4391</v>
      </c>
      <c r="D629" s="2">
        <v>2025</v>
      </c>
      <c r="E629" s="3">
        <v>45658</v>
      </c>
      <c r="F629" s="2" t="s">
        <v>2392</v>
      </c>
      <c r="G629" s="2">
        <v>36</v>
      </c>
      <c r="H629" s="2">
        <v>1</v>
      </c>
      <c r="I629" s="2" t="s">
        <v>4392</v>
      </c>
      <c r="J629" s="2" t="s">
        <v>2394</v>
      </c>
      <c r="K629" s="2" t="s">
        <v>392</v>
      </c>
      <c r="L629" s="2" t="s">
        <v>773</v>
      </c>
      <c r="M629" s="2" t="s">
        <v>1948</v>
      </c>
      <c r="N629" s="2" t="s">
        <v>2156</v>
      </c>
      <c r="O629" s="2" t="s">
        <v>3438</v>
      </c>
      <c r="P629" s="2" t="s">
        <v>4393</v>
      </c>
      <c r="Q629" s="2" t="s">
        <v>33</v>
      </c>
      <c r="R629" s="2" t="s">
        <v>4394</v>
      </c>
      <c r="S629" s="2" t="s">
        <v>1681</v>
      </c>
      <c r="T629" s="2" t="s">
        <v>2606</v>
      </c>
      <c r="U629" s="2" t="s">
        <v>1681</v>
      </c>
      <c r="V629" s="2" t="s">
        <v>80</v>
      </c>
    </row>
    <row r="630" spans="1:22">
      <c r="A630" s="2" t="s">
        <v>4397</v>
      </c>
      <c r="B630" s="2" t="s">
        <v>4390</v>
      </c>
      <c r="C630" s="2" t="s">
        <v>4391</v>
      </c>
      <c r="D630" s="2">
        <v>2025</v>
      </c>
      <c r="E630" s="3">
        <v>45658</v>
      </c>
      <c r="F630" s="2" t="s">
        <v>2392</v>
      </c>
      <c r="G630" s="2">
        <v>36</v>
      </c>
      <c r="H630" s="2">
        <v>1</v>
      </c>
      <c r="I630" s="2" t="s">
        <v>4392</v>
      </c>
      <c r="J630" s="2" t="s">
        <v>2394</v>
      </c>
      <c r="K630" s="2" t="s">
        <v>392</v>
      </c>
      <c r="L630" s="2" t="s">
        <v>773</v>
      </c>
      <c r="M630" s="2" t="s">
        <v>1948</v>
      </c>
      <c r="N630" s="2" t="s">
        <v>2156</v>
      </c>
      <c r="O630" s="2" t="s">
        <v>3438</v>
      </c>
      <c r="P630" s="2" t="s">
        <v>4393</v>
      </c>
      <c r="Q630" s="2" t="s">
        <v>33</v>
      </c>
      <c r="R630" s="2" t="s">
        <v>4394</v>
      </c>
      <c r="S630" s="2" t="s">
        <v>1681</v>
      </c>
      <c r="T630" s="2" t="s">
        <v>2606</v>
      </c>
      <c r="U630" s="2" t="s">
        <v>1681</v>
      </c>
      <c r="V630" s="2" t="s">
        <v>80</v>
      </c>
    </row>
    <row r="631" spans="1:22">
      <c r="A631" s="2" t="s">
        <v>4398</v>
      </c>
      <c r="B631" s="2" t="s">
        <v>4399</v>
      </c>
      <c r="C631" s="2" t="s">
        <v>4400</v>
      </c>
      <c r="D631" s="2">
        <v>2025</v>
      </c>
      <c r="E631" s="3">
        <v>45778</v>
      </c>
      <c r="F631" s="2" t="s">
        <v>2392</v>
      </c>
      <c r="G631" s="2">
        <v>36</v>
      </c>
      <c r="H631" s="2">
        <v>3</v>
      </c>
      <c r="I631" s="2" t="s">
        <v>4401</v>
      </c>
      <c r="J631" s="2" t="s">
        <v>2394</v>
      </c>
      <c r="K631" s="2" t="s">
        <v>392</v>
      </c>
      <c r="L631" s="2" t="s">
        <v>773</v>
      </c>
      <c r="M631" s="2" t="s">
        <v>1948</v>
      </c>
      <c r="N631" s="2" t="s">
        <v>2156</v>
      </c>
      <c r="O631" s="2" t="s">
        <v>3438</v>
      </c>
      <c r="P631" s="2" t="s">
        <v>4402</v>
      </c>
      <c r="Q631" s="2" t="s">
        <v>49</v>
      </c>
      <c r="R631" s="2" t="s">
        <v>4403</v>
      </c>
      <c r="S631" s="2" t="s">
        <v>1681</v>
      </c>
      <c r="T631" s="2" t="s">
        <v>4404</v>
      </c>
      <c r="U631" s="2" t="s">
        <v>4405</v>
      </c>
      <c r="V631" s="2" t="s">
        <v>3927</v>
      </c>
    </row>
    <row r="632" spans="1:22">
      <c r="A632" s="2" t="s">
        <v>4406</v>
      </c>
      <c r="B632" s="2" t="s">
        <v>4407</v>
      </c>
      <c r="C632" s="2" t="s">
        <v>4408</v>
      </c>
      <c r="D632" s="2">
        <v>2025</v>
      </c>
      <c r="E632" s="3">
        <v>45809</v>
      </c>
      <c r="F632" s="2" t="s">
        <v>2912</v>
      </c>
      <c r="G632" s="2">
        <v>52</v>
      </c>
      <c r="H632" s="2">
        <v>3</v>
      </c>
      <c r="I632" s="2" t="s">
        <v>4409</v>
      </c>
      <c r="J632" s="2" t="s">
        <v>2914</v>
      </c>
      <c r="K632" s="2" t="s">
        <v>2915</v>
      </c>
      <c r="L632" s="2" t="s">
        <v>1867</v>
      </c>
      <c r="M632" s="2" t="s">
        <v>47</v>
      </c>
      <c r="N632" s="2" t="s">
        <v>2916</v>
      </c>
      <c r="O632" s="2" t="s">
        <v>2917</v>
      </c>
      <c r="P632" s="2" t="s">
        <v>4410</v>
      </c>
      <c r="Q632" s="2" t="s">
        <v>644</v>
      </c>
      <c r="R632" s="2" t="s">
        <v>4411</v>
      </c>
      <c r="S632" s="2" t="s">
        <v>79</v>
      </c>
      <c r="T632" s="5">
        <v>601053680000000</v>
      </c>
      <c r="U632" s="2" t="s">
        <v>79</v>
      </c>
      <c r="V632" s="2" t="s">
        <v>80</v>
      </c>
    </row>
    <row r="633" spans="1:22">
      <c r="A633" s="2" t="s">
        <v>4412</v>
      </c>
      <c r="B633" s="2" t="s">
        <v>4407</v>
      </c>
      <c r="C633" s="2" t="s">
        <v>4408</v>
      </c>
      <c r="D633" s="2">
        <v>2025</v>
      </c>
      <c r="E633" s="3">
        <v>45809</v>
      </c>
      <c r="F633" s="2" t="s">
        <v>2912</v>
      </c>
      <c r="G633" s="2">
        <v>52</v>
      </c>
      <c r="H633" s="2">
        <v>3</v>
      </c>
      <c r="I633" s="2" t="s">
        <v>4409</v>
      </c>
      <c r="J633" s="2" t="s">
        <v>2914</v>
      </c>
      <c r="K633" s="2" t="s">
        <v>2915</v>
      </c>
      <c r="L633" s="2" t="s">
        <v>1867</v>
      </c>
      <c r="M633" s="2" t="s">
        <v>47</v>
      </c>
      <c r="N633" s="2" t="s">
        <v>2916</v>
      </c>
      <c r="O633" s="2" t="s">
        <v>2917</v>
      </c>
      <c r="P633" s="2" t="s">
        <v>4410</v>
      </c>
      <c r="Q633" s="2" t="s">
        <v>644</v>
      </c>
      <c r="R633" s="2" t="s">
        <v>4411</v>
      </c>
      <c r="S633" s="2" t="s">
        <v>79</v>
      </c>
      <c r="T633" s="5">
        <v>601053680000000</v>
      </c>
      <c r="U633" s="2" t="s">
        <v>79</v>
      </c>
      <c r="V633" s="2" t="s">
        <v>80</v>
      </c>
    </row>
    <row r="634" spans="1:22">
      <c r="A634" s="2" t="s">
        <v>4413</v>
      </c>
      <c r="B634" s="2" t="s">
        <v>4407</v>
      </c>
      <c r="C634" s="2" t="s">
        <v>4408</v>
      </c>
      <c r="D634" s="2">
        <v>2025</v>
      </c>
      <c r="E634" s="3">
        <v>45809</v>
      </c>
      <c r="F634" s="2" t="s">
        <v>2912</v>
      </c>
      <c r="G634" s="2">
        <v>52</v>
      </c>
      <c r="H634" s="2">
        <v>3</v>
      </c>
      <c r="I634" s="2" t="s">
        <v>4409</v>
      </c>
      <c r="J634" s="2" t="s">
        <v>2914</v>
      </c>
      <c r="K634" s="2" t="s">
        <v>2915</v>
      </c>
      <c r="L634" s="2" t="s">
        <v>1867</v>
      </c>
      <c r="M634" s="2" t="s">
        <v>47</v>
      </c>
      <c r="N634" s="2" t="s">
        <v>2916</v>
      </c>
      <c r="O634" s="2" t="s">
        <v>2917</v>
      </c>
      <c r="P634" s="2" t="s">
        <v>4410</v>
      </c>
      <c r="Q634" s="2" t="s">
        <v>644</v>
      </c>
      <c r="R634" s="2" t="s">
        <v>4411</v>
      </c>
      <c r="S634" s="2" t="s">
        <v>79</v>
      </c>
      <c r="T634" s="5">
        <v>601053680000000</v>
      </c>
      <c r="U634" s="2" t="s">
        <v>79</v>
      </c>
      <c r="V634" s="2" t="s">
        <v>80</v>
      </c>
    </row>
    <row r="635" spans="1:22" ht="28.8">
      <c r="A635" s="2" t="s">
        <v>4414</v>
      </c>
      <c r="B635" s="2" t="s">
        <v>4415</v>
      </c>
      <c r="C635" s="2" t="s">
        <v>4416</v>
      </c>
      <c r="D635" s="2">
        <v>2025</v>
      </c>
      <c r="E635" s="3">
        <v>45658</v>
      </c>
      <c r="F635" s="2" t="s">
        <v>4417</v>
      </c>
      <c r="G635" s="2">
        <v>328</v>
      </c>
      <c r="H635" s="2">
        <v>1</v>
      </c>
      <c r="I635" s="2" t="s">
        <v>4418</v>
      </c>
      <c r="J635" s="2" t="s">
        <v>4419</v>
      </c>
      <c r="K635" s="2" t="s">
        <v>2328</v>
      </c>
      <c r="L635" s="2" t="s">
        <v>29</v>
      </c>
      <c r="M635" s="2" t="s">
        <v>62</v>
      </c>
      <c r="N635" s="2" t="s">
        <v>281</v>
      </c>
      <c r="O635" s="4">
        <v>1822</v>
      </c>
      <c r="P635" s="2" t="s">
        <v>4420</v>
      </c>
      <c r="Q635" s="2" t="s">
        <v>33</v>
      </c>
      <c r="R635" s="2" t="s">
        <v>4421</v>
      </c>
      <c r="S635" s="2" t="s">
        <v>4422</v>
      </c>
      <c r="T635" s="2" t="s">
        <v>4423</v>
      </c>
      <c r="U635" s="2" t="s">
        <v>4424</v>
      </c>
      <c r="V635" s="2" t="s">
        <v>4425</v>
      </c>
    </row>
    <row r="636" spans="1:22">
      <c r="A636" s="2" t="s">
        <v>4426</v>
      </c>
      <c r="B636" s="2" t="s">
        <v>4427</v>
      </c>
      <c r="C636" s="2" t="s">
        <v>4428</v>
      </c>
      <c r="D636" s="2">
        <v>2024</v>
      </c>
      <c r="E636" s="3">
        <v>45292</v>
      </c>
      <c r="F636" s="2" t="s">
        <v>4429</v>
      </c>
      <c r="G636" s="2">
        <v>3283</v>
      </c>
      <c r="H636" s="2" t="s">
        <v>43</v>
      </c>
      <c r="I636" s="2" t="s">
        <v>4430</v>
      </c>
      <c r="J636" s="2" t="s">
        <v>4431</v>
      </c>
      <c r="K636" s="2" t="s">
        <v>718</v>
      </c>
      <c r="L636" s="2" t="s">
        <v>29</v>
      </c>
      <c r="M636" s="2" t="s">
        <v>1919</v>
      </c>
      <c r="N636" s="2" t="s">
        <v>3427</v>
      </c>
      <c r="O636" s="2" t="s">
        <v>43</v>
      </c>
      <c r="P636" s="2" t="s">
        <v>4432</v>
      </c>
      <c r="Q636" s="2" t="s">
        <v>1125</v>
      </c>
      <c r="R636" s="2" t="s">
        <v>4433</v>
      </c>
      <c r="S636" s="2" t="s">
        <v>4434</v>
      </c>
      <c r="T636" s="2" t="s">
        <v>4435</v>
      </c>
      <c r="U636" s="2" t="s">
        <v>4434</v>
      </c>
      <c r="V636" s="2" t="s">
        <v>594</v>
      </c>
    </row>
    <row r="637" spans="1:22">
      <c r="A637" s="2" t="s">
        <v>4436</v>
      </c>
      <c r="B637" s="2" t="s">
        <v>4437</v>
      </c>
      <c r="C637" s="2" t="s">
        <v>4438</v>
      </c>
      <c r="D637" s="2">
        <v>2024</v>
      </c>
      <c r="E637" s="3">
        <v>45292</v>
      </c>
      <c r="F637" s="2" t="s">
        <v>4439</v>
      </c>
      <c r="G637" s="2">
        <v>76</v>
      </c>
      <c r="H637" s="2">
        <v>7</v>
      </c>
      <c r="I637" s="2" t="s">
        <v>4440</v>
      </c>
      <c r="J637" s="2" t="s">
        <v>4441</v>
      </c>
      <c r="K637" s="2" t="s">
        <v>666</v>
      </c>
      <c r="L637" s="2" t="s">
        <v>29</v>
      </c>
      <c r="M637" s="2" t="s">
        <v>4442</v>
      </c>
      <c r="N637" s="2" t="s">
        <v>464</v>
      </c>
      <c r="O637" s="4">
        <v>1521</v>
      </c>
      <c r="P637" s="2" t="s">
        <v>4443</v>
      </c>
      <c r="Q637" s="2" t="s">
        <v>33</v>
      </c>
      <c r="R637" s="2" t="s">
        <v>4444</v>
      </c>
      <c r="S637" s="2" t="s">
        <v>79</v>
      </c>
      <c r="T637" s="5">
        <v>601053680000000</v>
      </c>
      <c r="U637" s="2" t="s">
        <v>79</v>
      </c>
      <c r="V637" s="2" t="s">
        <v>80</v>
      </c>
    </row>
    <row r="638" spans="1:22">
      <c r="A638" s="2" t="s">
        <v>4445</v>
      </c>
      <c r="B638" s="2" t="s">
        <v>4437</v>
      </c>
      <c r="C638" s="2" t="s">
        <v>4438</v>
      </c>
      <c r="D638" s="2">
        <v>2024</v>
      </c>
      <c r="E638" s="3">
        <v>45292</v>
      </c>
      <c r="F638" s="2" t="s">
        <v>4439</v>
      </c>
      <c r="G638" s="2">
        <v>76</v>
      </c>
      <c r="H638" s="2">
        <v>7</v>
      </c>
      <c r="I638" s="2" t="s">
        <v>4440</v>
      </c>
      <c r="J638" s="2" t="s">
        <v>4441</v>
      </c>
      <c r="K638" s="2" t="s">
        <v>666</v>
      </c>
      <c r="L638" s="2" t="s">
        <v>29</v>
      </c>
      <c r="M638" s="2" t="s">
        <v>4442</v>
      </c>
      <c r="N638" s="2" t="s">
        <v>464</v>
      </c>
      <c r="O638" s="4">
        <v>1521</v>
      </c>
      <c r="P638" s="2" t="s">
        <v>4443</v>
      </c>
      <c r="Q638" s="2" t="s">
        <v>33</v>
      </c>
      <c r="R638" s="2" t="s">
        <v>4444</v>
      </c>
      <c r="S638" s="2" t="s">
        <v>79</v>
      </c>
      <c r="T638" s="5">
        <v>601053680000000</v>
      </c>
      <c r="U638" s="2" t="s">
        <v>79</v>
      </c>
      <c r="V638" s="2" t="s">
        <v>80</v>
      </c>
    </row>
    <row r="639" spans="1:22">
      <c r="A639" s="2" t="s">
        <v>3074</v>
      </c>
      <c r="B639" s="2" t="s">
        <v>4446</v>
      </c>
      <c r="C639" s="2" t="s">
        <v>4447</v>
      </c>
      <c r="D639" s="2">
        <v>2025</v>
      </c>
      <c r="E639" s="3">
        <v>45717</v>
      </c>
      <c r="F639" s="2" t="s">
        <v>2392</v>
      </c>
      <c r="G639" s="2">
        <v>36</v>
      </c>
      <c r="H639" s="2">
        <v>2</v>
      </c>
      <c r="I639" s="2" t="s">
        <v>4448</v>
      </c>
      <c r="J639" s="2" t="s">
        <v>2394</v>
      </c>
      <c r="K639" s="2" t="s">
        <v>392</v>
      </c>
      <c r="L639" s="2" t="s">
        <v>773</v>
      </c>
      <c r="M639" s="2" t="s">
        <v>1948</v>
      </c>
      <c r="N639" s="2" t="s">
        <v>2156</v>
      </c>
      <c r="O639" s="2" t="s">
        <v>3438</v>
      </c>
      <c r="P639" s="2" t="s">
        <v>4449</v>
      </c>
      <c r="Q639" s="2" t="s">
        <v>33</v>
      </c>
      <c r="R639" s="2" t="s">
        <v>4450</v>
      </c>
      <c r="S639" s="2" t="s">
        <v>1681</v>
      </c>
      <c r="T639" s="2" t="s">
        <v>2561</v>
      </c>
      <c r="U639" s="2" t="s">
        <v>2562</v>
      </c>
      <c r="V639" s="2" t="s">
        <v>80</v>
      </c>
    </row>
    <row r="640" spans="1:22">
      <c r="A640" s="2" t="s">
        <v>2099</v>
      </c>
      <c r="B640" s="2" t="s">
        <v>4451</v>
      </c>
      <c r="C640" s="2" t="s">
        <v>4452</v>
      </c>
      <c r="D640" s="2">
        <v>2025</v>
      </c>
      <c r="E640" s="3">
        <v>45658</v>
      </c>
      <c r="F640" s="2" t="s">
        <v>4453</v>
      </c>
      <c r="G640" s="2">
        <v>120</v>
      </c>
      <c r="H640" s="2" t="s">
        <v>43</v>
      </c>
      <c r="I640" s="2" t="s">
        <v>4454</v>
      </c>
      <c r="J640" s="2" t="s">
        <v>4455</v>
      </c>
      <c r="K640" s="2" t="s">
        <v>1624</v>
      </c>
      <c r="L640" s="2" t="s">
        <v>29</v>
      </c>
      <c r="M640" s="2" t="s">
        <v>304</v>
      </c>
      <c r="N640" s="2" t="s">
        <v>4456</v>
      </c>
      <c r="O640" s="2" t="s">
        <v>3428</v>
      </c>
      <c r="P640" s="2" t="s">
        <v>4457</v>
      </c>
      <c r="Q640" s="2" t="s">
        <v>1125</v>
      </c>
      <c r="R640" s="2" t="s">
        <v>4458</v>
      </c>
      <c r="S640" s="2" t="s">
        <v>79</v>
      </c>
      <c r="T640" s="5">
        <v>601053680000000</v>
      </c>
      <c r="U640" s="2" t="s">
        <v>79</v>
      </c>
      <c r="V640" s="2" t="s">
        <v>80</v>
      </c>
    </row>
    <row r="641" spans="1:22">
      <c r="A641" s="2" t="s">
        <v>4459</v>
      </c>
      <c r="B641" s="2" t="s">
        <v>4460</v>
      </c>
      <c r="C641" s="2" t="s">
        <v>4461</v>
      </c>
      <c r="D641" s="2">
        <v>2024</v>
      </c>
      <c r="E641" s="3">
        <v>45408</v>
      </c>
      <c r="F641" s="2" t="s">
        <v>4462</v>
      </c>
      <c r="G641" s="2">
        <v>8</v>
      </c>
      <c r="H641" s="2">
        <v>1</v>
      </c>
      <c r="I641" s="2" t="s">
        <v>4463</v>
      </c>
      <c r="J641" s="2" t="s">
        <v>4464</v>
      </c>
      <c r="K641" s="2" t="s">
        <v>4465</v>
      </c>
      <c r="L641" s="2" t="s">
        <v>1867</v>
      </c>
      <c r="M641" s="2" t="s">
        <v>43</v>
      </c>
      <c r="N641" s="2" t="s">
        <v>43</v>
      </c>
      <c r="O641" s="2" t="s">
        <v>43</v>
      </c>
      <c r="P641" s="2" t="s">
        <v>4466</v>
      </c>
      <c r="Q641" s="2" t="s">
        <v>33</v>
      </c>
      <c r="R641" s="2" t="s">
        <v>4467</v>
      </c>
      <c r="S641" s="2" t="s">
        <v>4468</v>
      </c>
      <c r="T641" s="2" t="s">
        <v>4469</v>
      </c>
      <c r="U641" s="2" t="s">
        <v>4470</v>
      </c>
      <c r="V641" s="2" t="s">
        <v>1380</v>
      </c>
    </row>
    <row r="642" spans="1:22">
      <c r="A642" s="2" t="s">
        <v>39</v>
      </c>
      <c r="B642" s="2" t="s">
        <v>4471</v>
      </c>
      <c r="C642" s="2" t="s">
        <v>4472</v>
      </c>
      <c r="D642" s="2">
        <v>2024</v>
      </c>
      <c r="E642" s="3">
        <v>45505</v>
      </c>
      <c r="F642" s="2" t="s">
        <v>2912</v>
      </c>
      <c r="G642" s="2">
        <v>51</v>
      </c>
      <c r="H642" s="2">
        <v>4</v>
      </c>
      <c r="I642" s="2" t="s">
        <v>4473</v>
      </c>
      <c r="J642" s="2" t="s">
        <v>2914</v>
      </c>
      <c r="K642" s="2" t="s">
        <v>2915</v>
      </c>
      <c r="L642" s="2" t="s">
        <v>1867</v>
      </c>
      <c r="M642" s="2" t="s">
        <v>2155</v>
      </c>
      <c r="N642" s="2" t="s">
        <v>3684</v>
      </c>
      <c r="O642" s="2" t="s">
        <v>3685</v>
      </c>
      <c r="P642" s="2" t="s">
        <v>4474</v>
      </c>
      <c r="Q642" s="2" t="s">
        <v>644</v>
      </c>
      <c r="R642" s="2" t="s">
        <v>4475</v>
      </c>
      <c r="S642" s="2" t="s">
        <v>1504</v>
      </c>
      <c r="T642" s="2" t="s">
        <v>4476</v>
      </c>
      <c r="U642" s="2" t="s">
        <v>4477</v>
      </c>
      <c r="V642" s="2" t="s">
        <v>621</v>
      </c>
    </row>
    <row r="643" spans="1:22">
      <c r="A643" s="2" t="s">
        <v>4478</v>
      </c>
      <c r="B643" s="2" t="s">
        <v>4479</v>
      </c>
      <c r="C643" s="2" t="s">
        <v>4480</v>
      </c>
      <c r="D643" s="2">
        <v>2025</v>
      </c>
      <c r="E643" s="3">
        <v>45658</v>
      </c>
      <c r="F643" s="2" t="s">
        <v>4481</v>
      </c>
      <c r="G643" s="2" t="s">
        <v>43</v>
      </c>
      <c r="H643" s="2">
        <v>70</v>
      </c>
      <c r="I643" s="2" t="s">
        <v>4482</v>
      </c>
      <c r="J643" s="2" t="s">
        <v>4483</v>
      </c>
      <c r="K643" s="2" t="s">
        <v>4484</v>
      </c>
      <c r="L643" s="2" t="s">
        <v>1867</v>
      </c>
      <c r="M643" s="2" t="s">
        <v>3810</v>
      </c>
      <c r="N643" s="2" t="s">
        <v>2156</v>
      </c>
      <c r="O643" s="2" t="s">
        <v>4485</v>
      </c>
      <c r="P643" s="2" t="s">
        <v>4486</v>
      </c>
      <c r="Q643" s="2" t="s">
        <v>33</v>
      </c>
      <c r="R643" s="2" t="s">
        <v>4487</v>
      </c>
      <c r="S643" s="2" t="s">
        <v>4488</v>
      </c>
      <c r="T643" s="2" t="s">
        <v>4489</v>
      </c>
      <c r="U643" s="2" t="s">
        <v>4490</v>
      </c>
      <c r="V643" s="2" t="s">
        <v>287</v>
      </c>
    </row>
    <row r="644" spans="1:22">
      <c r="A644" s="2" t="s">
        <v>3093</v>
      </c>
      <c r="B644" s="2" t="s">
        <v>4479</v>
      </c>
      <c r="C644" s="2" t="s">
        <v>4480</v>
      </c>
      <c r="D644" s="2">
        <v>2025</v>
      </c>
      <c r="E644" s="3">
        <v>45658</v>
      </c>
      <c r="F644" s="2" t="s">
        <v>4481</v>
      </c>
      <c r="G644" s="2" t="s">
        <v>43</v>
      </c>
      <c r="H644" s="2">
        <v>70</v>
      </c>
      <c r="I644" s="2" t="s">
        <v>4482</v>
      </c>
      <c r="J644" s="2" t="s">
        <v>4483</v>
      </c>
      <c r="K644" s="2" t="s">
        <v>4484</v>
      </c>
      <c r="L644" s="2" t="s">
        <v>1867</v>
      </c>
      <c r="M644" s="2" t="s">
        <v>3810</v>
      </c>
      <c r="N644" s="2" t="s">
        <v>2156</v>
      </c>
      <c r="O644" s="2" t="s">
        <v>4485</v>
      </c>
      <c r="P644" s="2" t="s">
        <v>4486</v>
      </c>
      <c r="Q644" s="2" t="s">
        <v>33</v>
      </c>
      <c r="R644" s="2" t="s">
        <v>4487</v>
      </c>
      <c r="S644" s="2" t="s">
        <v>4488</v>
      </c>
      <c r="T644" s="2" t="s">
        <v>4489</v>
      </c>
      <c r="U644" s="2" t="s">
        <v>4490</v>
      </c>
      <c r="V644" s="2" t="s">
        <v>287</v>
      </c>
    </row>
    <row r="645" spans="1:22">
      <c r="A645" s="2" t="s">
        <v>4491</v>
      </c>
      <c r="B645" s="2" t="s">
        <v>4492</v>
      </c>
      <c r="C645" s="2" t="s">
        <v>4493</v>
      </c>
      <c r="D645" s="2">
        <v>2025</v>
      </c>
      <c r="E645" s="3">
        <v>45809</v>
      </c>
      <c r="F645" s="2" t="s">
        <v>4494</v>
      </c>
      <c r="G645" s="2">
        <v>78</v>
      </c>
      <c r="H645" s="2">
        <v>1</v>
      </c>
      <c r="I645" s="2" t="s">
        <v>4495</v>
      </c>
      <c r="J645" s="2" t="s">
        <v>4496</v>
      </c>
      <c r="K645" s="2" t="s">
        <v>4497</v>
      </c>
      <c r="L645" s="2" t="s">
        <v>29</v>
      </c>
      <c r="M645" s="2" t="s">
        <v>393</v>
      </c>
      <c r="N645" s="2" t="s">
        <v>1488</v>
      </c>
      <c r="O645" s="2" t="s">
        <v>4498</v>
      </c>
      <c r="P645" s="2" t="s">
        <v>4499</v>
      </c>
      <c r="Q645" s="2" t="s">
        <v>33</v>
      </c>
      <c r="R645" s="2" t="s">
        <v>4500</v>
      </c>
      <c r="S645" s="2" t="s">
        <v>79</v>
      </c>
      <c r="T645" s="2" t="s">
        <v>4501</v>
      </c>
      <c r="U645" s="2" t="s">
        <v>4502</v>
      </c>
      <c r="V645" s="2" t="s">
        <v>80</v>
      </c>
    </row>
    <row r="646" spans="1:22">
      <c r="A646" s="2" t="s">
        <v>4503</v>
      </c>
      <c r="B646" s="2" t="s">
        <v>4492</v>
      </c>
      <c r="C646" s="2" t="s">
        <v>4493</v>
      </c>
      <c r="D646" s="2">
        <v>2025</v>
      </c>
      <c r="E646" s="3">
        <v>45809</v>
      </c>
      <c r="F646" s="2" t="s">
        <v>4494</v>
      </c>
      <c r="G646" s="2">
        <v>78</v>
      </c>
      <c r="H646" s="2">
        <v>1</v>
      </c>
      <c r="I646" s="2" t="s">
        <v>4495</v>
      </c>
      <c r="J646" s="2" t="s">
        <v>4496</v>
      </c>
      <c r="K646" s="2" t="s">
        <v>4497</v>
      </c>
      <c r="L646" s="2" t="s">
        <v>29</v>
      </c>
      <c r="M646" s="2" t="s">
        <v>393</v>
      </c>
      <c r="N646" s="2" t="s">
        <v>1488</v>
      </c>
      <c r="O646" s="2" t="s">
        <v>4498</v>
      </c>
      <c r="P646" s="2" t="s">
        <v>4499</v>
      </c>
      <c r="Q646" s="2" t="s">
        <v>33</v>
      </c>
      <c r="R646" s="2" t="s">
        <v>4500</v>
      </c>
      <c r="S646" s="2" t="s">
        <v>79</v>
      </c>
      <c r="T646" s="2" t="s">
        <v>4501</v>
      </c>
      <c r="U646" s="2" t="s">
        <v>4502</v>
      </c>
      <c r="V646" s="2" t="s">
        <v>80</v>
      </c>
    </row>
    <row r="647" spans="1:22">
      <c r="A647" s="2" t="s">
        <v>3959</v>
      </c>
      <c r="B647" s="2" t="s">
        <v>4492</v>
      </c>
      <c r="C647" s="2" t="s">
        <v>4493</v>
      </c>
      <c r="D647" s="2">
        <v>2025</v>
      </c>
      <c r="E647" s="3">
        <v>45809</v>
      </c>
      <c r="F647" s="2" t="s">
        <v>4494</v>
      </c>
      <c r="G647" s="2">
        <v>78</v>
      </c>
      <c r="H647" s="2">
        <v>1</v>
      </c>
      <c r="I647" s="2" t="s">
        <v>4495</v>
      </c>
      <c r="J647" s="2" t="s">
        <v>4496</v>
      </c>
      <c r="K647" s="2" t="s">
        <v>4497</v>
      </c>
      <c r="L647" s="2" t="s">
        <v>29</v>
      </c>
      <c r="M647" s="2" t="s">
        <v>393</v>
      </c>
      <c r="N647" s="2" t="s">
        <v>1488</v>
      </c>
      <c r="O647" s="2" t="s">
        <v>4498</v>
      </c>
      <c r="P647" s="2" t="s">
        <v>4499</v>
      </c>
      <c r="Q647" s="2" t="s">
        <v>33</v>
      </c>
      <c r="R647" s="2" t="s">
        <v>4500</v>
      </c>
      <c r="S647" s="2" t="s">
        <v>79</v>
      </c>
      <c r="T647" s="2" t="s">
        <v>4501</v>
      </c>
      <c r="U647" s="2" t="s">
        <v>4502</v>
      </c>
      <c r="V647" s="2" t="s">
        <v>80</v>
      </c>
    </row>
    <row r="648" spans="1:22">
      <c r="A648" s="2" t="s">
        <v>4504</v>
      </c>
      <c r="B648" s="2" t="s">
        <v>4505</v>
      </c>
      <c r="C648" s="2" t="s">
        <v>4506</v>
      </c>
      <c r="D648" s="2">
        <v>2024</v>
      </c>
      <c r="E648" s="3">
        <v>45292</v>
      </c>
      <c r="F648" s="2" t="s">
        <v>4149</v>
      </c>
      <c r="G648" s="2" t="s">
        <v>43</v>
      </c>
      <c r="H648" s="2">
        <v>36</v>
      </c>
      <c r="I648" s="2" t="s">
        <v>4507</v>
      </c>
      <c r="J648" s="2" t="s">
        <v>4151</v>
      </c>
      <c r="K648" s="2" t="s">
        <v>4152</v>
      </c>
      <c r="L648" s="2" t="s">
        <v>773</v>
      </c>
      <c r="M648" s="2" t="s">
        <v>2423</v>
      </c>
      <c r="N648" s="2" t="s">
        <v>4153</v>
      </c>
      <c r="O648" s="2" t="s">
        <v>4154</v>
      </c>
      <c r="P648" s="2" t="s">
        <v>4508</v>
      </c>
      <c r="Q648" s="2" t="s">
        <v>33</v>
      </c>
      <c r="R648" s="2" t="s">
        <v>4509</v>
      </c>
      <c r="S648" s="2" t="s">
        <v>4510</v>
      </c>
      <c r="T648" s="2" t="s">
        <v>4511</v>
      </c>
      <c r="U648" s="2" t="s">
        <v>4512</v>
      </c>
      <c r="V648" s="2" t="s">
        <v>621</v>
      </c>
    </row>
    <row r="649" spans="1:22">
      <c r="A649" s="2" t="s">
        <v>3141</v>
      </c>
      <c r="B649" s="2" t="s">
        <v>4513</v>
      </c>
      <c r="C649" s="2" t="s">
        <v>4514</v>
      </c>
      <c r="D649" s="2">
        <v>2024</v>
      </c>
      <c r="E649" s="3">
        <v>45505</v>
      </c>
      <c r="F649" s="2" t="s">
        <v>2912</v>
      </c>
      <c r="G649" s="2">
        <v>51</v>
      </c>
      <c r="H649" s="2">
        <v>4</v>
      </c>
      <c r="I649" s="2" t="s">
        <v>4515</v>
      </c>
      <c r="J649" s="2" t="s">
        <v>2914</v>
      </c>
      <c r="K649" s="2" t="s">
        <v>2915</v>
      </c>
      <c r="L649" s="2" t="s">
        <v>29</v>
      </c>
      <c r="M649" s="2" t="s">
        <v>2155</v>
      </c>
      <c r="N649" s="2" t="s">
        <v>3684</v>
      </c>
      <c r="O649" s="2" t="s">
        <v>3685</v>
      </c>
      <c r="P649" s="2" t="s">
        <v>4516</v>
      </c>
      <c r="Q649" s="2" t="s">
        <v>33</v>
      </c>
      <c r="R649" s="2" t="s">
        <v>4517</v>
      </c>
      <c r="S649" s="2" t="s">
        <v>4518</v>
      </c>
      <c r="T649" s="2" t="s">
        <v>4519</v>
      </c>
      <c r="U649" s="2" t="s">
        <v>4520</v>
      </c>
      <c r="V649" s="2" t="s">
        <v>80</v>
      </c>
    </row>
    <row r="650" spans="1:22">
      <c r="A650" s="2" t="s">
        <v>4521</v>
      </c>
      <c r="B650" s="2" t="s">
        <v>4522</v>
      </c>
      <c r="C650" s="2" t="s">
        <v>4523</v>
      </c>
      <c r="D650" s="2">
        <v>2025</v>
      </c>
      <c r="E650" s="3">
        <v>45778</v>
      </c>
      <c r="F650" s="2" t="s">
        <v>2392</v>
      </c>
      <c r="G650" s="2">
        <v>36</v>
      </c>
      <c r="H650" s="2">
        <v>3</v>
      </c>
      <c r="I650" s="2" t="s">
        <v>4524</v>
      </c>
      <c r="J650" s="2" t="s">
        <v>2394</v>
      </c>
      <c r="K650" s="2" t="s">
        <v>392</v>
      </c>
      <c r="L650" s="2" t="s">
        <v>773</v>
      </c>
      <c r="M650" s="2" t="s">
        <v>1948</v>
      </c>
      <c r="N650" s="2" t="s">
        <v>2156</v>
      </c>
      <c r="O650" s="2" t="s">
        <v>3438</v>
      </c>
      <c r="P650" s="2" t="s">
        <v>4525</v>
      </c>
      <c r="Q650" s="2" t="s">
        <v>49</v>
      </c>
      <c r="R650" s="2" t="s">
        <v>4526</v>
      </c>
      <c r="S650" s="2" t="s">
        <v>1681</v>
      </c>
      <c r="T650" s="2" t="s">
        <v>2561</v>
      </c>
      <c r="U650" s="2" t="s">
        <v>2562</v>
      </c>
      <c r="V650" s="2" t="s">
        <v>80</v>
      </c>
    </row>
    <row r="651" spans="1:22">
      <c r="A651" s="2" t="s">
        <v>1012</v>
      </c>
      <c r="B651" s="2" t="s">
        <v>4527</v>
      </c>
      <c r="C651" s="2" t="s">
        <v>4528</v>
      </c>
      <c r="D651" s="2">
        <v>2025</v>
      </c>
      <c r="E651" s="3">
        <v>45658</v>
      </c>
      <c r="F651" s="2" t="s">
        <v>1304</v>
      </c>
      <c r="G651" s="2">
        <v>16</v>
      </c>
      <c r="H651" s="2" t="s">
        <v>43</v>
      </c>
      <c r="I651" s="2" t="s">
        <v>43</v>
      </c>
      <c r="J651" s="2" t="s">
        <v>1305</v>
      </c>
      <c r="K651" s="2" t="s">
        <v>183</v>
      </c>
      <c r="L651" s="2" t="s">
        <v>29</v>
      </c>
      <c r="M651" s="2" t="s">
        <v>373</v>
      </c>
      <c r="N651" s="2" t="s">
        <v>76</v>
      </c>
      <c r="O651" s="4">
        <v>1248</v>
      </c>
      <c r="P651" s="2" t="s">
        <v>4529</v>
      </c>
      <c r="Q651" s="2" t="s">
        <v>3843</v>
      </c>
      <c r="R651" s="2" t="s">
        <v>4530</v>
      </c>
      <c r="S651" s="2" t="s">
        <v>511</v>
      </c>
      <c r="T651" s="2" t="s">
        <v>512</v>
      </c>
      <c r="U651" s="2" t="s">
        <v>511</v>
      </c>
      <c r="V651" s="2" t="s">
        <v>80</v>
      </c>
    </row>
    <row r="652" spans="1:22">
      <c r="A652" s="2" t="s">
        <v>1310</v>
      </c>
      <c r="B652" s="2" t="s">
        <v>4527</v>
      </c>
      <c r="C652" s="2" t="s">
        <v>4528</v>
      </c>
      <c r="D652" s="2">
        <v>2025</v>
      </c>
      <c r="E652" s="3">
        <v>45658</v>
      </c>
      <c r="F652" s="2" t="s">
        <v>1304</v>
      </c>
      <c r="G652" s="2">
        <v>16</v>
      </c>
      <c r="H652" s="2" t="s">
        <v>43</v>
      </c>
      <c r="I652" s="2" t="s">
        <v>43</v>
      </c>
      <c r="J652" s="2" t="s">
        <v>1305</v>
      </c>
      <c r="K652" s="2" t="s">
        <v>183</v>
      </c>
      <c r="L652" s="2" t="s">
        <v>29</v>
      </c>
      <c r="M652" s="2" t="s">
        <v>373</v>
      </c>
      <c r="N652" s="2" t="s">
        <v>76</v>
      </c>
      <c r="O652" s="4">
        <v>1248</v>
      </c>
      <c r="P652" s="2" t="s">
        <v>4529</v>
      </c>
      <c r="Q652" s="2" t="s">
        <v>3843</v>
      </c>
      <c r="R652" s="2" t="s">
        <v>4530</v>
      </c>
      <c r="S652" s="2" t="s">
        <v>511</v>
      </c>
      <c r="T652" s="2" t="s">
        <v>512</v>
      </c>
      <c r="U652" s="2" t="s">
        <v>511</v>
      </c>
      <c r="V652" s="2" t="s">
        <v>80</v>
      </c>
    </row>
    <row r="653" spans="1:22">
      <c r="A653" s="2" t="s">
        <v>4531</v>
      </c>
      <c r="B653" s="2" t="s">
        <v>4527</v>
      </c>
      <c r="C653" s="2" t="s">
        <v>4528</v>
      </c>
      <c r="D653" s="2">
        <v>2025</v>
      </c>
      <c r="E653" s="3">
        <v>45658</v>
      </c>
      <c r="F653" s="2" t="s">
        <v>1304</v>
      </c>
      <c r="G653" s="2">
        <v>16</v>
      </c>
      <c r="H653" s="2" t="s">
        <v>43</v>
      </c>
      <c r="I653" s="2" t="s">
        <v>43</v>
      </c>
      <c r="J653" s="2" t="s">
        <v>1305</v>
      </c>
      <c r="K653" s="2" t="s">
        <v>183</v>
      </c>
      <c r="L653" s="2" t="s">
        <v>29</v>
      </c>
      <c r="M653" s="2" t="s">
        <v>373</v>
      </c>
      <c r="N653" s="2" t="s">
        <v>76</v>
      </c>
      <c r="O653" s="4">
        <v>1248</v>
      </c>
      <c r="P653" s="2" t="s">
        <v>4529</v>
      </c>
      <c r="Q653" s="2" t="s">
        <v>3843</v>
      </c>
      <c r="R653" s="2" t="s">
        <v>4530</v>
      </c>
      <c r="S653" s="2" t="s">
        <v>511</v>
      </c>
      <c r="T653" s="2" t="s">
        <v>512</v>
      </c>
      <c r="U653" s="2" t="s">
        <v>511</v>
      </c>
      <c r="V653" s="2" t="s">
        <v>80</v>
      </c>
    </row>
    <row r="654" spans="1:22">
      <c r="A654" s="2" t="s">
        <v>996</v>
      </c>
      <c r="B654" s="2" t="s">
        <v>4527</v>
      </c>
      <c r="C654" s="2" t="s">
        <v>4528</v>
      </c>
      <c r="D654" s="2">
        <v>2025</v>
      </c>
      <c r="E654" s="3">
        <v>45658</v>
      </c>
      <c r="F654" s="2" t="s">
        <v>1304</v>
      </c>
      <c r="G654" s="2">
        <v>16</v>
      </c>
      <c r="H654" s="2" t="s">
        <v>43</v>
      </c>
      <c r="I654" s="2" t="s">
        <v>43</v>
      </c>
      <c r="J654" s="2" t="s">
        <v>1305</v>
      </c>
      <c r="K654" s="2" t="s">
        <v>183</v>
      </c>
      <c r="L654" s="2" t="s">
        <v>29</v>
      </c>
      <c r="M654" s="2" t="s">
        <v>373</v>
      </c>
      <c r="N654" s="2" t="s">
        <v>76</v>
      </c>
      <c r="O654" s="4">
        <v>1248</v>
      </c>
      <c r="P654" s="2" t="s">
        <v>4529</v>
      </c>
      <c r="Q654" s="2" t="s">
        <v>3843</v>
      </c>
      <c r="R654" s="2" t="s">
        <v>4530</v>
      </c>
      <c r="S654" s="2" t="s">
        <v>511</v>
      </c>
      <c r="T654" s="2" t="s">
        <v>512</v>
      </c>
      <c r="U654" s="2" t="s">
        <v>511</v>
      </c>
      <c r="V654" s="2" t="s">
        <v>80</v>
      </c>
    </row>
    <row r="655" spans="1:22" ht="28.8">
      <c r="A655" s="2" t="s">
        <v>4532</v>
      </c>
      <c r="B655" s="2" t="s">
        <v>4533</v>
      </c>
      <c r="C655" s="2" t="s">
        <v>4534</v>
      </c>
      <c r="D655" s="2">
        <v>2025</v>
      </c>
      <c r="E655" s="3">
        <v>45839</v>
      </c>
      <c r="F655" s="2" t="s">
        <v>1470</v>
      </c>
      <c r="G655" s="2">
        <v>15</v>
      </c>
      <c r="H655" s="2">
        <v>13</v>
      </c>
      <c r="I655" s="2" t="s">
        <v>43</v>
      </c>
      <c r="J655" s="2" t="s">
        <v>1471</v>
      </c>
      <c r="K655" s="2" t="s">
        <v>61</v>
      </c>
      <c r="L655" s="2" t="s">
        <v>29</v>
      </c>
      <c r="M655" s="2" t="s">
        <v>246</v>
      </c>
      <c r="N655" s="2" t="s">
        <v>1581</v>
      </c>
      <c r="O655" s="2" t="s">
        <v>2336</v>
      </c>
      <c r="P655" s="2" t="s">
        <v>4535</v>
      </c>
      <c r="Q655" s="2" t="s">
        <v>33</v>
      </c>
      <c r="R655" s="2" t="s">
        <v>4536</v>
      </c>
      <c r="S655" s="2" t="s">
        <v>4537</v>
      </c>
      <c r="T655" s="2" t="s">
        <v>4538</v>
      </c>
      <c r="U655" s="2" t="s">
        <v>4539</v>
      </c>
      <c r="V655" s="2" t="s">
        <v>4540</v>
      </c>
    </row>
    <row r="656" spans="1:22">
      <c r="A656" s="2" t="s">
        <v>4541</v>
      </c>
      <c r="B656" s="2" t="s">
        <v>4542</v>
      </c>
      <c r="C656" s="2" t="s">
        <v>4543</v>
      </c>
      <c r="D656" s="2">
        <v>2024</v>
      </c>
      <c r="E656" s="3">
        <v>45352</v>
      </c>
      <c r="F656" s="2" t="s">
        <v>4544</v>
      </c>
      <c r="G656" s="2">
        <v>183</v>
      </c>
      <c r="H656" s="2">
        <v>3</v>
      </c>
      <c r="I656" s="2" t="s">
        <v>4545</v>
      </c>
      <c r="J656" s="2" t="s">
        <v>4546</v>
      </c>
      <c r="K656" s="2" t="s">
        <v>3867</v>
      </c>
      <c r="L656" s="2" t="s">
        <v>29</v>
      </c>
      <c r="M656" s="2" t="s">
        <v>2423</v>
      </c>
      <c r="N656" s="2" t="s">
        <v>4547</v>
      </c>
      <c r="O656" s="2" t="s">
        <v>4548</v>
      </c>
      <c r="P656" s="2" t="s">
        <v>4549</v>
      </c>
      <c r="Q656" s="2" t="s">
        <v>33</v>
      </c>
      <c r="R656" s="2" t="s">
        <v>4550</v>
      </c>
      <c r="S656" s="2" t="s">
        <v>79</v>
      </c>
      <c r="T656" s="2" t="s">
        <v>4551</v>
      </c>
      <c r="U656" s="2" t="s">
        <v>4552</v>
      </c>
      <c r="V656" s="2" t="s">
        <v>802</v>
      </c>
    </row>
    <row r="657" spans="1:22">
      <c r="A657" s="2" t="s">
        <v>4553</v>
      </c>
      <c r="B657" s="2" t="s">
        <v>4542</v>
      </c>
      <c r="C657" s="2" t="s">
        <v>4543</v>
      </c>
      <c r="D657" s="2">
        <v>2024</v>
      </c>
      <c r="E657" s="3">
        <v>45352</v>
      </c>
      <c r="F657" s="2" t="s">
        <v>4544</v>
      </c>
      <c r="G657" s="2">
        <v>183</v>
      </c>
      <c r="H657" s="2">
        <v>3</v>
      </c>
      <c r="I657" s="2" t="s">
        <v>4545</v>
      </c>
      <c r="J657" s="2" t="s">
        <v>4546</v>
      </c>
      <c r="K657" s="2" t="s">
        <v>3867</v>
      </c>
      <c r="L657" s="2" t="s">
        <v>29</v>
      </c>
      <c r="M657" s="2" t="s">
        <v>2423</v>
      </c>
      <c r="N657" s="2" t="s">
        <v>4547</v>
      </c>
      <c r="O657" s="2" t="s">
        <v>4548</v>
      </c>
      <c r="P657" s="2" t="s">
        <v>4549</v>
      </c>
      <c r="Q657" s="2" t="s">
        <v>33</v>
      </c>
      <c r="R657" s="2" t="s">
        <v>4550</v>
      </c>
      <c r="S657" s="2" t="s">
        <v>79</v>
      </c>
      <c r="T657" s="2" t="s">
        <v>4551</v>
      </c>
      <c r="U657" s="2" t="s">
        <v>4552</v>
      </c>
      <c r="V657" s="2" t="s">
        <v>802</v>
      </c>
    </row>
    <row r="658" spans="1:22">
      <c r="A658" s="2" t="s">
        <v>4554</v>
      </c>
      <c r="B658" s="2" t="s">
        <v>4555</v>
      </c>
      <c r="C658" s="2" t="s">
        <v>4556</v>
      </c>
      <c r="D658" s="2">
        <v>2025</v>
      </c>
      <c r="E658" s="3">
        <v>45658</v>
      </c>
      <c r="F658" s="2" t="s">
        <v>4462</v>
      </c>
      <c r="G658" s="2">
        <v>9</v>
      </c>
      <c r="H658" s="2">
        <v>2</v>
      </c>
      <c r="I658" s="7">
        <v>44197</v>
      </c>
      <c r="J658" s="2" t="s">
        <v>4464</v>
      </c>
      <c r="K658" s="2" t="s">
        <v>4465</v>
      </c>
      <c r="L658" s="2" t="s">
        <v>1867</v>
      </c>
      <c r="M658" s="2" t="s">
        <v>3810</v>
      </c>
      <c r="N658" s="2" t="s">
        <v>3706</v>
      </c>
      <c r="O658" s="2" t="s">
        <v>3236</v>
      </c>
      <c r="P658" s="2" t="s">
        <v>4557</v>
      </c>
      <c r="Q658" s="2" t="s">
        <v>33</v>
      </c>
      <c r="R658" s="2" t="s">
        <v>4558</v>
      </c>
      <c r="S658" s="2" t="s">
        <v>79</v>
      </c>
      <c r="T658" s="5">
        <v>601053680000000</v>
      </c>
      <c r="U658" s="2" t="s">
        <v>79</v>
      </c>
      <c r="V658" s="2" t="s">
        <v>80</v>
      </c>
    </row>
    <row r="659" spans="1:22">
      <c r="A659" s="2" t="s">
        <v>3970</v>
      </c>
      <c r="B659" s="2" t="s">
        <v>4555</v>
      </c>
      <c r="C659" s="2" t="s">
        <v>4556</v>
      </c>
      <c r="D659" s="2">
        <v>2025</v>
      </c>
      <c r="E659" s="3">
        <v>45658</v>
      </c>
      <c r="F659" s="2" t="s">
        <v>4462</v>
      </c>
      <c r="G659" s="2">
        <v>9</v>
      </c>
      <c r="H659" s="2">
        <v>2</v>
      </c>
      <c r="I659" s="7">
        <v>44197</v>
      </c>
      <c r="J659" s="2" t="s">
        <v>4464</v>
      </c>
      <c r="K659" s="2" t="s">
        <v>4465</v>
      </c>
      <c r="L659" s="2" t="s">
        <v>1867</v>
      </c>
      <c r="M659" s="2" t="s">
        <v>3810</v>
      </c>
      <c r="N659" s="2" t="s">
        <v>3706</v>
      </c>
      <c r="O659" s="2" t="s">
        <v>3236</v>
      </c>
      <c r="P659" s="2" t="s">
        <v>4557</v>
      </c>
      <c r="Q659" s="2" t="s">
        <v>33</v>
      </c>
      <c r="R659" s="2" t="s">
        <v>4558</v>
      </c>
      <c r="S659" s="2" t="s">
        <v>79</v>
      </c>
      <c r="T659" s="5">
        <v>601053680000000</v>
      </c>
      <c r="U659" s="2" t="s">
        <v>79</v>
      </c>
      <c r="V659" s="2" t="s">
        <v>80</v>
      </c>
    </row>
    <row r="660" spans="1:22">
      <c r="A660" s="2" t="s">
        <v>4559</v>
      </c>
      <c r="B660" s="2" t="s">
        <v>4560</v>
      </c>
      <c r="C660" s="2" t="s">
        <v>4561</v>
      </c>
      <c r="D660" s="2">
        <v>2025</v>
      </c>
      <c r="E660" s="3">
        <v>45992</v>
      </c>
      <c r="F660" s="2" t="s">
        <v>4562</v>
      </c>
      <c r="G660" s="2">
        <v>36</v>
      </c>
      <c r="H660" s="2">
        <v>8</v>
      </c>
      <c r="I660" s="2" t="s">
        <v>4563</v>
      </c>
      <c r="J660" s="2" t="s">
        <v>4564</v>
      </c>
      <c r="K660" s="2" t="s">
        <v>566</v>
      </c>
      <c r="L660" s="2" t="s">
        <v>29</v>
      </c>
      <c r="M660" s="2" t="s">
        <v>4565</v>
      </c>
      <c r="N660" s="2" t="s">
        <v>2156</v>
      </c>
      <c r="O660" s="2" t="s">
        <v>4566</v>
      </c>
      <c r="P660" s="2" t="s">
        <v>4567</v>
      </c>
      <c r="Q660" s="2" t="s">
        <v>33</v>
      </c>
      <c r="R660" s="2" t="s">
        <v>4568</v>
      </c>
      <c r="S660" s="2" t="s">
        <v>4569</v>
      </c>
      <c r="T660" s="2" t="s">
        <v>4570</v>
      </c>
      <c r="U660" s="2" t="s">
        <v>4571</v>
      </c>
      <c r="V660" s="2" t="s">
        <v>80</v>
      </c>
    </row>
    <row r="661" spans="1:22">
      <c r="A661" s="2" t="s">
        <v>4572</v>
      </c>
      <c r="B661" s="2" t="s">
        <v>4560</v>
      </c>
      <c r="C661" s="2" t="s">
        <v>4561</v>
      </c>
      <c r="D661" s="2">
        <v>2025</v>
      </c>
      <c r="E661" s="3">
        <v>45992</v>
      </c>
      <c r="F661" s="2" t="s">
        <v>4562</v>
      </c>
      <c r="G661" s="2">
        <v>36</v>
      </c>
      <c r="H661" s="2">
        <v>8</v>
      </c>
      <c r="I661" s="2" t="s">
        <v>4563</v>
      </c>
      <c r="J661" s="2" t="s">
        <v>4564</v>
      </c>
      <c r="K661" s="2" t="s">
        <v>566</v>
      </c>
      <c r="L661" s="2" t="s">
        <v>29</v>
      </c>
      <c r="M661" s="2" t="s">
        <v>4565</v>
      </c>
      <c r="N661" s="2" t="s">
        <v>2156</v>
      </c>
      <c r="O661" s="2" t="s">
        <v>4566</v>
      </c>
      <c r="P661" s="2" t="s">
        <v>4567</v>
      </c>
      <c r="Q661" s="2" t="s">
        <v>33</v>
      </c>
      <c r="R661" s="2" t="s">
        <v>4568</v>
      </c>
      <c r="S661" s="2" t="s">
        <v>4569</v>
      </c>
      <c r="T661" s="2" t="s">
        <v>4570</v>
      </c>
      <c r="U661" s="2" t="s">
        <v>4571</v>
      </c>
      <c r="V661" s="2" t="s">
        <v>80</v>
      </c>
    </row>
    <row r="662" spans="1:22">
      <c r="A662" s="2" t="s">
        <v>3553</v>
      </c>
      <c r="B662" s="2" t="s">
        <v>4573</v>
      </c>
      <c r="C662" s="2" t="s">
        <v>4574</v>
      </c>
      <c r="D662" s="2">
        <v>2024</v>
      </c>
      <c r="E662" s="3">
        <v>45292</v>
      </c>
      <c r="F662" s="2" t="s">
        <v>4575</v>
      </c>
      <c r="G662" s="2" t="s">
        <v>43</v>
      </c>
      <c r="H662" s="2" t="s">
        <v>43</v>
      </c>
      <c r="I662" s="2" t="s">
        <v>4576</v>
      </c>
      <c r="J662" s="2" t="s">
        <v>4577</v>
      </c>
      <c r="K662" s="2" t="s">
        <v>3705</v>
      </c>
      <c r="L662" s="2" t="s">
        <v>29</v>
      </c>
      <c r="M662" s="2" t="s">
        <v>3357</v>
      </c>
      <c r="N662" s="2" t="s">
        <v>4578</v>
      </c>
      <c r="O662" s="2" t="s">
        <v>43</v>
      </c>
      <c r="P662" s="2" t="s">
        <v>4579</v>
      </c>
      <c r="Q662" s="2" t="s">
        <v>2112</v>
      </c>
      <c r="R662" s="2" t="s">
        <v>4580</v>
      </c>
      <c r="S662" s="2" t="s">
        <v>1106</v>
      </c>
      <c r="T662" s="2" t="s">
        <v>4581</v>
      </c>
      <c r="U662" s="2" t="s">
        <v>1106</v>
      </c>
      <c r="V662" s="2" t="s">
        <v>80</v>
      </c>
    </row>
    <row r="663" spans="1:22">
      <c r="A663" s="2" t="s">
        <v>1051</v>
      </c>
      <c r="B663" s="2" t="s">
        <v>4582</v>
      </c>
      <c r="C663" s="2" t="s">
        <v>4583</v>
      </c>
      <c r="D663" s="2">
        <v>2025</v>
      </c>
      <c r="E663" s="3">
        <v>45658</v>
      </c>
      <c r="F663" s="2" t="s">
        <v>4584</v>
      </c>
      <c r="G663" s="2" t="s">
        <v>43</v>
      </c>
      <c r="H663" s="2" t="s">
        <v>43</v>
      </c>
      <c r="I663" s="2" t="s">
        <v>4585</v>
      </c>
      <c r="J663" s="2" t="s">
        <v>4586</v>
      </c>
      <c r="K663" s="2" t="s">
        <v>4587</v>
      </c>
      <c r="L663" s="2" t="s">
        <v>29</v>
      </c>
      <c r="M663" s="2" t="s">
        <v>2177</v>
      </c>
      <c r="N663" s="2" t="s">
        <v>293</v>
      </c>
      <c r="O663" s="2" t="s">
        <v>43</v>
      </c>
      <c r="P663" s="2" t="s">
        <v>4588</v>
      </c>
      <c r="Q663" s="2" t="s">
        <v>2112</v>
      </c>
      <c r="R663" s="2" t="s">
        <v>4589</v>
      </c>
      <c r="S663" s="2" t="s">
        <v>4590</v>
      </c>
      <c r="T663" s="2" t="s">
        <v>4591</v>
      </c>
      <c r="U663" s="2" t="s">
        <v>4592</v>
      </c>
      <c r="V663" s="2" t="s">
        <v>4593</v>
      </c>
    </row>
    <row r="664" spans="1:22">
      <c r="A664" s="2" t="s">
        <v>4594</v>
      </c>
      <c r="B664" s="2" t="s">
        <v>4595</v>
      </c>
      <c r="C664" s="2" t="s">
        <v>4596</v>
      </c>
      <c r="D664" s="2">
        <v>2025</v>
      </c>
      <c r="E664" s="3">
        <v>45658</v>
      </c>
      <c r="F664" s="2" t="s">
        <v>4597</v>
      </c>
      <c r="G664" s="2">
        <v>17</v>
      </c>
      <c r="H664" s="2">
        <v>9</v>
      </c>
      <c r="I664" s="2" t="s">
        <v>4598</v>
      </c>
      <c r="J664" s="2" t="s">
        <v>4599</v>
      </c>
      <c r="K664" s="2" t="s">
        <v>4600</v>
      </c>
      <c r="L664" s="2" t="s">
        <v>29</v>
      </c>
      <c r="M664" s="2" t="s">
        <v>393</v>
      </c>
      <c r="N664" s="2" t="s">
        <v>1488</v>
      </c>
      <c r="O664" s="2" t="s">
        <v>4601</v>
      </c>
      <c r="P664" s="2" t="s">
        <v>4602</v>
      </c>
      <c r="Q664" s="2" t="s">
        <v>33</v>
      </c>
      <c r="R664" s="2" t="s">
        <v>4603</v>
      </c>
      <c r="S664" s="2" t="s">
        <v>4604</v>
      </c>
      <c r="T664" s="2" t="s">
        <v>4605</v>
      </c>
      <c r="U664" s="2" t="s">
        <v>4606</v>
      </c>
      <c r="V664" s="2" t="s">
        <v>594</v>
      </c>
    </row>
    <row r="665" spans="1:22">
      <c r="A665" s="2" t="s">
        <v>4607</v>
      </c>
      <c r="B665" s="2" t="s">
        <v>4608</v>
      </c>
      <c r="C665" s="2" t="s">
        <v>4609</v>
      </c>
      <c r="D665" s="2">
        <v>2025</v>
      </c>
      <c r="E665" s="3">
        <v>45658</v>
      </c>
      <c r="F665" s="2" t="s">
        <v>4610</v>
      </c>
      <c r="G665" s="2">
        <v>18</v>
      </c>
      <c r="H665" s="2">
        <v>1</v>
      </c>
      <c r="I665" s="2" t="s">
        <v>4611</v>
      </c>
      <c r="J665" s="2" t="s">
        <v>4612</v>
      </c>
      <c r="K665" s="2" t="s">
        <v>4613</v>
      </c>
      <c r="L665" s="2" t="s">
        <v>1867</v>
      </c>
      <c r="M665" s="2" t="s">
        <v>3810</v>
      </c>
      <c r="N665" s="2" t="s">
        <v>4614</v>
      </c>
      <c r="O665" s="2" t="s">
        <v>4615</v>
      </c>
      <c r="P665" s="2" t="s">
        <v>4616</v>
      </c>
      <c r="Q665" s="2" t="s">
        <v>33</v>
      </c>
      <c r="R665" s="2" t="s">
        <v>4617</v>
      </c>
      <c r="S665" s="2" t="s">
        <v>79</v>
      </c>
      <c r="T665" s="5">
        <v>601053680000000</v>
      </c>
      <c r="U665" s="2" t="s">
        <v>79</v>
      </c>
      <c r="V665" s="2" t="s">
        <v>80</v>
      </c>
    </row>
    <row r="666" spans="1:22">
      <c r="A666" s="2" t="s">
        <v>4618</v>
      </c>
      <c r="B666" s="2" t="s">
        <v>4619</v>
      </c>
      <c r="C666" s="2" t="s">
        <v>4620</v>
      </c>
      <c r="D666" s="2">
        <v>2025</v>
      </c>
      <c r="E666" s="3">
        <v>45809</v>
      </c>
      <c r="F666" s="2" t="s">
        <v>4621</v>
      </c>
      <c r="G666" s="2" t="s">
        <v>43</v>
      </c>
      <c r="H666" s="2">
        <v>77</v>
      </c>
      <c r="I666" s="2" t="s">
        <v>4622</v>
      </c>
      <c r="J666" s="2" t="s">
        <v>4623</v>
      </c>
      <c r="K666" s="2" t="s">
        <v>4624</v>
      </c>
      <c r="L666" s="2" t="s">
        <v>1867</v>
      </c>
      <c r="M666" s="2" t="s">
        <v>904</v>
      </c>
      <c r="N666" s="2" t="s">
        <v>476</v>
      </c>
      <c r="O666" s="2" t="s">
        <v>4625</v>
      </c>
      <c r="P666" s="2" t="s">
        <v>4626</v>
      </c>
      <c r="Q666" s="2" t="s">
        <v>33</v>
      </c>
      <c r="R666" s="2" t="s">
        <v>4627</v>
      </c>
      <c r="S666" s="2" t="s">
        <v>79</v>
      </c>
      <c r="T666" s="5">
        <v>601053680000000</v>
      </c>
      <c r="U666" s="2" t="s">
        <v>79</v>
      </c>
      <c r="V666" s="2" t="s">
        <v>80</v>
      </c>
    </row>
    <row r="667" spans="1:22">
      <c r="A667" s="2" t="s">
        <v>4628</v>
      </c>
      <c r="B667" s="2" t="s">
        <v>4619</v>
      </c>
      <c r="C667" s="2" t="s">
        <v>4620</v>
      </c>
      <c r="D667" s="2">
        <v>2025</v>
      </c>
      <c r="E667" s="3">
        <v>45809</v>
      </c>
      <c r="F667" s="2" t="s">
        <v>4621</v>
      </c>
      <c r="G667" s="2" t="s">
        <v>43</v>
      </c>
      <c r="H667" s="2">
        <v>77</v>
      </c>
      <c r="I667" s="2" t="s">
        <v>4622</v>
      </c>
      <c r="J667" s="2" t="s">
        <v>4623</v>
      </c>
      <c r="K667" s="2" t="s">
        <v>4624</v>
      </c>
      <c r="L667" s="2" t="s">
        <v>1867</v>
      </c>
      <c r="M667" s="2" t="s">
        <v>904</v>
      </c>
      <c r="N667" s="2" t="s">
        <v>476</v>
      </c>
      <c r="O667" s="2" t="s">
        <v>4625</v>
      </c>
      <c r="P667" s="2" t="s">
        <v>4626</v>
      </c>
      <c r="Q667" s="2" t="s">
        <v>33</v>
      </c>
      <c r="R667" s="2" t="s">
        <v>4627</v>
      </c>
      <c r="S667" s="2" t="s">
        <v>79</v>
      </c>
      <c r="T667" s="5">
        <v>601053680000000</v>
      </c>
      <c r="U667" s="2" t="s">
        <v>79</v>
      </c>
      <c r="V667" s="2" t="s">
        <v>80</v>
      </c>
    </row>
    <row r="668" spans="1:22">
      <c r="A668" s="2" t="s">
        <v>3589</v>
      </c>
      <c r="B668" s="2" t="s">
        <v>4629</v>
      </c>
      <c r="C668" s="2" t="s">
        <v>4630</v>
      </c>
      <c r="D668" s="2">
        <v>2025</v>
      </c>
      <c r="E668" s="3">
        <v>45717</v>
      </c>
      <c r="F668" s="2" t="s">
        <v>2392</v>
      </c>
      <c r="G668" s="2">
        <v>36</v>
      </c>
      <c r="H668" s="2">
        <v>2</v>
      </c>
      <c r="I668" s="2" t="s">
        <v>4631</v>
      </c>
      <c r="J668" s="2" t="s">
        <v>2394</v>
      </c>
      <c r="K668" s="2" t="s">
        <v>392</v>
      </c>
      <c r="L668" s="2" t="s">
        <v>773</v>
      </c>
      <c r="M668" s="2" t="s">
        <v>1948</v>
      </c>
      <c r="N668" s="2" t="s">
        <v>2156</v>
      </c>
      <c r="O668" s="2" t="s">
        <v>3438</v>
      </c>
      <c r="P668" s="2" t="s">
        <v>4632</v>
      </c>
      <c r="Q668" s="2" t="s">
        <v>33</v>
      </c>
      <c r="R668" s="2" t="s">
        <v>4633</v>
      </c>
      <c r="S668" s="2" t="s">
        <v>1681</v>
      </c>
      <c r="T668" s="2" t="s">
        <v>2606</v>
      </c>
      <c r="U668" s="2" t="s">
        <v>1681</v>
      </c>
      <c r="V668" s="2" t="s">
        <v>80</v>
      </c>
    </row>
    <row r="669" spans="1:22">
      <c r="A669" s="2" t="s">
        <v>2629</v>
      </c>
      <c r="B669" s="2" t="s">
        <v>4629</v>
      </c>
      <c r="C669" s="2" t="s">
        <v>4630</v>
      </c>
      <c r="D669" s="2">
        <v>2025</v>
      </c>
      <c r="E669" s="3">
        <v>45717</v>
      </c>
      <c r="F669" s="2" t="s">
        <v>2392</v>
      </c>
      <c r="G669" s="2">
        <v>36</v>
      </c>
      <c r="H669" s="2">
        <v>2</v>
      </c>
      <c r="I669" s="2" t="s">
        <v>4631</v>
      </c>
      <c r="J669" s="2" t="s">
        <v>2394</v>
      </c>
      <c r="K669" s="2" t="s">
        <v>392</v>
      </c>
      <c r="L669" s="2" t="s">
        <v>773</v>
      </c>
      <c r="M669" s="2" t="s">
        <v>1948</v>
      </c>
      <c r="N669" s="2" t="s">
        <v>2156</v>
      </c>
      <c r="O669" s="2" t="s">
        <v>3438</v>
      </c>
      <c r="P669" s="2" t="s">
        <v>4632</v>
      </c>
      <c r="Q669" s="2" t="s">
        <v>33</v>
      </c>
      <c r="R669" s="2" t="s">
        <v>4633</v>
      </c>
      <c r="S669" s="2" t="s">
        <v>1681</v>
      </c>
      <c r="T669" s="2" t="s">
        <v>2606</v>
      </c>
      <c r="U669" s="2" t="s">
        <v>1681</v>
      </c>
      <c r="V669" s="2" t="s">
        <v>80</v>
      </c>
    </row>
    <row r="670" spans="1:22">
      <c r="A670" s="2" t="s">
        <v>1619</v>
      </c>
      <c r="B670" s="2" t="s">
        <v>4634</v>
      </c>
      <c r="C670" s="2" t="s">
        <v>1621</v>
      </c>
      <c r="D670" s="2">
        <v>2025</v>
      </c>
      <c r="E670" s="3">
        <v>45658</v>
      </c>
      <c r="F670" s="2" t="s">
        <v>4635</v>
      </c>
      <c r="G670" s="2">
        <v>2237</v>
      </c>
      <c r="H670" s="2" t="s">
        <v>43</v>
      </c>
      <c r="I670" s="2" t="s">
        <v>4636</v>
      </c>
      <c r="J670" s="2" t="s">
        <v>4637</v>
      </c>
      <c r="K670" s="2" t="s">
        <v>718</v>
      </c>
      <c r="L670" s="2" t="s">
        <v>29</v>
      </c>
      <c r="M670" s="2" t="s">
        <v>1948</v>
      </c>
      <c r="N670" s="2" t="s">
        <v>428</v>
      </c>
      <c r="O670" s="2" t="s">
        <v>4638</v>
      </c>
      <c r="P670" s="2" t="s">
        <v>4639</v>
      </c>
      <c r="Q670" s="2" t="s">
        <v>2112</v>
      </c>
      <c r="R670" s="2" t="s">
        <v>4640</v>
      </c>
      <c r="S670" s="2" t="s">
        <v>4641</v>
      </c>
      <c r="T670" s="2" t="s">
        <v>4642</v>
      </c>
      <c r="U670" s="2" t="s">
        <v>4643</v>
      </c>
      <c r="V670" s="2" t="s">
        <v>594</v>
      </c>
    </row>
    <row r="671" spans="1:22">
      <c r="A671" s="2" t="s">
        <v>4644</v>
      </c>
      <c r="B671" s="2" t="s">
        <v>4645</v>
      </c>
      <c r="C671" s="2" t="s">
        <v>4646</v>
      </c>
      <c r="D671" s="2">
        <v>2024</v>
      </c>
      <c r="E671" s="3">
        <v>45648</v>
      </c>
      <c r="F671" s="2" t="s">
        <v>167</v>
      </c>
      <c r="G671" s="2">
        <v>17</v>
      </c>
      <c r="H671" s="2">
        <v>12</v>
      </c>
      <c r="I671" s="2" t="s">
        <v>43</v>
      </c>
      <c r="J671" s="2" t="s">
        <v>3369</v>
      </c>
      <c r="K671" s="2" t="s">
        <v>438</v>
      </c>
      <c r="L671" s="2" t="s">
        <v>29</v>
      </c>
      <c r="M671" s="2" t="s">
        <v>904</v>
      </c>
      <c r="N671" s="2" t="s">
        <v>1488</v>
      </c>
      <c r="O671" s="2" t="s">
        <v>3370</v>
      </c>
      <c r="P671" s="2" t="s">
        <v>4647</v>
      </c>
      <c r="Q671" s="2" t="s">
        <v>33</v>
      </c>
      <c r="R671" s="2" t="s">
        <v>4648</v>
      </c>
      <c r="S671" s="2" t="s">
        <v>1681</v>
      </c>
      <c r="T671" s="2" t="s">
        <v>2606</v>
      </c>
      <c r="U671" s="2" t="s">
        <v>1681</v>
      </c>
      <c r="V671" s="2" t="s">
        <v>80</v>
      </c>
    </row>
    <row r="672" spans="1:22">
      <c r="A672" s="2" t="s">
        <v>4649</v>
      </c>
      <c r="B672" s="2" t="s">
        <v>4645</v>
      </c>
      <c r="C672" s="2" t="s">
        <v>4646</v>
      </c>
      <c r="D672" s="2">
        <v>2024</v>
      </c>
      <c r="E672" s="3">
        <v>45648</v>
      </c>
      <c r="F672" s="2" t="s">
        <v>167</v>
      </c>
      <c r="G672" s="2">
        <v>17</v>
      </c>
      <c r="H672" s="2">
        <v>12</v>
      </c>
      <c r="I672" s="2" t="s">
        <v>43</v>
      </c>
      <c r="J672" s="2" t="s">
        <v>3369</v>
      </c>
      <c r="K672" s="2" t="s">
        <v>438</v>
      </c>
      <c r="L672" s="2" t="s">
        <v>29</v>
      </c>
      <c r="M672" s="2" t="s">
        <v>904</v>
      </c>
      <c r="N672" s="2" t="s">
        <v>1488</v>
      </c>
      <c r="O672" s="2" t="s">
        <v>3370</v>
      </c>
      <c r="P672" s="2" t="s">
        <v>4647</v>
      </c>
      <c r="Q672" s="2" t="s">
        <v>33</v>
      </c>
      <c r="R672" s="2" t="s">
        <v>4648</v>
      </c>
      <c r="S672" s="2" t="s">
        <v>1681</v>
      </c>
      <c r="T672" s="2" t="s">
        <v>2606</v>
      </c>
      <c r="U672" s="2" t="s">
        <v>1681</v>
      </c>
      <c r="V672" s="2" t="s">
        <v>80</v>
      </c>
    </row>
    <row r="673" spans="1:22">
      <c r="A673" s="2" t="s">
        <v>1344</v>
      </c>
      <c r="B673" s="2" t="s">
        <v>4645</v>
      </c>
      <c r="C673" s="2" t="s">
        <v>4646</v>
      </c>
      <c r="D673" s="2">
        <v>2024</v>
      </c>
      <c r="E673" s="3">
        <v>45648</v>
      </c>
      <c r="F673" s="2" t="s">
        <v>167</v>
      </c>
      <c r="G673" s="2">
        <v>17</v>
      </c>
      <c r="H673" s="2">
        <v>12</v>
      </c>
      <c r="I673" s="2" t="s">
        <v>43</v>
      </c>
      <c r="J673" s="2" t="s">
        <v>3369</v>
      </c>
      <c r="K673" s="2" t="s">
        <v>438</v>
      </c>
      <c r="L673" s="2" t="s">
        <v>29</v>
      </c>
      <c r="M673" s="2" t="s">
        <v>904</v>
      </c>
      <c r="N673" s="2" t="s">
        <v>1488</v>
      </c>
      <c r="O673" s="2" t="s">
        <v>3370</v>
      </c>
      <c r="P673" s="2" t="s">
        <v>4647</v>
      </c>
      <c r="Q673" s="2" t="s">
        <v>33</v>
      </c>
      <c r="R673" s="2" t="s">
        <v>4648</v>
      </c>
      <c r="S673" s="2" t="s">
        <v>1681</v>
      </c>
      <c r="T673" s="2" t="s">
        <v>2606</v>
      </c>
      <c r="U673" s="2" t="s">
        <v>1681</v>
      </c>
      <c r="V673" s="2" t="s">
        <v>80</v>
      </c>
    </row>
    <row r="674" spans="1:22">
      <c r="A674" s="2" t="s">
        <v>4650</v>
      </c>
      <c r="B674" s="2" t="s">
        <v>4651</v>
      </c>
      <c r="C674" s="2" t="s">
        <v>4652</v>
      </c>
      <c r="D674" s="2">
        <v>2024</v>
      </c>
      <c r="E674" s="3">
        <v>45292</v>
      </c>
      <c r="F674" s="2" t="s">
        <v>4174</v>
      </c>
      <c r="G674" s="2">
        <v>57</v>
      </c>
      <c r="H674" s="2">
        <v>2</v>
      </c>
      <c r="I674" s="2" t="s">
        <v>4653</v>
      </c>
      <c r="J674" s="2" t="s">
        <v>4176</v>
      </c>
      <c r="K674" s="2" t="s">
        <v>2768</v>
      </c>
      <c r="L674" s="2" t="s">
        <v>1867</v>
      </c>
      <c r="M674" s="2" t="s">
        <v>4106</v>
      </c>
      <c r="N674" s="2" t="s">
        <v>2460</v>
      </c>
      <c r="O674" s="2" t="s">
        <v>4154</v>
      </c>
      <c r="P674" s="2" t="s">
        <v>43</v>
      </c>
      <c r="Q674" s="2" t="s">
        <v>33</v>
      </c>
      <c r="R674" s="2" t="s">
        <v>4654</v>
      </c>
      <c r="S674" s="2" t="s">
        <v>79</v>
      </c>
      <c r="T674" s="5">
        <v>601053680000000</v>
      </c>
      <c r="U674" s="2" t="s">
        <v>79</v>
      </c>
      <c r="V674" s="2" t="s">
        <v>80</v>
      </c>
    </row>
    <row r="675" spans="1:22">
      <c r="A675" s="2" t="s">
        <v>4655</v>
      </c>
      <c r="B675" s="2" t="s">
        <v>4656</v>
      </c>
      <c r="C675" s="2" t="s">
        <v>4657</v>
      </c>
      <c r="D675" s="2">
        <v>2025</v>
      </c>
      <c r="E675" s="3">
        <v>45658</v>
      </c>
      <c r="F675" s="2" t="s">
        <v>4658</v>
      </c>
      <c r="G675" s="2">
        <v>42</v>
      </c>
      <c r="H675" s="2">
        <v>6</v>
      </c>
      <c r="I675" s="2" t="s">
        <v>4659</v>
      </c>
      <c r="J675" s="2" t="s">
        <v>4660</v>
      </c>
      <c r="K675" s="2" t="s">
        <v>4661</v>
      </c>
      <c r="L675" s="2" t="s">
        <v>1867</v>
      </c>
      <c r="M675" s="2" t="s">
        <v>4106</v>
      </c>
      <c r="N675" s="2" t="s">
        <v>3706</v>
      </c>
      <c r="O675" s="2" t="s">
        <v>4662</v>
      </c>
      <c r="P675" s="2" t="s">
        <v>4663</v>
      </c>
      <c r="Q675" s="2" t="s">
        <v>49</v>
      </c>
      <c r="R675" s="2" t="s">
        <v>4664</v>
      </c>
      <c r="S675" s="2" t="s">
        <v>79</v>
      </c>
      <c r="T675" s="2" t="s">
        <v>4665</v>
      </c>
      <c r="U675" s="2" t="s">
        <v>4666</v>
      </c>
      <c r="V675" s="2" t="s">
        <v>80</v>
      </c>
    </row>
    <row r="676" spans="1:22">
      <c r="A676" s="2" t="s">
        <v>4667</v>
      </c>
      <c r="B676" s="2" t="s">
        <v>4668</v>
      </c>
      <c r="C676" s="2" t="s">
        <v>4669</v>
      </c>
      <c r="D676" s="2">
        <v>2025</v>
      </c>
      <c r="E676" s="3">
        <v>45839</v>
      </c>
      <c r="F676" s="2" t="s">
        <v>4670</v>
      </c>
      <c r="G676" s="2" t="s">
        <v>43</v>
      </c>
      <c r="H676" s="2">
        <v>60</v>
      </c>
      <c r="I676" s="7">
        <v>12298</v>
      </c>
      <c r="J676" s="2" t="s">
        <v>4671</v>
      </c>
      <c r="K676" s="2" t="s">
        <v>4672</v>
      </c>
      <c r="L676" s="2" t="s">
        <v>1867</v>
      </c>
      <c r="M676" s="2" t="s">
        <v>2423</v>
      </c>
      <c r="N676" s="2" t="s">
        <v>3886</v>
      </c>
      <c r="O676" s="2" t="s">
        <v>4673</v>
      </c>
      <c r="P676" s="2" t="s">
        <v>4674</v>
      </c>
      <c r="Q676" s="2" t="s">
        <v>33</v>
      </c>
      <c r="R676" s="2" t="s">
        <v>4675</v>
      </c>
      <c r="S676" s="2" t="s">
        <v>79</v>
      </c>
      <c r="T676" s="5">
        <v>601053680000000</v>
      </c>
      <c r="U676" s="2" t="s">
        <v>79</v>
      </c>
      <c r="V676" s="2" t="s">
        <v>80</v>
      </c>
    </row>
    <row r="677" spans="1:22" ht="43.2">
      <c r="B677" s="2" t="s">
        <v>4676</v>
      </c>
      <c r="C677" s="2" t="s">
        <v>4677</v>
      </c>
      <c r="D677" s="2">
        <v>2025</v>
      </c>
      <c r="E677" s="3">
        <v>45658</v>
      </c>
      <c r="F677" s="2" t="s">
        <v>4678</v>
      </c>
      <c r="G677" s="2">
        <v>28</v>
      </c>
      <c r="H677" s="2">
        <v>5</v>
      </c>
      <c r="I677" s="2" t="s">
        <v>4679</v>
      </c>
      <c r="J677" s="2" t="s">
        <v>4680</v>
      </c>
      <c r="K677" s="2" t="s">
        <v>1134</v>
      </c>
      <c r="L677" s="2" t="s">
        <v>29</v>
      </c>
      <c r="M677" s="2" t="s">
        <v>121</v>
      </c>
      <c r="N677" s="2" t="s">
        <v>247</v>
      </c>
      <c r="O677" s="4">
        <v>1094</v>
      </c>
      <c r="P677" s="2" t="s">
        <v>4681</v>
      </c>
      <c r="Q677" s="2" t="s">
        <v>33</v>
      </c>
      <c r="R677" s="2" t="s">
        <v>4682</v>
      </c>
      <c r="S677" s="2" t="s">
        <v>2229</v>
      </c>
      <c r="T677" s="2" t="s">
        <v>4683</v>
      </c>
      <c r="U677" s="2" t="s">
        <v>4684</v>
      </c>
      <c r="V677" s="2" t="s">
        <v>4685</v>
      </c>
    </row>
    <row r="678" spans="1:22">
      <c r="A678" s="2" t="s">
        <v>22</v>
      </c>
      <c r="B678" s="2" t="s">
        <v>4686</v>
      </c>
      <c r="C678" s="2" t="s">
        <v>4687</v>
      </c>
      <c r="D678" s="2">
        <v>2025</v>
      </c>
      <c r="E678" s="3">
        <v>45870</v>
      </c>
      <c r="F678" s="2" t="s">
        <v>357</v>
      </c>
      <c r="G678" s="2">
        <v>20</v>
      </c>
      <c r="H678" s="2">
        <v>8</v>
      </c>
      <c r="I678" s="2" t="s">
        <v>43</v>
      </c>
      <c r="J678" s="2" t="s">
        <v>359</v>
      </c>
      <c r="K678" s="2" t="s">
        <v>360</v>
      </c>
      <c r="L678" s="2" t="s">
        <v>29</v>
      </c>
      <c r="M678" s="2" t="s">
        <v>361</v>
      </c>
      <c r="N678" s="2" t="s">
        <v>121</v>
      </c>
      <c r="O678" s="4">
        <v>1833</v>
      </c>
      <c r="P678" s="2" t="s">
        <v>4688</v>
      </c>
      <c r="Q678" s="2" t="s">
        <v>3676</v>
      </c>
      <c r="R678" s="2" t="s">
        <v>4689</v>
      </c>
      <c r="S678" s="2" t="s">
        <v>4690</v>
      </c>
      <c r="T678" s="2" t="s">
        <v>4691</v>
      </c>
      <c r="U678" s="2" t="s">
        <v>4692</v>
      </c>
      <c r="V678" s="2" t="s">
        <v>2265</v>
      </c>
    </row>
    <row r="679" spans="1:22" ht="43.2">
      <c r="A679" s="2" t="s">
        <v>493</v>
      </c>
      <c r="B679" s="2" t="s">
        <v>4693</v>
      </c>
      <c r="C679" s="2" t="s">
        <v>4694</v>
      </c>
      <c r="D679" s="2">
        <v>2025</v>
      </c>
      <c r="E679" s="3">
        <v>45992</v>
      </c>
      <c r="F679" s="2" t="s">
        <v>1293</v>
      </c>
      <c r="G679" s="2">
        <v>15</v>
      </c>
      <c r="H679" s="2">
        <v>1</v>
      </c>
      <c r="I679" s="2" t="s">
        <v>43</v>
      </c>
      <c r="J679" s="2" t="s">
        <v>1294</v>
      </c>
      <c r="K679" s="2" t="s">
        <v>220</v>
      </c>
      <c r="L679" s="2" t="s">
        <v>29</v>
      </c>
      <c r="M679" s="2" t="s">
        <v>120</v>
      </c>
      <c r="N679" s="2" t="s">
        <v>348</v>
      </c>
      <c r="O679" s="2" t="s">
        <v>1717</v>
      </c>
      <c r="P679" s="2" t="s">
        <v>4695</v>
      </c>
      <c r="Q679" s="2" t="s">
        <v>33</v>
      </c>
      <c r="R679" s="2" t="s">
        <v>4696</v>
      </c>
      <c r="S679" s="2" t="s">
        <v>4697</v>
      </c>
      <c r="T679" s="2" t="s">
        <v>4698</v>
      </c>
      <c r="U679" s="2" t="s">
        <v>4699</v>
      </c>
      <c r="V679" s="2" t="s">
        <v>4700</v>
      </c>
    </row>
    <row r="680" spans="1:22" ht="43.2">
      <c r="A680" s="2" t="s">
        <v>712</v>
      </c>
      <c r="B680" s="2" t="s">
        <v>4693</v>
      </c>
      <c r="C680" s="2" t="s">
        <v>4694</v>
      </c>
      <c r="D680" s="2">
        <v>2025</v>
      </c>
      <c r="E680" s="3">
        <v>45992</v>
      </c>
      <c r="F680" s="2" t="s">
        <v>1293</v>
      </c>
      <c r="G680" s="2">
        <v>15</v>
      </c>
      <c r="H680" s="2">
        <v>1</v>
      </c>
      <c r="I680" s="2" t="s">
        <v>43</v>
      </c>
      <c r="J680" s="2" t="s">
        <v>1294</v>
      </c>
      <c r="K680" s="2" t="s">
        <v>220</v>
      </c>
      <c r="L680" s="2" t="s">
        <v>29</v>
      </c>
      <c r="M680" s="2" t="s">
        <v>120</v>
      </c>
      <c r="N680" s="2" t="s">
        <v>348</v>
      </c>
      <c r="O680" s="2" t="s">
        <v>1717</v>
      </c>
      <c r="P680" s="2" t="s">
        <v>4695</v>
      </c>
      <c r="Q680" s="2" t="s">
        <v>33</v>
      </c>
      <c r="R680" s="2" t="s">
        <v>4696</v>
      </c>
      <c r="S680" s="2" t="s">
        <v>4697</v>
      </c>
      <c r="T680" s="2" t="s">
        <v>4698</v>
      </c>
      <c r="U680" s="2" t="s">
        <v>4699</v>
      </c>
      <c r="V680" s="2" t="s">
        <v>4700</v>
      </c>
    </row>
    <row r="681" spans="1:22">
      <c r="A681" s="2" t="s">
        <v>4701</v>
      </c>
      <c r="B681" s="2" t="s">
        <v>4702</v>
      </c>
      <c r="C681" s="2" t="s">
        <v>4703</v>
      </c>
      <c r="D681" s="2">
        <v>2025</v>
      </c>
      <c r="E681" s="3">
        <v>45658</v>
      </c>
      <c r="F681" s="2" t="s">
        <v>3733</v>
      </c>
      <c r="G681" s="2">
        <v>12</v>
      </c>
      <c r="H681" s="2" t="s">
        <v>43</v>
      </c>
      <c r="I681" s="2" t="s">
        <v>43</v>
      </c>
      <c r="J681" s="2" t="s">
        <v>3734</v>
      </c>
      <c r="K681" s="2" t="s">
        <v>45</v>
      </c>
      <c r="L681" s="2" t="s">
        <v>29</v>
      </c>
      <c r="M681" s="2" t="s">
        <v>2522</v>
      </c>
      <c r="N681" s="2" t="s">
        <v>331</v>
      </c>
      <c r="O681" s="2" t="s">
        <v>4704</v>
      </c>
      <c r="P681" s="2" t="s">
        <v>4705</v>
      </c>
      <c r="Q681" s="2" t="s">
        <v>33</v>
      </c>
      <c r="R681" s="2" t="s">
        <v>4706</v>
      </c>
      <c r="S681" s="2" t="s">
        <v>3384</v>
      </c>
      <c r="T681" s="2" t="s">
        <v>3385</v>
      </c>
      <c r="U681" s="2" t="s">
        <v>3384</v>
      </c>
      <c r="V681" s="2" t="s">
        <v>80</v>
      </c>
    </row>
    <row r="682" spans="1:22" ht="28.8">
      <c r="A682" s="2" t="s">
        <v>635</v>
      </c>
      <c r="B682" s="2" t="s">
        <v>4707</v>
      </c>
      <c r="C682" s="2" t="s">
        <v>4708</v>
      </c>
      <c r="D682" s="2">
        <v>2025</v>
      </c>
      <c r="E682" s="3">
        <v>45705</v>
      </c>
      <c r="F682" s="2" t="s">
        <v>3046</v>
      </c>
      <c r="G682" s="2">
        <v>96</v>
      </c>
      <c r="H682" s="2">
        <v>6</v>
      </c>
      <c r="I682" s="2" t="s">
        <v>43</v>
      </c>
      <c r="J682" s="2" t="s">
        <v>4709</v>
      </c>
      <c r="K682" s="2" t="s">
        <v>3049</v>
      </c>
      <c r="L682" s="2" t="s">
        <v>1867</v>
      </c>
      <c r="M682" s="2" t="s">
        <v>1919</v>
      </c>
      <c r="N682" s="2" t="s">
        <v>3050</v>
      </c>
      <c r="O682" s="2" t="s">
        <v>3051</v>
      </c>
      <c r="P682" s="2" t="s">
        <v>4710</v>
      </c>
      <c r="Q682" s="2" t="s">
        <v>33</v>
      </c>
      <c r="R682" s="2" t="s">
        <v>4711</v>
      </c>
      <c r="S682" s="2" t="s">
        <v>4712</v>
      </c>
      <c r="T682" s="2" t="s">
        <v>4713</v>
      </c>
      <c r="U682" s="2" t="s">
        <v>4714</v>
      </c>
      <c r="V682" s="2" t="s">
        <v>4715</v>
      </c>
    </row>
    <row r="683" spans="1:22">
      <c r="A683" s="2" t="s">
        <v>2358</v>
      </c>
      <c r="B683" s="2" t="s">
        <v>4716</v>
      </c>
      <c r="C683" s="2" t="s">
        <v>4717</v>
      </c>
      <c r="D683" s="2">
        <v>2025</v>
      </c>
      <c r="E683" s="3">
        <v>45658</v>
      </c>
      <c r="F683" s="2" t="s">
        <v>4718</v>
      </c>
      <c r="G683" s="2" t="s">
        <v>43</v>
      </c>
      <c r="H683" s="2" t="s">
        <v>43</v>
      </c>
      <c r="I683" s="2" t="s">
        <v>43</v>
      </c>
      <c r="J683" s="2" t="s">
        <v>4719</v>
      </c>
      <c r="K683" s="2" t="s">
        <v>772</v>
      </c>
      <c r="L683" s="2" t="s">
        <v>773</v>
      </c>
      <c r="M683" s="2" t="s">
        <v>2735</v>
      </c>
      <c r="N683" s="2" t="s">
        <v>2178</v>
      </c>
      <c r="O683" s="2" t="s">
        <v>4720</v>
      </c>
      <c r="P683" s="2" t="s">
        <v>4721</v>
      </c>
      <c r="Q683" s="2" t="s">
        <v>49</v>
      </c>
      <c r="R683" s="2" t="s">
        <v>4722</v>
      </c>
      <c r="S683" s="2" t="s">
        <v>1106</v>
      </c>
      <c r="T683" s="2" t="s">
        <v>4723</v>
      </c>
      <c r="U683" s="2" t="s">
        <v>4724</v>
      </c>
      <c r="V683" s="2" t="s">
        <v>4725</v>
      </c>
    </row>
    <row r="684" spans="1:22">
      <c r="A684" s="2" t="s">
        <v>4726</v>
      </c>
      <c r="B684" s="2" t="s">
        <v>4727</v>
      </c>
      <c r="C684" s="2" t="s">
        <v>4728</v>
      </c>
      <c r="D684" s="2">
        <v>2024</v>
      </c>
      <c r="E684" s="3">
        <v>45413</v>
      </c>
      <c r="F684" s="2" t="s">
        <v>2392</v>
      </c>
      <c r="G684" s="2">
        <v>35</v>
      </c>
      <c r="H684" s="6">
        <v>46115</v>
      </c>
      <c r="I684" s="2" t="s">
        <v>4729</v>
      </c>
      <c r="J684" s="2" t="s">
        <v>2394</v>
      </c>
      <c r="K684" s="2" t="s">
        <v>392</v>
      </c>
      <c r="L684" s="2" t="s">
        <v>773</v>
      </c>
      <c r="M684" s="2" t="s">
        <v>47</v>
      </c>
      <c r="N684" s="2" t="s">
        <v>2395</v>
      </c>
      <c r="O684" s="2" t="s">
        <v>2396</v>
      </c>
      <c r="P684" s="2" t="s">
        <v>4730</v>
      </c>
      <c r="Q684" s="2" t="s">
        <v>33</v>
      </c>
      <c r="R684" s="2" t="s">
        <v>4731</v>
      </c>
      <c r="S684" s="2" t="s">
        <v>1681</v>
      </c>
      <c r="T684" s="2" t="s">
        <v>2561</v>
      </c>
      <c r="U684" s="2" t="s">
        <v>2562</v>
      </c>
      <c r="V684" s="2" t="s">
        <v>80</v>
      </c>
    </row>
    <row r="685" spans="1:22">
      <c r="A685" s="2" t="s">
        <v>4732</v>
      </c>
      <c r="B685" s="2" t="s">
        <v>4733</v>
      </c>
      <c r="C685" s="2" t="s">
        <v>4734</v>
      </c>
      <c r="D685" s="2">
        <v>2024</v>
      </c>
      <c r="E685" s="3">
        <v>45292</v>
      </c>
      <c r="F685" s="2" t="s">
        <v>4735</v>
      </c>
      <c r="G685" s="2">
        <v>50</v>
      </c>
      <c r="H685" s="2">
        <v>1</v>
      </c>
      <c r="I685" s="2" t="s">
        <v>4736</v>
      </c>
      <c r="J685" s="2" t="s">
        <v>4737</v>
      </c>
      <c r="K685" s="2" t="s">
        <v>4152</v>
      </c>
      <c r="L685" s="2" t="s">
        <v>773</v>
      </c>
      <c r="M685" s="2" t="s">
        <v>47</v>
      </c>
      <c r="N685" s="2" t="s">
        <v>2407</v>
      </c>
      <c r="O685" s="2" t="s">
        <v>4738</v>
      </c>
      <c r="P685" s="2" t="s">
        <v>4739</v>
      </c>
      <c r="Q685" s="2" t="s">
        <v>33</v>
      </c>
      <c r="R685" s="2" t="s">
        <v>4740</v>
      </c>
      <c r="S685" s="2" t="s">
        <v>79</v>
      </c>
      <c r="T685" s="2" t="s">
        <v>4741</v>
      </c>
      <c r="U685" s="2" t="s">
        <v>4742</v>
      </c>
      <c r="V685" s="2" t="s">
        <v>4593</v>
      </c>
    </row>
    <row r="686" spans="1:22" ht="28.8">
      <c r="A686" s="2" t="s">
        <v>4743</v>
      </c>
      <c r="B686" s="2" t="s">
        <v>4744</v>
      </c>
      <c r="C686" s="2" t="s">
        <v>4745</v>
      </c>
      <c r="D686" s="2">
        <v>2025</v>
      </c>
      <c r="E686" s="3">
        <v>45658</v>
      </c>
      <c r="F686" s="2" t="s">
        <v>4746</v>
      </c>
      <c r="G686" s="2">
        <v>54</v>
      </c>
      <c r="H686" s="2">
        <v>1</v>
      </c>
      <c r="I686" s="2" t="s">
        <v>43</v>
      </c>
      <c r="J686" s="2" t="s">
        <v>4747</v>
      </c>
      <c r="K686" s="2" t="s">
        <v>4748</v>
      </c>
      <c r="L686" s="2" t="s">
        <v>29</v>
      </c>
      <c r="M686" s="2" t="s">
        <v>4749</v>
      </c>
      <c r="N686" s="2" t="s">
        <v>331</v>
      </c>
      <c r="O686" s="2" t="s">
        <v>4750</v>
      </c>
      <c r="P686" s="2" t="s">
        <v>4751</v>
      </c>
      <c r="Q686" s="2" t="s">
        <v>33</v>
      </c>
      <c r="R686" s="2" t="s">
        <v>4752</v>
      </c>
      <c r="S686" s="2" t="s">
        <v>4753</v>
      </c>
      <c r="T686" s="2" t="s">
        <v>4754</v>
      </c>
      <c r="U686" s="2" t="s">
        <v>4755</v>
      </c>
      <c r="V686" s="2" t="s">
        <v>80</v>
      </c>
    </row>
    <row r="687" spans="1:22">
      <c r="A687" s="2" t="s">
        <v>4756</v>
      </c>
      <c r="B687" s="2" t="s">
        <v>4757</v>
      </c>
      <c r="C687" s="2" t="s">
        <v>4758</v>
      </c>
      <c r="D687" s="2">
        <v>2025</v>
      </c>
      <c r="E687" s="3">
        <v>45992</v>
      </c>
      <c r="F687" s="2" t="s">
        <v>4759</v>
      </c>
      <c r="G687" s="2">
        <v>31</v>
      </c>
      <c r="H687" s="2">
        <v>3</v>
      </c>
      <c r="I687" s="2" t="s">
        <v>4760</v>
      </c>
      <c r="J687" s="2" t="s">
        <v>4761</v>
      </c>
      <c r="K687" s="2" t="s">
        <v>4762</v>
      </c>
      <c r="L687" s="2" t="s">
        <v>1867</v>
      </c>
      <c r="M687" s="2" t="s">
        <v>47</v>
      </c>
      <c r="N687" s="2" t="s">
        <v>2395</v>
      </c>
      <c r="O687" s="2" t="s">
        <v>4763</v>
      </c>
      <c r="P687" s="2" t="s">
        <v>4764</v>
      </c>
      <c r="Q687" s="2" t="s">
        <v>33</v>
      </c>
      <c r="R687" s="2" t="s">
        <v>4765</v>
      </c>
      <c r="S687" s="2" t="s">
        <v>2411</v>
      </c>
      <c r="T687" s="2" t="s">
        <v>4766</v>
      </c>
      <c r="U687" s="2" t="s">
        <v>4767</v>
      </c>
      <c r="V687" s="2" t="s">
        <v>80</v>
      </c>
    </row>
    <row r="688" spans="1:22">
      <c r="A688" s="2" t="s">
        <v>4768</v>
      </c>
      <c r="B688" s="2" t="s">
        <v>4769</v>
      </c>
      <c r="C688" s="2" t="s">
        <v>4770</v>
      </c>
      <c r="D688" s="2">
        <v>2025</v>
      </c>
      <c r="E688" s="3">
        <v>45658</v>
      </c>
      <c r="F688" s="2" t="s">
        <v>4771</v>
      </c>
      <c r="G688" s="2">
        <v>66</v>
      </c>
      <c r="H688" s="2">
        <v>162</v>
      </c>
      <c r="I688" s="2" t="s">
        <v>43</v>
      </c>
      <c r="J688" s="2" t="s">
        <v>4772</v>
      </c>
      <c r="K688" s="2" t="s">
        <v>4773</v>
      </c>
      <c r="L688" s="2" t="s">
        <v>1867</v>
      </c>
      <c r="M688" s="2" t="s">
        <v>2423</v>
      </c>
      <c r="N688" s="2" t="s">
        <v>3427</v>
      </c>
      <c r="O688" s="2" t="s">
        <v>4774</v>
      </c>
      <c r="P688" s="2" t="s">
        <v>4775</v>
      </c>
      <c r="Q688" s="2" t="s">
        <v>33</v>
      </c>
      <c r="R688" s="2" t="s">
        <v>4776</v>
      </c>
      <c r="S688" s="2" t="s">
        <v>79</v>
      </c>
      <c r="T688" s="5">
        <v>601053680000000</v>
      </c>
      <c r="U688" s="2" t="s">
        <v>79</v>
      </c>
      <c r="V688" s="2" t="s">
        <v>80</v>
      </c>
    </row>
    <row r="689" spans="1:22">
      <c r="A689" s="2" t="s">
        <v>4777</v>
      </c>
      <c r="B689" s="2" t="s">
        <v>4778</v>
      </c>
      <c r="C689" s="2" t="s">
        <v>4779</v>
      </c>
      <c r="D689" s="2">
        <v>2025</v>
      </c>
      <c r="E689" s="3">
        <v>45992</v>
      </c>
      <c r="F689" s="2" t="s">
        <v>4780</v>
      </c>
      <c r="G689" s="2">
        <v>23</v>
      </c>
      <c r="H689" s="2">
        <v>1</v>
      </c>
      <c r="I689" s="2" t="s">
        <v>43</v>
      </c>
      <c r="J689" s="2" t="s">
        <v>4781</v>
      </c>
      <c r="K689" s="2" t="s">
        <v>233</v>
      </c>
      <c r="L689" s="2" t="s">
        <v>29</v>
      </c>
      <c r="M689" s="2" t="s">
        <v>2052</v>
      </c>
      <c r="N689" s="2" t="s">
        <v>4276</v>
      </c>
      <c r="O689" s="2" t="s">
        <v>4782</v>
      </c>
      <c r="P689" s="2" t="s">
        <v>4783</v>
      </c>
      <c r="Q689" s="2" t="s">
        <v>33</v>
      </c>
      <c r="R689" s="2" t="s">
        <v>4784</v>
      </c>
      <c r="S689" s="2" t="s">
        <v>4785</v>
      </c>
      <c r="T689" s="2" t="s">
        <v>4786</v>
      </c>
      <c r="U689" s="2" t="s">
        <v>4787</v>
      </c>
      <c r="V689" s="2" t="s">
        <v>4788</v>
      </c>
    </row>
    <row r="690" spans="1:22">
      <c r="A690" s="2" t="s">
        <v>4789</v>
      </c>
      <c r="B690" s="2" t="s">
        <v>4790</v>
      </c>
      <c r="C690" s="2" t="s">
        <v>4791</v>
      </c>
      <c r="D690" s="2">
        <v>2025</v>
      </c>
      <c r="E690" s="3">
        <v>45992</v>
      </c>
      <c r="F690" s="2" t="s">
        <v>4792</v>
      </c>
      <c r="G690" s="2">
        <v>82</v>
      </c>
      <c r="H690" s="2">
        <v>2</v>
      </c>
      <c r="I690" s="2" t="s">
        <v>4793</v>
      </c>
      <c r="J690" s="2" t="s">
        <v>4794</v>
      </c>
      <c r="K690" s="2" t="s">
        <v>4795</v>
      </c>
      <c r="L690" s="2" t="s">
        <v>1867</v>
      </c>
      <c r="M690" s="2" t="s">
        <v>2203</v>
      </c>
      <c r="N690" s="2" t="s">
        <v>4796</v>
      </c>
      <c r="O690" s="2" t="s">
        <v>2396</v>
      </c>
      <c r="P690" s="2" t="s">
        <v>4797</v>
      </c>
      <c r="Q690" s="2" t="s">
        <v>33</v>
      </c>
      <c r="R690" s="2" t="s">
        <v>4798</v>
      </c>
      <c r="S690" s="2" t="s">
        <v>4799</v>
      </c>
      <c r="T690" s="2" t="s">
        <v>4800</v>
      </c>
      <c r="U690" s="2" t="s">
        <v>4801</v>
      </c>
      <c r="V690" s="2" t="s">
        <v>80</v>
      </c>
    </row>
    <row r="691" spans="1:22" ht="28.8">
      <c r="A691" s="2" t="s">
        <v>1396</v>
      </c>
      <c r="B691" s="2" t="s">
        <v>4802</v>
      </c>
      <c r="C691" s="2" t="s">
        <v>4803</v>
      </c>
      <c r="D691" s="2">
        <v>2025</v>
      </c>
      <c r="E691" s="3">
        <v>45859</v>
      </c>
      <c r="F691" s="2" t="s">
        <v>4804</v>
      </c>
      <c r="G691" s="2">
        <v>55</v>
      </c>
      <c r="H691" s="2" t="s">
        <v>43</v>
      </c>
      <c r="I691" s="2" t="s">
        <v>43</v>
      </c>
      <c r="J691" s="2" t="s">
        <v>4805</v>
      </c>
      <c r="K691" s="2" t="s">
        <v>613</v>
      </c>
      <c r="L691" s="2" t="s">
        <v>29</v>
      </c>
      <c r="M691" s="2" t="s">
        <v>1996</v>
      </c>
      <c r="N691" s="2" t="s">
        <v>464</v>
      </c>
      <c r="O691" s="4">
        <v>2192</v>
      </c>
      <c r="P691" s="2" t="s">
        <v>4806</v>
      </c>
      <c r="Q691" s="2" t="s">
        <v>33</v>
      </c>
      <c r="R691" s="2" t="s">
        <v>4807</v>
      </c>
      <c r="S691" s="2" t="s">
        <v>1904</v>
      </c>
      <c r="T691" s="2" t="s">
        <v>4808</v>
      </c>
      <c r="U691" s="2" t="s">
        <v>4809</v>
      </c>
      <c r="V691" s="2" t="s">
        <v>1907</v>
      </c>
    </row>
    <row r="692" spans="1:22" ht="28.8">
      <c r="A692" s="2" t="s">
        <v>2815</v>
      </c>
      <c r="B692" s="2" t="s">
        <v>4802</v>
      </c>
      <c r="C692" s="2" t="s">
        <v>4803</v>
      </c>
      <c r="D692" s="2">
        <v>2025</v>
      </c>
      <c r="E692" s="3">
        <v>45859</v>
      </c>
      <c r="F692" s="2" t="s">
        <v>4804</v>
      </c>
      <c r="G692" s="2">
        <v>55</v>
      </c>
      <c r="H692" s="2" t="s">
        <v>43</v>
      </c>
      <c r="I692" s="2" t="s">
        <v>43</v>
      </c>
      <c r="J692" s="2" t="s">
        <v>4805</v>
      </c>
      <c r="K692" s="2" t="s">
        <v>613</v>
      </c>
      <c r="L692" s="2" t="s">
        <v>29</v>
      </c>
      <c r="M692" s="2" t="s">
        <v>1996</v>
      </c>
      <c r="N692" s="2" t="s">
        <v>464</v>
      </c>
      <c r="O692" s="4">
        <v>2192</v>
      </c>
      <c r="P692" s="2" t="s">
        <v>4806</v>
      </c>
      <c r="Q692" s="2" t="s">
        <v>33</v>
      </c>
      <c r="R692" s="2" t="s">
        <v>4807</v>
      </c>
      <c r="S692" s="2" t="s">
        <v>1904</v>
      </c>
      <c r="T692" s="2" t="s">
        <v>4808</v>
      </c>
      <c r="U692" s="2" t="s">
        <v>4809</v>
      </c>
      <c r="V692" s="2" t="s">
        <v>1907</v>
      </c>
    </row>
    <row r="693" spans="1:22">
      <c r="A693" s="2" t="s">
        <v>1024</v>
      </c>
      <c r="B693" s="2" t="s">
        <v>4810</v>
      </c>
      <c r="C693" s="2" t="s">
        <v>4811</v>
      </c>
      <c r="D693" s="2">
        <v>2025</v>
      </c>
      <c r="E693" s="3">
        <v>45992</v>
      </c>
      <c r="F693" s="2" t="s">
        <v>2912</v>
      </c>
      <c r="G693" s="2">
        <v>52</v>
      </c>
      <c r="H693" s="2">
        <v>6</v>
      </c>
      <c r="I693" s="2" t="s">
        <v>4812</v>
      </c>
      <c r="J693" s="2" t="s">
        <v>2914</v>
      </c>
      <c r="K693" s="2" t="s">
        <v>2915</v>
      </c>
      <c r="L693" s="2" t="s">
        <v>1867</v>
      </c>
      <c r="M693" s="2" t="s">
        <v>47</v>
      </c>
      <c r="N693" s="2" t="s">
        <v>2916</v>
      </c>
      <c r="O693" s="2" t="s">
        <v>2917</v>
      </c>
      <c r="P693" s="2" t="s">
        <v>4813</v>
      </c>
      <c r="Q693" s="2" t="s">
        <v>33</v>
      </c>
      <c r="R693" s="2" t="s">
        <v>4814</v>
      </c>
      <c r="S693" s="2" t="s">
        <v>79</v>
      </c>
      <c r="T693" s="2" t="s">
        <v>4815</v>
      </c>
      <c r="U693" s="2" t="s">
        <v>4816</v>
      </c>
      <c r="V693" s="2" t="s">
        <v>80</v>
      </c>
    </row>
    <row r="694" spans="1:22">
      <c r="A694" s="2" t="s">
        <v>3141</v>
      </c>
      <c r="B694" s="2" t="s">
        <v>4810</v>
      </c>
      <c r="C694" s="2" t="s">
        <v>4811</v>
      </c>
      <c r="D694" s="2">
        <v>2025</v>
      </c>
      <c r="E694" s="3">
        <v>45992</v>
      </c>
      <c r="F694" s="2" t="s">
        <v>2912</v>
      </c>
      <c r="G694" s="2">
        <v>52</v>
      </c>
      <c r="H694" s="2">
        <v>6</v>
      </c>
      <c r="I694" s="2" t="s">
        <v>4812</v>
      </c>
      <c r="J694" s="2" t="s">
        <v>2914</v>
      </c>
      <c r="K694" s="2" t="s">
        <v>2915</v>
      </c>
      <c r="L694" s="2" t="s">
        <v>1867</v>
      </c>
      <c r="M694" s="2" t="s">
        <v>47</v>
      </c>
      <c r="N694" s="2" t="s">
        <v>2916</v>
      </c>
      <c r="O694" s="2" t="s">
        <v>2917</v>
      </c>
      <c r="P694" s="2" t="s">
        <v>4813</v>
      </c>
      <c r="Q694" s="2" t="s">
        <v>33</v>
      </c>
      <c r="R694" s="2" t="s">
        <v>4814</v>
      </c>
      <c r="S694" s="2" t="s">
        <v>79</v>
      </c>
      <c r="T694" s="2" t="s">
        <v>4815</v>
      </c>
      <c r="U694" s="2" t="s">
        <v>4816</v>
      </c>
      <c r="V694" s="2" t="s">
        <v>80</v>
      </c>
    </row>
    <row r="695" spans="1:22">
      <c r="A695" s="2" t="s">
        <v>1319</v>
      </c>
      <c r="B695" s="2" t="s">
        <v>4810</v>
      </c>
      <c r="C695" s="2" t="s">
        <v>4811</v>
      </c>
      <c r="D695" s="2">
        <v>2025</v>
      </c>
      <c r="E695" s="3">
        <v>45992</v>
      </c>
      <c r="F695" s="2" t="s">
        <v>2912</v>
      </c>
      <c r="G695" s="2">
        <v>52</v>
      </c>
      <c r="H695" s="2">
        <v>6</v>
      </c>
      <c r="I695" s="2" t="s">
        <v>4812</v>
      </c>
      <c r="J695" s="2" t="s">
        <v>2914</v>
      </c>
      <c r="K695" s="2" t="s">
        <v>2915</v>
      </c>
      <c r="L695" s="2" t="s">
        <v>1867</v>
      </c>
      <c r="M695" s="2" t="s">
        <v>47</v>
      </c>
      <c r="N695" s="2" t="s">
        <v>2916</v>
      </c>
      <c r="O695" s="2" t="s">
        <v>2917</v>
      </c>
      <c r="P695" s="2" t="s">
        <v>4813</v>
      </c>
      <c r="Q695" s="2" t="s">
        <v>33</v>
      </c>
      <c r="R695" s="2" t="s">
        <v>4814</v>
      </c>
      <c r="S695" s="2" t="s">
        <v>79</v>
      </c>
      <c r="T695" s="2" t="s">
        <v>4815</v>
      </c>
      <c r="U695" s="2" t="s">
        <v>4816</v>
      </c>
      <c r="V695" s="2" t="s">
        <v>80</v>
      </c>
    </row>
    <row r="696" spans="1:22">
      <c r="A696" s="2" t="s">
        <v>1024</v>
      </c>
      <c r="B696" s="2" t="s">
        <v>4817</v>
      </c>
      <c r="C696" s="2" t="s">
        <v>4818</v>
      </c>
      <c r="D696" s="2">
        <v>2024</v>
      </c>
      <c r="E696" s="3">
        <v>45566</v>
      </c>
      <c r="F696" s="2" t="s">
        <v>3298</v>
      </c>
      <c r="G696" s="2">
        <v>14</v>
      </c>
      <c r="H696" s="2">
        <v>20</v>
      </c>
      <c r="I696" s="2" t="s">
        <v>43</v>
      </c>
      <c r="J696" s="2" t="s">
        <v>3299</v>
      </c>
      <c r="K696" s="2" t="s">
        <v>61</v>
      </c>
      <c r="L696" s="2" t="s">
        <v>29</v>
      </c>
      <c r="M696" s="2" t="s">
        <v>2613</v>
      </c>
      <c r="N696" s="2" t="s">
        <v>1581</v>
      </c>
      <c r="O696" s="2" t="s">
        <v>4819</v>
      </c>
      <c r="P696" s="2" t="s">
        <v>4820</v>
      </c>
      <c r="Q696" s="2" t="s">
        <v>33</v>
      </c>
      <c r="R696" s="2" t="s">
        <v>4821</v>
      </c>
      <c r="S696" s="2" t="s">
        <v>4822</v>
      </c>
      <c r="T696" s="2" t="s">
        <v>4823</v>
      </c>
      <c r="U696" s="2" t="s">
        <v>4822</v>
      </c>
      <c r="V696" s="2" t="s">
        <v>4824</v>
      </c>
    </row>
    <row r="697" spans="1:22">
      <c r="A697" s="2" t="s">
        <v>265</v>
      </c>
      <c r="B697" s="2" t="s">
        <v>4817</v>
      </c>
      <c r="C697" s="2" t="s">
        <v>4818</v>
      </c>
      <c r="D697" s="2">
        <v>2024</v>
      </c>
      <c r="E697" s="3">
        <v>45566</v>
      </c>
      <c r="F697" s="2" t="s">
        <v>3298</v>
      </c>
      <c r="G697" s="2">
        <v>14</v>
      </c>
      <c r="H697" s="2">
        <v>20</v>
      </c>
      <c r="I697" s="2" t="s">
        <v>43</v>
      </c>
      <c r="J697" s="2" t="s">
        <v>3299</v>
      </c>
      <c r="K697" s="2" t="s">
        <v>61</v>
      </c>
      <c r="L697" s="2" t="s">
        <v>29</v>
      </c>
      <c r="M697" s="2" t="s">
        <v>2613</v>
      </c>
      <c r="N697" s="2" t="s">
        <v>1581</v>
      </c>
      <c r="O697" s="2" t="s">
        <v>4819</v>
      </c>
      <c r="P697" s="2" t="s">
        <v>4820</v>
      </c>
      <c r="Q697" s="2" t="s">
        <v>33</v>
      </c>
      <c r="R697" s="2" t="s">
        <v>4821</v>
      </c>
      <c r="S697" s="2" t="s">
        <v>4822</v>
      </c>
      <c r="T697" s="2" t="s">
        <v>4823</v>
      </c>
      <c r="U697" s="2" t="s">
        <v>4822</v>
      </c>
      <c r="V697" s="2" t="s">
        <v>4824</v>
      </c>
    </row>
    <row r="698" spans="1:22">
      <c r="A698" s="2" t="s">
        <v>1619</v>
      </c>
      <c r="B698" s="2" t="s">
        <v>4825</v>
      </c>
      <c r="C698" s="2" t="s">
        <v>4826</v>
      </c>
      <c r="D698" s="2">
        <v>2025</v>
      </c>
      <c r="E698" s="3">
        <v>45658</v>
      </c>
      <c r="F698" s="2" t="s">
        <v>4827</v>
      </c>
      <c r="G698" s="2" t="s">
        <v>43</v>
      </c>
      <c r="H698" s="2" t="s">
        <v>43</v>
      </c>
      <c r="I698" s="2" t="s">
        <v>43</v>
      </c>
      <c r="J698" s="2" t="s">
        <v>43</v>
      </c>
      <c r="K698" s="2" t="s">
        <v>2893</v>
      </c>
      <c r="L698" s="2" t="s">
        <v>29</v>
      </c>
      <c r="M698" s="2" t="s">
        <v>43</v>
      </c>
      <c r="N698" s="2" t="s">
        <v>43</v>
      </c>
      <c r="O698" s="2" t="s">
        <v>43</v>
      </c>
      <c r="P698" s="2" t="s">
        <v>4828</v>
      </c>
      <c r="Q698" s="2" t="s">
        <v>2112</v>
      </c>
      <c r="R698" s="2" t="s">
        <v>4829</v>
      </c>
      <c r="S698" s="2" t="s">
        <v>4830</v>
      </c>
      <c r="T698" s="2" t="s">
        <v>4831</v>
      </c>
      <c r="U698" s="2" t="s">
        <v>4832</v>
      </c>
      <c r="V698" s="2" t="s">
        <v>80</v>
      </c>
    </row>
    <row r="699" spans="1:22">
      <c r="A699" s="2" t="s">
        <v>128</v>
      </c>
      <c r="B699" s="2" t="s">
        <v>4833</v>
      </c>
      <c r="C699" s="2" t="s">
        <v>4834</v>
      </c>
      <c r="D699" s="2">
        <v>2024</v>
      </c>
      <c r="E699" s="3">
        <v>45292</v>
      </c>
      <c r="F699" s="2" t="s">
        <v>4835</v>
      </c>
      <c r="G699" s="2" t="s">
        <v>43</v>
      </c>
      <c r="H699" s="2" t="s">
        <v>43</v>
      </c>
      <c r="I699" s="2" t="s">
        <v>4836</v>
      </c>
      <c r="J699" s="2" t="s">
        <v>43</v>
      </c>
      <c r="K699" s="2" t="s">
        <v>1423</v>
      </c>
      <c r="L699" s="2" t="s">
        <v>29</v>
      </c>
      <c r="M699" s="2" t="s">
        <v>43</v>
      </c>
      <c r="N699" s="2" t="s">
        <v>43</v>
      </c>
      <c r="O699" s="2" t="s">
        <v>43</v>
      </c>
      <c r="P699" s="2" t="s">
        <v>4837</v>
      </c>
      <c r="Q699" s="2" t="s">
        <v>1125</v>
      </c>
      <c r="R699" s="2" t="s">
        <v>4838</v>
      </c>
      <c r="S699" s="2" t="s">
        <v>4839</v>
      </c>
      <c r="T699" s="2" t="s">
        <v>4840</v>
      </c>
      <c r="U699" s="2" t="s">
        <v>4841</v>
      </c>
      <c r="V699" s="2" t="s">
        <v>141</v>
      </c>
    </row>
    <row r="700" spans="1:22" ht="28.8">
      <c r="A700" s="2" t="s">
        <v>276</v>
      </c>
      <c r="B700" s="2" t="s">
        <v>4842</v>
      </c>
      <c r="C700" s="2" t="s">
        <v>4843</v>
      </c>
      <c r="D700" s="2">
        <v>2025</v>
      </c>
      <c r="E700" s="3">
        <v>45962</v>
      </c>
      <c r="F700" s="2" t="s">
        <v>1470</v>
      </c>
      <c r="G700" s="2">
        <v>15</v>
      </c>
      <c r="H700" s="2">
        <v>21</v>
      </c>
      <c r="I700" s="2" t="s">
        <v>43</v>
      </c>
      <c r="J700" s="2" t="s">
        <v>1471</v>
      </c>
      <c r="K700" s="2" t="s">
        <v>61</v>
      </c>
      <c r="L700" s="2" t="s">
        <v>29</v>
      </c>
      <c r="M700" s="2" t="s">
        <v>246</v>
      </c>
      <c r="N700" s="2" t="s">
        <v>1581</v>
      </c>
      <c r="O700" s="2" t="s">
        <v>2336</v>
      </c>
      <c r="P700" s="2" t="s">
        <v>4844</v>
      </c>
      <c r="Q700" s="2" t="s">
        <v>33</v>
      </c>
      <c r="R700" s="2" t="s">
        <v>4845</v>
      </c>
      <c r="S700" s="2" t="s">
        <v>4846</v>
      </c>
      <c r="T700" s="2" t="s">
        <v>4847</v>
      </c>
      <c r="U700" s="2" t="s">
        <v>4848</v>
      </c>
      <c r="V700" s="2" t="s">
        <v>4849</v>
      </c>
    </row>
    <row r="701" spans="1:22">
      <c r="A701" s="2" t="s">
        <v>834</v>
      </c>
      <c r="B701" s="2" t="s">
        <v>4850</v>
      </c>
      <c r="C701" s="2" t="s">
        <v>4851</v>
      </c>
      <c r="D701" s="2">
        <v>2024</v>
      </c>
      <c r="E701" s="3">
        <v>45505</v>
      </c>
      <c r="F701" s="2" t="s">
        <v>4658</v>
      </c>
      <c r="G701" s="2">
        <v>41</v>
      </c>
      <c r="H701" s="2">
        <v>4</v>
      </c>
      <c r="I701" s="2" t="s">
        <v>4852</v>
      </c>
      <c r="J701" s="2" t="s">
        <v>4660</v>
      </c>
      <c r="K701" s="2" t="s">
        <v>4661</v>
      </c>
      <c r="L701" s="2" t="s">
        <v>1867</v>
      </c>
      <c r="M701" s="2" t="s">
        <v>3203</v>
      </c>
      <c r="N701" s="2" t="s">
        <v>4247</v>
      </c>
      <c r="O701" s="2" t="s">
        <v>4853</v>
      </c>
      <c r="P701" s="2" t="s">
        <v>4854</v>
      </c>
      <c r="Q701" s="2" t="s">
        <v>33</v>
      </c>
      <c r="R701" s="2" t="s">
        <v>4855</v>
      </c>
      <c r="S701" s="2" t="s">
        <v>4856</v>
      </c>
      <c r="T701" s="2" t="s">
        <v>4857</v>
      </c>
      <c r="U701" s="2" t="s">
        <v>4858</v>
      </c>
      <c r="V701" s="2" t="s">
        <v>80</v>
      </c>
    </row>
    <row r="702" spans="1:22">
      <c r="A702" s="2" t="s">
        <v>4859</v>
      </c>
      <c r="B702" s="2" t="s">
        <v>4860</v>
      </c>
      <c r="C702" s="2" t="s">
        <v>4861</v>
      </c>
      <c r="D702" s="2">
        <v>2024</v>
      </c>
      <c r="E702" s="3">
        <v>45627</v>
      </c>
      <c r="F702" s="2" t="s">
        <v>3748</v>
      </c>
      <c r="G702" s="2">
        <v>9</v>
      </c>
      <c r="H702" s="2">
        <v>4</v>
      </c>
      <c r="I702" s="2" t="s">
        <v>43</v>
      </c>
      <c r="J702" s="2" t="s">
        <v>3749</v>
      </c>
      <c r="K702" s="2" t="s">
        <v>61</v>
      </c>
      <c r="L702" s="2" t="s">
        <v>29</v>
      </c>
      <c r="M702" s="2" t="s">
        <v>184</v>
      </c>
      <c r="N702" s="2" t="s">
        <v>2460</v>
      </c>
      <c r="O702" s="2" t="s">
        <v>4862</v>
      </c>
      <c r="P702" s="2" t="s">
        <v>4863</v>
      </c>
      <c r="Q702" s="2" t="s">
        <v>33</v>
      </c>
      <c r="R702" s="2" t="s">
        <v>4864</v>
      </c>
      <c r="S702" s="2" t="s">
        <v>4865</v>
      </c>
      <c r="T702" s="2" t="s">
        <v>4866</v>
      </c>
      <c r="U702" s="2" t="s">
        <v>4867</v>
      </c>
      <c r="V702" s="2" t="s">
        <v>4868</v>
      </c>
    </row>
    <row r="703" spans="1:22">
      <c r="A703" s="2" t="s">
        <v>2728</v>
      </c>
      <c r="B703" s="2" t="s">
        <v>4869</v>
      </c>
      <c r="C703" s="2" t="s">
        <v>4870</v>
      </c>
      <c r="D703" s="2">
        <v>2025</v>
      </c>
      <c r="E703" s="3">
        <v>45759</v>
      </c>
      <c r="F703" s="2" t="s">
        <v>4871</v>
      </c>
      <c r="G703" s="2">
        <v>17</v>
      </c>
      <c r="H703" s="2">
        <v>2</v>
      </c>
      <c r="I703" s="2" t="s">
        <v>4872</v>
      </c>
      <c r="J703" s="2" t="s">
        <v>4873</v>
      </c>
      <c r="K703" s="2" t="s">
        <v>4874</v>
      </c>
      <c r="L703" s="2" t="s">
        <v>29</v>
      </c>
      <c r="M703" s="2" t="s">
        <v>1919</v>
      </c>
      <c r="N703" s="2" t="s">
        <v>293</v>
      </c>
      <c r="O703" s="2" t="s">
        <v>4875</v>
      </c>
      <c r="P703" s="2" t="s">
        <v>4876</v>
      </c>
      <c r="Q703" s="2" t="s">
        <v>33</v>
      </c>
      <c r="R703" s="2" t="s">
        <v>4877</v>
      </c>
      <c r="S703" s="2" t="s">
        <v>79</v>
      </c>
      <c r="T703" s="5">
        <v>601053680000000</v>
      </c>
      <c r="U703" s="2" t="s">
        <v>79</v>
      </c>
      <c r="V703" s="2" t="s">
        <v>80</v>
      </c>
    </row>
    <row r="704" spans="1:22">
      <c r="A704" s="2" t="s">
        <v>4878</v>
      </c>
      <c r="B704" s="2" t="s">
        <v>4879</v>
      </c>
      <c r="C704" s="2" t="s">
        <v>4880</v>
      </c>
      <c r="D704" s="2">
        <v>2024</v>
      </c>
      <c r="E704" s="3">
        <v>45505</v>
      </c>
      <c r="F704" s="2" t="s">
        <v>3864</v>
      </c>
      <c r="G704" s="2">
        <v>37</v>
      </c>
      <c r="H704" s="2">
        <v>4</v>
      </c>
      <c r="I704" s="2" t="s">
        <v>4881</v>
      </c>
      <c r="J704" s="2" t="s">
        <v>3866</v>
      </c>
      <c r="K704" s="2" t="s">
        <v>3867</v>
      </c>
      <c r="L704" s="2" t="s">
        <v>29</v>
      </c>
      <c r="M704" s="2" t="s">
        <v>3416</v>
      </c>
      <c r="N704" s="2" t="s">
        <v>3868</v>
      </c>
      <c r="O704" s="2" t="s">
        <v>3869</v>
      </c>
      <c r="P704" s="2" t="s">
        <v>4882</v>
      </c>
      <c r="Q704" s="2" t="s">
        <v>33</v>
      </c>
      <c r="R704" s="2" t="s">
        <v>4883</v>
      </c>
      <c r="S704" s="2" t="s">
        <v>3872</v>
      </c>
      <c r="T704" s="2" t="s">
        <v>4884</v>
      </c>
      <c r="U704" s="2" t="s">
        <v>4885</v>
      </c>
      <c r="V704" s="2" t="s">
        <v>802</v>
      </c>
    </row>
    <row r="705" spans="1:22">
      <c r="A705" s="2" t="s">
        <v>4553</v>
      </c>
      <c r="B705" s="2" t="s">
        <v>4879</v>
      </c>
      <c r="C705" s="2" t="s">
        <v>4880</v>
      </c>
      <c r="D705" s="2">
        <v>2024</v>
      </c>
      <c r="E705" s="3">
        <v>45505</v>
      </c>
      <c r="F705" s="2" t="s">
        <v>3864</v>
      </c>
      <c r="G705" s="2">
        <v>37</v>
      </c>
      <c r="H705" s="2">
        <v>4</v>
      </c>
      <c r="I705" s="2" t="s">
        <v>4881</v>
      </c>
      <c r="J705" s="2" t="s">
        <v>3866</v>
      </c>
      <c r="K705" s="2" t="s">
        <v>3867</v>
      </c>
      <c r="L705" s="2" t="s">
        <v>29</v>
      </c>
      <c r="M705" s="2" t="s">
        <v>3416</v>
      </c>
      <c r="N705" s="2" t="s">
        <v>3868</v>
      </c>
      <c r="O705" s="2" t="s">
        <v>3869</v>
      </c>
      <c r="P705" s="2" t="s">
        <v>4882</v>
      </c>
      <c r="Q705" s="2" t="s">
        <v>33</v>
      </c>
      <c r="R705" s="2" t="s">
        <v>4883</v>
      </c>
      <c r="S705" s="2" t="s">
        <v>3872</v>
      </c>
      <c r="T705" s="2" t="s">
        <v>4884</v>
      </c>
      <c r="U705" s="2" t="s">
        <v>4885</v>
      </c>
      <c r="V705" s="2" t="s">
        <v>802</v>
      </c>
    </row>
    <row r="706" spans="1:22">
      <c r="A706" s="2" t="s">
        <v>4886</v>
      </c>
      <c r="B706" s="2" t="s">
        <v>4887</v>
      </c>
      <c r="C706" s="2" t="s">
        <v>4888</v>
      </c>
      <c r="D706" s="2">
        <v>2024</v>
      </c>
      <c r="E706" s="3">
        <v>45292</v>
      </c>
      <c r="F706" s="2" t="s">
        <v>4889</v>
      </c>
      <c r="G706" s="2">
        <v>13</v>
      </c>
      <c r="H706" s="2" t="s">
        <v>43</v>
      </c>
      <c r="I706" s="2" t="s">
        <v>43</v>
      </c>
      <c r="J706" s="2" t="s">
        <v>4890</v>
      </c>
      <c r="K706" s="2" t="s">
        <v>4891</v>
      </c>
      <c r="L706" s="2" t="s">
        <v>1867</v>
      </c>
      <c r="M706" s="2" t="s">
        <v>3317</v>
      </c>
      <c r="N706" s="2" t="s">
        <v>1327</v>
      </c>
      <c r="O706" s="2" t="s">
        <v>4892</v>
      </c>
      <c r="P706" s="2" t="s">
        <v>4893</v>
      </c>
      <c r="Q706" s="2" t="s">
        <v>33</v>
      </c>
      <c r="R706" s="2" t="s">
        <v>4894</v>
      </c>
      <c r="S706" s="2" t="s">
        <v>2464</v>
      </c>
      <c r="T706" s="2" t="s">
        <v>2465</v>
      </c>
      <c r="U706" s="2" t="s">
        <v>2466</v>
      </c>
      <c r="V706" s="2" t="s">
        <v>80</v>
      </c>
    </row>
    <row r="707" spans="1:22">
      <c r="A707" s="2" t="s">
        <v>4895</v>
      </c>
      <c r="B707" s="2" t="s">
        <v>4896</v>
      </c>
      <c r="C707" s="2" t="s">
        <v>4897</v>
      </c>
      <c r="D707" s="2">
        <v>2024</v>
      </c>
      <c r="E707" s="3">
        <v>45644</v>
      </c>
      <c r="F707" s="2" t="s">
        <v>4898</v>
      </c>
      <c r="G707" s="2">
        <v>44</v>
      </c>
      <c r="H707" s="2">
        <v>4</v>
      </c>
      <c r="I707" s="2" t="s">
        <v>4899</v>
      </c>
      <c r="J707" s="2" t="s">
        <v>4900</v>
      </c>
      <c r="K707" s="2" t="s">
        <v>4901</v>
      </c>
      <c r="L707" s="2" t="s">
        <v>29</v>
      </c>
      <c r="M707" s="2" t="s">
        <v>3357</v>
      </c>
      <c r="N707" s="2" t="s">
        <v>3706</v>
      </c>
      <c r="O707" s="2" t="s">
        <v>4902</v>
      </c>
      <c r="P707" s="2" t="s">
        <v>4903</v>
      </c>
      <c r="Q707" s="2" t="s">
        <v>33</v>
      </c>
      <c r="R707" s="2" t="s">
        <v>4904</v>
      </c>
      <c r="S707" s="2" t="s">
        <v>409</v>
      </c>
      <c r="T707" s="2" t="s">
        <v>4905</v>
      </c>
      <c r="U707" s="2" t="s">
        <v>4906</v>
      </c>
      <c r="V707" s="2" t="s">
        <v>80</v>
      </c>
    </row>
    <row r="708" spans="1:22">
      <c r="A708" s="2" t="s">
        <v>4907</v>
      </c>
      <c r="B708" s="2" t="s">
        <v>4908</v>
      </c>
      <c r="C708" s="2" t="s">
        <v>4909</v>
      </c>
      <c r="D708" s="2">
        <v>2025</v>
      </c>
      <c r="E708" s="3">
        <v>45962</v>
      </c>
      <c r="F708" s="2" t="s">
        <v>2392</v>
      </c>
      <c r="G708" s="2">
        <v>36</v>
      </c>
      <c r="H708" s="2">
        <v>6</v>
      </c>
      <c r="I708" s="2" t="s">
        <v>4910</v>
      </c>
      <c r="J708" s="2" t="s">
        <v>2394</v>
      </c>
      <c r="K708" s="2" t="s">
        <v>392</v>
      </c>
      <c r="L708" s="2" t="s">
        <v>1867</v>
      </c>
      <c r="M708" s="2" t="s">
        <v>1948</v>
      </c>
      <c r="N708" s="2" t="s">
        <v>2156</v>
      </c>
      <c r="O708" s="2" t="s">
        <v>3438</v>
      </c>
      <c r="P708" s="2" t="s">
        <v>4911</v>
      </c>
      <c r="Q708" s="2" t="s">
        <v>33</v>
      </c>
      <c r="R708" s="2" t="s">
        <v>4912</v>
      </c>
      <c r="S708" s="2" t="s">
        <v>4913</v>
      </c>
      <c r="T708" s="2" t="s">
        <v>4914</v>
      </c>
      <c r="U708" s="2" t="s">
        <v>4915</v>
      </c>
      <c r="V708" s="2" t="s">
        <v>80</v>
      </c>
    </row>
    <row r="709" spans="1:22">
      <c r="A709" s="2" t="s">
        <v>296</v>
      </c>
      <c r="B709" s="2" t="s">
        <v>4908</v>
      </c>
      <c r="C709" s="2" t="s">
        <v>4909</v>
      </c>
      <c r="D709" s="2">
        <v>2025</v>
      </c>
      <c r="E709" s="3">
        <v>45962</v>
      </c>
      <c r="F709" s="2" t="s">
        <v>2392</v>
      </c>
      <c r="G709" s="2">
        <v>36</v>
      </c>
      <c r="H709" s="2">
        <v>6</v>
      </c>
      <c r="I709" s="2" t="s">
        <v>4910</v>
      </c>
      <c r="J709" s="2" t="s">
        <v>2394</v>
      </c>
      <c r="K709" s="2" t="s">
        <v>392</v>
      </c>
      <c r="L709" s="2" t="s">
        <v>1867</v>
      </c>
      <c r="M709" s="2" t="s">
        <v>1948</v>
      </c>
      <c r="N709" s="2" t="s">
        <v>2156</v>
      </c>
      <c r="O709" s="2" t="s">
        <v>3438</v>
      </c>
      <c r="P709" s="2" t="s">
        <v>4911</v>
      </c>
      <c r="Q709" s="2" t="s">
        <v>33</v>
      </c>
      <c r="R709" s="2" t="s">
        <v>4912</v>
      </c>
      <c r="S709" s="2" t="s">
        <v>4913</v>
      </c>
      <c r="T709" s="2" t="s">
        <v>4914</v>
      </c>
      <c r="U709" s="2" t="s">
        <v>4915</v>
      </c>
      <c r="V709" s="2" t="s">
        <v>80</v>
      </c>
    </row>
    <row r="710" spans="1:22">
      <c r="A710" s="2" t="s">
        <v>4916</v>
      </c>
      <c r="B710" s="2" t="s">
        <v>4908</v>
      </c>
      <c r="C710" s="2" t="s">
        <v>4909</v>
      </c>
      <c r="D710" s="2">
        <v>2025</v>
      </c>
      <c r="E710" s="3">
        <v>45962</v>
      </c>
      <c r="F710" s="2" t="s">
        <v>2392</v>
      </c>
      <c r="G710" s="2">
        <v>36</v>
      </c>
      <c r="H710" s="2">
        <v>6</v>
      </c>
      <c r="I710" s="2" t="s">
        <v>4910</v>
      </c>
      <c r="J710" s="2" t="s">
        <v>2394</v>
      </c>
      <c r="K710" s="2" t="s">
        <v>392</v>
      </c>
      <c r="L710" s="2" t="s">
        <v>1867</v>
      </c>
      <c r="M710" s="2" t="s">
        <v>1948</v>
      </c>
      <c r="N710" s="2" t="s">
        <v>2156</v>
      </c>
      <c r="O710" s="2" t="s">
        <v>3438</v>
      </c>
      <c r="P710" s="2" t="s">
        <v>4911</v>
      </c>
      <c r="Q710" s="2" t="s">
        <v>33</v>
      </c>
      <c r="R710" s="2" t="s">
        <v>4912</v>
      </c>
      <c r="S710" s="2" t="s">
        <v>4913</v>
      </c>
      <c r="T710" s="2" t="s">
        <v>4914</v>
      </c>
      <c r="U710" s="2" t="s">
        <v>4915</v>
      </c>
      <c r="V710" s="2" t="s">
        <v>80</v>
      </c>
    </row>
    <row r="711" spans="1:22">
      <c r="A711" s="2" t="s">
        <v>4917</v>
      </c>
      <c r="B711" s="2" t="s">
        <v>4918</v>
      </c>
      <c r="C711" s="2" t="s">
        <v>4919</v>
      </c>
      <c r="D711" s="2">
        <v>2024</v>
      </c>
      <c r="E711" s="3">
        <v>45536</v>
      </c>
      <c r="F711" s="2" t="s">
        <v>2392</v>
      </c>
      <c r="G711" s="2">
        <v>35</v>
      </c>
      <c r="H711" s="6">
        <v>46178</v>
      </c>
      <c r="I711" s="2" t="s">
        <v>4920</v>
      </c>
      <c r="J711" s="2" t="s">
        <v>2394</v>
      </c>
      <c r="K711" s="2" t="s">
        <v>392</v>
      </c>
      <c r="L711" s="2" t="s">
        <v>773</v>
      </c>
      <c r="M711" s="2" t="s">
        <v>47</v>
      </c>
      <c r="N711" s="2" t="s">
        <v>2395</v>
      </c>
      <c r="O711" s="2" t="s">
        <v>2396</v>
      </c>
      <c r="P711" s="2" t="s">
        <v>4921</v>
      </c>
      <c r="Q711" s="2" t="s">
        <v>33</v>
      </c>
      <c r="R711" s="2" t="s">
        <v>4922</v>
      </c>
      <c r="S711" s="2" t="s">
        <v>511</v>
      </c>
      <c r="T711" s="2" t="s">
        <v>512</v>
      </c>
      <c r="U711" s="2" t="s">
        <v>511</v>
      </c>
      <c r="V711" s="2" t="s">
        <v>80</v>
      </c>
    </row>
    <row r="712" spans="1:22">
      <c r="A712" s="2" t="s">
        <v>3093</v>
      </c>
      <c r="B712" s="2" t="s">
        <v>4918</v>
      </c>
      <c r="C712" s="2" t="s">
        <v>4919</v>
      </c>
      <c r="D712" s="2">
        <v>2024</v>
      </c>
      <c r="E712" s="3">
        <v>45536</v>
      </c>
      <c r="F712" s="2" t="s">
        <v>2392</v>
      </c>
      <c r="G712" s="2">
        <v>35</v>
      </c>
      <c r="H712" s="6">
        <v>46178</v>
      </c>
      <c r="I712" s="2" t="s">
        <v>4920</v>
      </c>
      <c r="J712" s="2" t="s">
        <v>2394</v>
      </c>
      <c r="K712" s="2" t="s">
        <v>392</v>
      </c>
      <c r="L712" s="2" t="s">
        <v>773</v>
      </c>
      <c r="M712" s="2" t="s">
        <v>47</v>
      </c>
      <c r="N712" s="2" t="s">
        <v>2395</v>
      </c>
      <c r="O712" s="2" t="s">
        <v>2396</v>
      </c>
      <c r="P712" s="2" t="s">
        <v>4921</v>
      </c>
      <c r="Q712" s="2" t="s">
        <v>33</v>
      </c>
      <c r="R712" s="2" t="s">
        <v>4922</v>
      </c>
      <c r="S712" s="2" t="s">
        <v>511</v>
      </c>
      <c r="T712" s="2" t="s">
        <v>512</v>
      </c>
      <c r="U712" s="2" t="s">
        <v>511</v>
      </c>
      <c r="V712" s="2" t="s">
        <v>80</v>
      </c>
    </row>
    <row r="713" spans="1:22">
      <c r="A713" s="2" t="s">
        <v>4923</v>
      </c>
      <c r="B713" s="2" t="s">
        <v>4924</v>
      </c>
      <c r="C713" s="2" t="s">
        <v>4925</v>
      </c>
      <c r="D713" s="2">
        <v>2025</v>
      </c>
      <c r="E713" s="3">
        <v>45658</v>
      </c>
      <c r="F713" s="2" t="s">
        <v>4926</v>
      </c>
      <c r="G713" s="2">
        <v>77</v>
      </c>
      <c r="H713" s="2">
        <v>3</v>
      </c>
      <c r="I713" s="2" t="s">
        <v>4927</v>
      </c>
      <c r="J713" s="2" t="s">
        <v>4928</v>
      </c>
      <c r="K713" s="2" t="s">
        <v>4929</v>
      </c>
      <c r="L713" s="2" t="s">
        <v>1867</v>
      </c>
      <c r="M713" s="2" t="s">
        <v>3810</v>
      </c>
      <c r="N713" s="2" t="s">
        <v>4578</v>
      </c>
      <c r="O713" s="2" t="s">
        <v>4930</v>
      </c>
      <c r="P713" s="2" t="s">
        <v>4931</v>
      </c>
      <c r="Q713" s="2" t="s">
        <v>33</v>
      </c>
      <c r="R713" s="2" t="s">
        <v>4932</v>
      </c>
      <c r="S713" s="2" t="s">
        <v>398</v>
      </c>
      <c r="T713" s="2" t="s">
        <v>4933</v>
      </c>
      <c r="U713" s="2" t="s">
        <v>4934</v>
      </c>
      <c r="V713" s="2" t="s">
        <v>80</v>
      </c>
    </row>
    <row r="714" spans="1:22">
      <c r="A714" s="2" t="s">
        <v>4935</v>
      </c>
      <c r="B714" s="2" t="s">
        <v>4924</v>
      </c>
      <c r="C714" s="2" t="s">
        <v>4925</v>
      </c>
      <c r="D714" s="2">
        <v>2025</v>
      </c>
      <c r="E714" s="3">
        <v>45658</v>
      </c>
      <c r="F714" s="2" t="s">
        <v>4926</v>
      </c>
      <c r="G714" s="2">
        <v>77</v>
      </c>
      <c r="H714" s="2">
        <v>3</v>
      </c>
      <c r="I714" s="2" t="s">
        <v>4927</v>
      </c>
      <c r="J714" s="2" t="s">
        <v>4928</v>
      </c>
      <c r="K714" s="2" t="s">
        <v>4929</v>
      </c>
      <c r="L714" s="2" t="s">
        <v>1867</v>
      </c>
      <c r="M714" s="2" t="s">
        <v>3810</v>
      </c>
      <c r="N714" s="2" t="s">
        <v>4578</v>
      </c>
      <c r="O714" s="2" t="s">
        <v>4930</v>
      </c>
      <c r="P714" s="2" t="s">
        <v>4931</v>
      </c>
      <c r="Q714" s="2" t="s">
        <v>33</v>
      </c>
      <c r="R714" s="2" t="s">
        <v>4932</v>
      </c>
      <c r="S714" s="2" t="s">
        <v>398</v>
      </c>
      <c r="T714" s="2" t="s">
        <v>4933</v>
      </c>
      <c r="U714" s="2" t="s">
        <v>4934</v>
      </c>
      <c r="V714" s="2" t="s">
        <v>80</v>
      </c>
    </row>
    <row r="715" spans="1:22">
      <c r="A715" s="2" t="s">
        <v>4936</v>
      </c>
      <c r="B715" s="2" t="s">
        <v>4924</v>
      </c>
      <c r="C715" s="2" t="s">
        <v>4925</v>
      </c>
      <c r="D715" s="2">
        <v>2025</v>
      </c>
      <c r="E715" s="3">
        <v>45658</v>
      </c>
      <c r="F715" s="2" t="s">
        <v>4926</v>
      </c>
      <c r="G715" s="2">
        <v>77</v>
      </c>
      <c r="H715" s="2">
        <v>3</v>
      </c>
      <c r="I715" s="2" t="s">
        <v>4927</v>
      </c>
      <c r="J715" s="2" t="s">
        <v>4928</v>
      </c>
      <c r="K715" s="2" t="s">
        <v>4929</v>
      </c>
      <c r="L715" s="2" t="s">
        <v>1867</v>
      </c>
      <c r="M715" s="2" t="s">
        <v>3810</v>
      </c>
      <c r="N715" s="2" t="s">
        <v>4578</v>
      </c>
      <c r="O715" s="2" t="s">
        <v>4930</v>
      </c>
      <c r="P715" s="2" t="s">
        <v>4931</v>
      </c>
      <c r="Q715" s="2" t="s">
        <v>33</v>
      </c>
      <c r="R715" s="2" t="s">
        <v>4932</v>
      </c>
      <c r="S715" s="2" t="s">
        <v>398</v>
      </c>
      <c r="T715" s="2" t="s">
        <v>4933</v>
      </c>
      <c r="U715" s="2" t="s">
        <v>4934</v>
      </c>
      <c r="V715" s="2" t="s">
        <v>80</v>
      </c>
    </row>
    <row r="716" spans="1:22">
      <c r="A716" s="2" t="s">
        <v>4937</v>
      </c>
      <c r="B716" s="2" t="s">
        <v>4924</v>
      </c>
      <c r="C716" s="2" t="s">
        <v>4925</v>
      </c>
      <c r="D716" s="2">
        <v>2025</v>
      </c>
      <c r="E716" s="3">
        <v>45658</v>
      </c>
      <c r="F716" s="2" t="s">
        <v>4926</v>
      </c>
      <c r="G716" s="2">
        <v>77</v>
      </c>
      <c r="H716" s="2">
        <v>3</v>
      </c>
      <c r="I716" s="2" t="s">
        <v>4927</v>
      </c>
      <c r="J716" s="2" t="s">
        <v>4928</v>
      </c>
      <c r="K716" s="2" t="s">
        <v>4929</v>
      </c>
      <c r="L716" s="2" t="s">
        <v>1867</v>
      </c>
      <c r="M716" s="2" t="s">
        <v>3810</v>
      </c>
      <c r="N716" s="2" t="s">
        <v>4578</v>
      </c>
      <c r="O716" s="2" t="s">
        <v>4930</v>
      </c>
      <c r="P716" s="2" t="s">
        <v>4931</v>
      </c>
      <c r="Q716" s="2" t="s">
        <v>33</v>
      </c>
      <c r="R716" s="2" t="s">
        <v>4932</v>
      </c>
      <c r="S716" s="2" t="s">
        <v>398</v>
      </c>
      <c r="T716" s="2" t="s">
        <v>4933</v>
      </c>
      <c r="U716" s="2" t="s">
        <v>4934</v>
      </c>
      <c r="V716" s="2" t="s">
        <v>80</v>
      </c>
    </row>
    <row r="717" spans="1:22">
      <c r="A717" s="2" t="s">
        <v>4938</v>
      </c>
      <c r="B717" s="2" t="s">
        <v>4924</v>
      </c>
      <c r="C717" s="2" t="s">
        <v>4925</v>
      </c>
      <c r="D717" s="2">
        <v>2025</v>
      </c>
      <c r="E717" s="3">
        <v>45658</v>
      </c>
      <c r="F717" s="2" t="s">
        <v>4926</v>
      </c>
      <c r="G717" s="2">
        <v>77</v>
      </c>
      <c r="H717" s="2">
        <v>3</v>
      </c>
      <c r="I717" s="2" t="s">
        <v>4927</v>
      </c>
      <c r="J717" s="2" t="s">
        <v>4928</v>
      </c>
      <c r="K717" s="2" t="s">
        <v>4929</v>
      </c>
      <c r="L717" s="2" t="s">
        <v>1867</v>
      </c>
      <c r="M717" s="2" t="s">
        <v>3810</v>
      </c>
      <c r="N717" s="2" t="s">
        <v>4578</v>
      </c>
      <c r="O717" s="2" t="s">
        <v>4930</v>
      </c>
      <c r="P717" s="2" t="s">
        <v>4931</v>
      </c>
      <c r="Q717" s="2" t="s">
        <v>33</v>
      </c>
      <c r="R717" s="2" t="s">
        <v>4932</v>
      </c>
      <c r="S717" s="2" t="s">
        <v>398</v>
      </c>
      <c r="T717" s="2" t="s">
        <v>4933</v>
      </c>
      <c r="U717" s="2" t="s">
        <v>4934</v>
      </c>
      <c r="V717" s="2" t="s">
        <v>80</v>
      </c>
    </row>
    <row r="718" spans="1:22">
      <c r="A718" s="2" t="s">
        <v>4939</v>
      </c>
      <c r="B718" s="2" t="s">
        <v>4924</v>
      </c>
      <c r="C718" s="2" t="s">
        <v>4925</v>
      </c>
      <c r="D718" s="2">
        <v>2025</v>
      </c>
      <c r="E718" s="3">
        <v>45658</v>
      </c>
      <c r="F718" s="2" t="s">
        <v>4926</v>
      </c>
      <c r="G718" s="2">
        <v>77</v>
      </c>
      <c r="H718" s="2">
        <v>3</v>
      </c>
      <c r="I718" s="2" t="s">
        <v>4927</v>
      </c>
      <c r="J718" s="2" t="s">
        <v>4928</v>
      </c>
      <c r="K718" s="2" t="s">
        <v>4929</v>
      </c>
      <c r="L718" s="2" t="s">
        <v>1867</v>
      </c>
      <c r="M718" s="2" t="s">
        <v>3810</v>
      </c>
      <c r="N718" s="2" t="s">
        <v>4578</v>
      </c>
      <c r="O718" s="2" t="s">
        <v>4930</v>
      </c>
      <c r="P718" s="2" t="s">
        <v>4931</v>
      </c>
      <c r="Q718" s="2" t="s">
        <v>33</v>
      </c>
      <c r="R718" s="2" t="s">
        <v>4932</v>
      </c>
      <c r="S718" s="2" t="s">
        <v>398</v>
      </c>
      <c r="T718" s="2" t="s">
        <v>4933</v>
      </c>
      <c r="U718" s="2" t="s">
        <v>4934</v>
      </c>
      <c r="V718" s="2" t="s">
        <v>80</v>
      </c>
    </row>
    <row r="719" spans="1:22">
      <c r="A719" s="2" t="s">
        <v>1320</v>
      </c>
      <c r="B719" s="2" t="s">
        <v>4940</v>
      </c>
      <c r="C719" s="2" t="s">
        <v>4941</v>
      </c>
      <c r="D719" s="2">
        <v>2025</v>
      </c>
      <c r="E719" s="3">
        <v>45962</v>
      </c>
      <c r="F719" s="2" t="s">
        <v>3096</v>
      </c>
      <c r="G719" s="2">
        <v>153</v>
      </c>
      <c r="H719" s="2">
        <v>11</v>
      </c>
      <c r="I719" s="2" t="s">
        <v>4942</v>
      </c>
      <c r="J719" s="2" t="s">
        <v>3098</v>
      </c>
      <c r="K719" s="2" t="s">
        <v>3099</v>
      </c>
      <c r="L719" s="2" t="s">
        <v>773</v>
      </c>
      <c r="M719" s="2" t="s">
        <v>1919</v>
      </c>
      <c r="N719" s="2" t="s">
        <v>2178</v>
      </c>
      <c r="O719" s="2" t="s">
        <v>4943</v>
      </c>
      <c r="P719" s="2" t="s">
        <v>4944</v>
      </c>
      <c r="Q719" s="2" t="s">
        <v>33</v>
      </c>
      <c r="R719" s="2" t="s">
        <v>4945</v>
      </c>
      <c r="S719" s="2" t="s">
        <v>398</v>
      </c>
      <c r="T719" s="2" t="s">
        <v>4946</v>
      </c>
      <c r="U719" s="2" t="s">
        <v>4947</v>
      </c>
      <c r="V719" s="2" t="s">
        <v>80</v>
      </c>
    </row>
    <row r="720" spans="1:22">
      <c r="A720" s="2" t="s">
        <v>4948</v>
      </c>
      <c r="B720" s="2" t="s">
        <v>4949</v>
      </c>
      <c r="C720" s="2" t="s">
        <v>4950</v>
      </c>
      <c r="D720" s="2">
        <v>2025</v>
      </c>
      <c r="E720" s="3">
        <v>45689</v>
      </c>
      <c r="F720" s="2" t="s">
        <v>4951</v>
      </c>
      <c r="G720" s="2">
        <v>14</v>
      </c>
      <c r="H720" s="2">
        <v>2</v>
      </c>
      <c r="I720" s="2" t="s">
        <v>43</v>
      </c>
      <c r="J720" s="2" t="s">
        <v>4952</v>
      </c>
      <c r="K720" s="2" t="s">
        <v>103</v>
      </c>
      <c r="L720" s="2" t="s">
        <v>29</v>
      </c>
      <c r="M720" s="2" t="s">
        <v>4953</v>
      </c>
      <c r="N720" s="2" t="s">
        <v>3951</v>
      </c>
      <c r="O720" s="2" t="s">
        <v>4954</v>
      </c>
      <c r="P720" s="2" t="s">
        <v>4955</v>
      </c>
      <c r="Q720" s="2" t="s">
        <v>33</v>
      </c>
      <c r="R720" s="2" t="s">
        <v>4956</v>
      </c>
      <c r="S720" s="2" t="s">
        <v>4957</v>
      </c>
      <c r="T720" s="2" t="s">
        <v>4958</v>
      </c>
      <c r="U720" s="2" t="s">
        <v>4959</v>
      </c>
      <c r="V720" s="2" t="s">
        <v>621</v>
      </c>
    </row>
    <row r="721" spans="1:22">
      <c r="A721" s="2" t="s">
        <v>2099</v>
      </c>
      <c r="B721" s="2" t="s">
        <v>4960</v>
      </c>
      <c r="C721" s="2" t="s">
        <v>4961</v>
      </c>
      <c r="D721" s="2">
        <v>2025</v>
      </c>
      <c r="E721" s="3">
        <v>45658</v>
      </c>
      <c r="F721" s="2" t="s">
        <v>4962</v>
      </c>
      <c r="G721" s="2">
        <v>17</v>
      </c>
      <c r="H721" s="2" t="s">
        <v>43</v>
      </c>
      <c r="I721" s="2" t="s">
        <v>43</v>
      </c>
      <c r="J721" s="2" t="s">
        <v>4963</v>
      </c>
      <c r="K721" s="2" t="s">
        <v>4964</v>
      </c>
      <c r="L721" s="2" t="s">
        <v>29</v>
      </c>
      <c r="M721" s="2" t="s">
        <v>2735</v>
      </c>
      <c r="N721" s="2" t="s">
        <v>3050</v>
      </c>
      <c r="O721" s="2" t="s">
        <v>4965</v>
      </c>
      <c r="P721" s="2" t="s">
        <v>4966</v>
      </c>
      <c r="Q721" s="2" t="s">
        <v>33</v>
      </c>
      <c r="R721" s="2" t="s">
        <v>4967</v>
      </c>
      <c r="S721" s="2" t="s">
        <v>4968</v>
      </c>
      <c r="T721" s="2" t="s">
        <v>4969</v>
      </c>
      <c r="U721" s="2" t="s">
        <v>4970</v>
      </c>
      <c r="V721" s="2" t="s">
        <v>80</v>
      </c>
    </row>
    <row r="722" spans="1:22">
      <c r="A722" s="2" t="s">
        <v>4971</v>
      </c>
      <c r="B722" s="2" t="s">
        <v>4972</v>
      </c>
      <c r="C722" s="2" t="s">
        <v>4973</v>
      </c>
      <c r="D722" s="2">
        <v>2025</v>
      </c>
      <c r="E722" s="3">
        <v>45839</v>
      </c>
      <c r="F722" s="2" t="s">
        <v>4974</v>
      </c>
      <c r="G722" s="2">
        <v>101</v>
      </c>
      <c r="H722" s="2" t="s">
        <v>43</v>
      </c>
      <c r="I722" s="2" t="s">
        <v>43</v>
      </c>
      <c r="J722" s="2" t="s">
        <v>4975</v>
      </c>
      <c r="K722" s="2" t="s">
        <v>734</v>
      </c>
      <c r="L722" s="2" t="s">
        <v>29</v>
      </c>
      <c r="M722" s="2" t="s">
        <v>960</v>
      </c>
      <c r="N722" s="2" t="s">
        <v>374</v>
      </c>
      <c r="O722" s="4">
        <v>1485</v>
      </c>
      <c r="P722" s="2" t="s">
        <v>4976</v>
      </c>
      <c r="Q722" s="2" t="s">
        <v>33</v>
      </c>
      <c r="R722" s="2" t="s">
        <v>4977</v>
      </c>
      <c r="S722" s="2" t="s">
        <v>398</v>
      </c>
      <c r="T722" s="2" t="s">
        <v>4978</v>
      </c>
      <c r="U722" s="2" t="s">
        <v>398</v>
      </c>
      <c r="V722" s="2" t="s">
        <v>80</v>
      </c>
    </row>
    <row r="723" spans="1:22">
      <c r="A723" s="2" t="s">
        <v>3688</v>
      </c>
      <c r="B723" s="2" t="s">
        <v>4979</v>
      </c>
      <c r="C723" s="2" t="s">
        <v>4980</v>
      </c>
      <c r="D723" s="2">
        <v>2025</v>
      </c>
      <c r="E723" s="3">
        <v>45870</v>
      </c>
      <c r="F723" s="2" t="s">
        <v>2912</v>
      </c>
      <c r="G723" s="2">
        <v>52</v>
      </c>
      <c r="H723" s="2">
        <v>4</v>
      </c>
      <c r="I723" s="2" t="s">
        <v>4981</v>
      </c>
      <c r="J723" s="2" t="s">
        <v>2914</v>
      </c>
      <c r="K723" s="2" t="s">
        <v>2915</v>
      </c>
      <c r="L723" s="2" t="s">
        <v>1867</v>
      </c>
      <c r="M723" s="2" t="s">
        <v>47</v>
      </c>
      <c r="N723" s="2" t="s">
        <v>2916</v>
      </c>
      <c r="O723" s="2" t="s">
        <v>2917</v>
      </c>
      <c r="P723" s="2" t="s">
        <v>4982</v>
      </c>
      <c r="Q723" s="2" t="s">
        <v>33</v>
      </c>
      <c r="R723" s="2" t="s">
        <v>4983</v>
      </c>
      <c r="S723" s="2" t="s">
        <v>398</v>
      </c>
      <c r="T723" s="2" t="s">
        <v>4946</v>
      </c>
      <c r="U723" s="2" t="s">
        <v>4947</v>
      </c>
      <c r="V723" s="2" t="s">
        <v>80</v>
      </c>
    </row>
    <row r="724" spans="1:22">
      <c r="A724" s="2" t="s">
        <v>4984</v>
      </c>
      <c r="B724" s="2" t="s">
        <v>4985</v>
      </c>
      <c r="C724" s="2" t="s">
        <v>4986</v>
      </c>
      <c r="D724" s="2">
        <v>2025</v>
      </c>
      <c r="E724" s="3">
        <v>45992</v>
      </c>
      <c r="F724" s="2" t="s">
        <v>4987</v>
      </c>
      <c r="G724" s="2">
        <v>66</v>
      </c>
      <c r="H724" s="2">
        <v>1</v>
      </c>
      <c r="I724" s="2" t="s">
        <v>4988</v>
      </c>
      <c r="J724" s="2" t="s">
        <v>4989</v>
      </c>
      <c r="K724" s="2" t="s">
        <v>4990</v>
      </c>
      <c r="L724" s="2" t="s">
        <v>1867</v>
      </c>
      <c r="M724" s="2" t="s">
        <v>3357</v>
      </c>
      <c r="N724" s="2" t="s">
        <v>3079</v>
      </c>
      <c r="O724" s="2" t="s">
        <v>4991</v>
      </c>
      <c r="P724" s="2" t="s">
        <v>4992</v>
      </c>
      <c r="Q724" s="2" t="s">
        <v>33</v>
      </c>
      <c r="R724" s="2" t="s">
        <v>4993</v>
      </c>
      <c r="S724" s="2" t="s">
        <v>4050</v>
      </c>
      <c r="T724" s="2" t="s">
        <v>4049</v>
      </c>
      <c r="U724" s="2" t="s">
        <v>4050</v>
      </c>
      <c r="V724" s="2" t="s">
        <v>310</v>
      </c>
    </row>
    <row r="725" spans="1:22">
      <c r="A725" s="2" t="s">
        <v>822</v>
      </c>
      <c r="B725" s="2" t="s">
        <v>4994</v>
      </c>
      <c r="C725" s="2" t="s">
        <v>4995</v>
      </c>
      <c r="D725" s="2">
        <v>2025</v>
      </c>
      <c r="E725" s="3">
        <v>45658</v>
      </c>
      <c r="F725" s="2" t="s">
        <v>4996</v>
      </c>
      <c r="G725" s="2">
        <v>39</v>
      </c>
      <c r="H725" s="2">
        <v>4</v>
      </c>
      <c r="I725" s="2" t="s">
        <v>4997</v>
      </c>
      <c r="J725" s="2" t="s">
        <v>4998</v>
      </c>
      <c r="K725" s="2" t="s">
        <v>666</v>
      </c>
      <c r="L725" s="2" t="s">
        <v>29</v>
      </c>
      <c r="M725" s="2" t="s">
        <v>2381</v>
      </c>
      <c r="N725" s="2" t="s">
        <v>4456</v>
      </c>
      <c r="O725" s="2" t="s">
        <v>4999</v>
      </c>
      <c r="P725" s="2" t="s">
        <v>5000</v>
      </c>
      <c r="Q725" s="2" t="s">
        <v>33</v>
      </c>
      <c r="R725" s="2" t="s">
        <v>5001</v>
      </c>
      <c r="S725" s="2" t="s">
        <v>2283</v>
      </c>
      <c r="T725" s="2" t="s">
        <v>5002</v>
      </c>
      <c r="U725" s="2" t="s">
        <v>5003</v>
      </c>
      <c r="V725" s="2" t="s">
        <v>80</v>
      </c>
    </row>
    <row r="726" spans="1:22">
      <c r="A726" s="2" t="s">
        <v>5004</v>
      </c>
      <c r="B726" s="2" t="s">
        <v>5005</v>
      </c>
      <c r="C726" s="2" t="s">
        <v>5006</v>
      </c>
      <c r="D726" s="2">
        <v>2024</v>
      </c>
      <c r="E726" s="3">
        <v>45292</v>
      </c>
      <c r="F726" s="2" t="s">
        <v>5007</v>
      </c>
      <c r="G726" s="2" t="s">
        <v>43</v>
      </c>
      <c r="H726" s="2">
        <v>49</v>
      </c>
      <c r="I726" s="2" t="s">
        <v>5008</v>
      </c>
      <c r="J726" s="2" t="s">
        <v>5009</v>
      </c>
      <c r="K726" s="2" t="s">
        <v>5010</v>
      </c>
      <c r="L726" s="2" t="s">
        <v>1867</v>
      </c>
      <c r="M726" s="2" t="s">
        <v>4106</v>
      </c>
      <c r="N726" s="2" t="s">
        <v>807</v>
      </c>
      <c r="O726" s="2" t="s">
        <v>2917</v>
      </c>
      <c r="P726" s="2" t="s">
        <v>5011</v>
      </c>
      <c r="Q726" s="2" t="s">
        <v>33</v>
      </c>
      <c r="R726" s="2" t="s">
        <v>5012</v>
      </c>
      <c r="S726" s="2" t="s">
        <v>511</v>
      </c>
      <c r="T726" s="2" t="s">
        <v>512</v>
      </c>
      <c r="U726" s="2" t="s">
        <v>511</v>
      </c>
      <c r="V726" s="2" t="s">
        <v>80</v>
      </c>
    </row>
    <row r="727" spans="1:22">
      <c r="A727" s="2" t="s">
        <v>635</v>
      </c>
      <c r="B727" s="2" t="s">
        <v>5013</v>
      </c>
      <c r="C727" s="2" t="s">
        <v>5014</v>
      </c>
      <c r="D727" s="2">
        <v>2025</v>
      </c>
      <c r="E727" s="3">
        <v>45962</v>
      </c>
      <c r="F727" s="2" t="s">
        <v>3046</v>
      </c>
      <c r="G727" s="2">
        <v>96</v>
      </c>
      <c r="H727" s="2">
        <v>6</v>
      </c>
      <c r="I727" s="2" t="s">
        <v>5015</v>
      </c>
      <c r="J727" s="2" t="s">
        <v>4709</v>
      </c>
      <c r="K727" s="2" t="s">
        <v>3049</v>
      </c>
      <c r="L727" s="2" t="s">
        <v>1867</v>
      </c>
      <c r="M727" s="2" t="s">
        <v>1919</v>
      </c>
      <c r="N727" s="2" t="s">
        <v>3050</v>
      </c>
      <c r="O727" s="2" t="s">
        <v>3051</v>
      </c>
      <c r="P727" s="2" t="s">
        <v>5016</v>
      </c>
      <c r="Q727" s="2" t="s">
        <v>3676</v>
      </c>
      <c r="R727" s="2" t="s">
        <v>5017</v>
      </c>
      <c r="S727" s="2" t="s">
        <v>79</v>
      </c>
      <c r="T727" s="2" t="s">
        <v>5018</v>
      </c>
      <c r="U727" s="2" t="s">
        <v>3055</v>
      </c>
      <c r="V727" s="2" t="s">
        <v>621</v>
      </c>
    </row>
    <row r="728" spans="1:22" ht="28.8">
      <c r="A728" s="2" t="s">
        <v>1803</v>
      </c>
      <c r="B728" s="2" t="s">
        <v>5019</v>
      </c>
      <c r="C728" s="2" t="s">
        <v>5020</v>
      </c>
      <c r="D728" s="2">
        <v>2025</v>
      </c>
      <c r="E728" s="3">
        <v>45992</v>
      </c>
      <c r="F728" s="2" t="s">
        <v>3144</v>
      </c>
      <c r="G728" s="2">
        <v>13</v>
      </c>
      <c r="H728" s="2">
        <v>24</v>
      </c>
      <c r="I728" s="2" t="s">
        <v>43</v>
      </c>
      <c r="J728" s="2" t="s">
        <v>3145</v>
      </c>
      <c r="K728" s="2" t="s">
        <v>61</v>
      </c>
      <c r="L728" s="2" t="s">
        <v>29</v>
      </c>
      <c r="M728" s="2" t="s">
        <v>2613</v>
      </c>
      <c r="N728" s="2" t="s">
        <v>374</v>
      </c>
      <c r="O728" s="2" t="s">
        <v>3146</v>
      </c>
      <c r="P728" s="2" t="s">
        <v>5021</v>
      </c>
      <c r="Q728" s="2" t="s">
        <v>49</v>
      </c>
      <c r="R728" s="2" t="s">
        <v>5022</v>
      </c>
      <c r="S728" s="2" t="s">
        <v>5023</v>
      </c>
      <c r="T728" s="2" t="s">
        <v>5024</v>
      </c>
      <c r="U728" s="2" t="s">
        <v>5025</v>
      </c>
      <c r="V728" s="2" t="s">
        <v>5026</v>
      </c>
    </row>
    <row r="729" spans="1:22">
      <c r="A729" s="2" t="s">
        <v>5027</v>
      </c>
      <c r="B729" s="2" t="s">
        <v>5028</v>
      </c>
      <c r="C729" s="2" t="s">
        <v>5029</v>
      </c>
      <c r="D729" s="2">
        <v>2025</v>
      </c>
      <c r="E729" s="3">
        <v>45778</v>
      </c>
      <c r="F729" s="2" t="s">
        <v>2392</v>
      </c>
      <c r="G729" s="2">
        <v>36</v>
      </c>
      <c r="H729" s="2">
        <v>3</v>
      </c>
      <c r="I729" s="2" t="s">
        <v>5030</v>
      </c>
      <c r="J729" s="2" t="s">
        <v>2394</v>
      </c>
      <c r="K729" s="2" t="s">
        <v>392</v>
      </c>
      <c r="L729" s="2" t="s">
        <v>773</v>
      </c>
      <c r="M729" s="2" t="s">
        <v>1948</v>
      </c>
      <c r="N729" s="2" t="s">
        <v>2156</v>
      </c>
      <c r="O729" s="2" t="s">
        <v>3438</v>
      </c>
      <c r="P729" s="2" t="s">
        <v>5031</v>
      </c>
      <c r="Q729" s="2" t="s">
        <v>49</v>
      </c>
      <c r="R729" s="2" t="s">
        <v>5032</v>
      </c>
      <c r="S729" s="2" t="s">
        <v>5033</v>
      </c>
      <c r="T729" s="2" t="s">
        <v>5034</v>
      </c>
      <c r="U729" s="2" t="s">
        <v>5035</v>
      </c>
      <c r="V729" s="2" t="s">
        <v>80</v>
      </c>
    </row>
    <row r="730" spans="1:22">
      <c r="A730" s="2" t="s">
        <v>5036</v>
      </c>
      <c r="B730" s="2" t="s">
        <v>5037</v>
      </c>
      <c r="C730" s="2" t="s">
        <v>5038</v>
      </c>
      <c r="D730" s="2">
        <v>2024</v>
      </c>
      <c r="E730" s="3">
        <v>45490</v>
      </c>
      <c r="F730" s="2" t="s">
        <v>5039</v>
      </c>
      <c r="G730" s="2">
        <v>2024</v>
      </c>
      <c r="H730" s="2">
        <v>16</v>
      </c>
      <c r="I730" s="2" t="s">
        <v>43</v>
      </c>
      <c r="J730" s="2" t="s">
        <v>5040</v>
      </c>
      <c r="K730" s="2" t="s">
        <v>5041</v>
      </c>
      <c r="L730" s="2" t="s">
        <v>1867</v>
      </c>
      <c r="M730" s="2" t="s">
        <v>2423</v>
      </c>
      <c r="N730" s="2" t="s">
        <v>5042</v>
      </c>
      <c r="O730" s="2" t="s">
        <v>4930</v>
      </c>
      <c r="P730" s="2" t="s">
        <v>5043</v>
      </c>
      <c r="Q730" s="2" t="s">
        <v>33</v>
      </c>
      <c r="R730" s="2" t="s">
        <v>5044</v>
      </c>
      <c r="S730" s="2" t="s">
        <v>79</v>
      </c>
      <c r="T730" s="5">
        <v>601053680000000</v>
      </c>
      <c r="U730" s="2" t="s">
        <v>79</v>
      </c>
      <c r="V730" s="2" t="s">
        <v>80</v>
      </c>
    </row>
    <row r="731" spans="1:22">
      <c r="A731" s="2" t="s">
        <v>3589</v>
      </c>
      <c r="B731" s="2" t="s">
        <v>5045</v>
      </c>
      <c r="C731" s="2" t="s">
        <v>5046</v>
      </c>
      <c r="D731" s="2">
        <v>2025</v>
      </c>
      <c r="E731" s="3">
        <v>45717</v>
      </c>
      <c r="F731" s="2" t="s">
        <v>2392</v>
      </c>
      <c r="G731" s="2">
        <v>36</v>
      </c>
      <c r="H731" s="2">
        <v>2</v>
      </c>
      <c r="I731" s="2" t="s">
        <v>5047</v>
      </c>
      <c r="J731" s="2" t="s">
        <v>2394</v>
      </c>
      <c r="K731" s="2" t="s">
        <v>392</v>
      </c>
      <c r="L731" s="2" t="s">
        <v>773</v>
      </c>
      <c r="M731" s="2" t="s">
        <v>1948</v>
      </c>
      <c r="N731" s="2" t="s">
        <v>2156</v>
      </c>
      <c r="O731" s="2" t="s">
        <v>3438</v>
      </c>
      <c r="P731" s="2" t="s">
        <v>5048</v>
      </c>
      <c r="Q731" s="2" t="s">
        <v>33</v>
      </c>
      <c r="R731" s="2" t="s">
        <v>5049</v>
      </c>
      <c r="S731" s="2" t="s">
        <v>3384</v>
      </c>
      <c r="T731" s="2" t="s">
        <v>5050</v>
      </c>
      <c r="U731" s="2" t="s">
        <v>5051</v>
      </c>
      <c r="V731" s="2" t="s">
        <v>80</v>
      </c>
    </row>
    <row r="732" spans="1:22">
      <c r="A732" s="2" t="s">
        <v>5052</v>
      </c>
      <c r="B732" s="2" t="s">
        <v>5045</v>
      </c>
      <c r="C732" s="2" t="s">
        <v>5046</v>
      </c>
      <c r="D732" s="2">
        <v>2025</v>
      </c>
      <c r="E732" s="3">
        <v>45717</v>
      </c>
      <c r="F732" s="2" t="s">
        <v>2392</v>
      </c>
      <c r="G732" s="2">
        <v>36</v>
      </c>
      <c r="H732" s="2">
        <v>2</v>
      </c>
      <c r="I732" s="2" t="s">
        <v>5047</v>
      </c>
      <c r="J732" s="2" t="s">
        <v>2394</v>
      </c>
      <c r="K732" s="2" t="s">
        <v>392</v>
      </c>
      <c r="L732" s="2" t="s">
        <v>773</v>
      </c>
      <c r="M732" s="2" t="s">
        <v>1948</v>
      </c>
      <c r="N732" s="2" t="s">
        <v>2156</v>
      </c>
      <c r="O732" s="2" t="s">
        <v>3438</v>
      </c>
      <c r="P732" s="2" t="s">
        <v>5048</v>
      </c>
      <c r="Q732" s="2" t="s">
        <v>33</v>
      </c>
      <c r="R732" s="2" t="s">
        <v>5049</v>
      </c>
      <c r="S732" s="2" t="s">
        <v>3384</v>
      </c>
      <c r="T732" s="2" t="s">
        <v>5050</v>
      </c>
      <c r="U732" s="2" t="s">
        <v>5051</v>
      </c>
      <c r="V732" s="2" t="s">
        <v>80</v>
      </c>
    </row>
    <row r="733" spans="1:22">
      <c r="A733" s="2" t="s">
        <v>5053</v>
      </c>
      <c r="B733" s="2" t="s">
        <v>5054</v>
      </c>
      <c r="C733" s="2" t="s">
        <v>5055</v>
      </c>
      <c r="D733" s="2">
        <v>2024</v>
      </c>
      <c r="E733" s="3">
        <v>45292</v>
      </c>
      <c r="F733" s="2" t="s">
        <v>5056</v>
      </c>
      <c r="G733" s="2">
        <v>2024</v>
      </c>
      <c r="H733" s="2">
        <v>117</v>
      </c>
      <c r="I733" s="2" t="s">
        <v>5057</v>
      </c>
      <c r="J733" s="2" t="s">
        <v>5058</v>
      </c>
      <c r="K733" s="2" t="s">
        <v>2768</v>
      </c>
      <c r="L733" s="2" t="s">
        <v>1867</v>
      </c>
      <c r="M733" s="2" t="s">
        <v>2423</v>
      </c>
      <c r="N733" s="2" t="s">
        <v>2484</v>
      </c>
      <c r="O733" s="2" t="s">
        <v>5059</v>
      </c>
      <c r="P733" s="2" t="s">
        <v>5060</v>
      </c>
      <c r="Q733" s="2" t="s">
        <v>33</v>
      </c>
      <c r="R733" s="2" t="s">
        <v>5061</v>
      </c>
      <c r="S733" s="2" t="s">
        <v>79</v>
      </c>
      <c r="T733" s="5">
        <v>601053680000000</v>
      </c>
      <c r="U733" s="2" t="s">
        <v>79</v>
      </c>
      <c r="V733" s="2" t="s">
        <v>80</v>
      </c>
    </row>
    <row r="734" spans="1:22">
      <c r="A734" s="2" t="s">
        <v>5062</v>
      </c>
      <c r="B734" s="2" t="s">
        <v>5054</v>
      </c>
      <c r="C734" s="2" t="s">
        <v>5055</v>
      </c>
      <c r="D734" s="2">
        <v>2024</v>
      </c>
      <c r="E734" s="3">
        <v>45292</v>
      </c>
      <c r="F734" s="2" t="s">
        <v>5056</v>
      </c>
      <c r="G734" s="2">
        <v>2024</v>
      </c>
      <c r="H734" s="2">
        <v>117</v>
      </c>
      <c r="I734" s="2" t="s">
        <v>5057</v>
      </c>
      <c r="J734" s="2" t="s">
        <v>5058</v>
      </c>
      <c r="K734" s="2" t="s">
        <v>2768</v>
      </c>
      <c r="L734" s="2" t="s">
        <v>1867</v>
      </c>
      <c r="M734" s="2" t="s">
        <v>2423</v>
      </c>
      <c r="N734" s="2" t="s">
        <v>2484</v>
      </c>
      <c r="O734" s="2" t="s">
        <v>5059</v>
      </c>
      <c r="P734" s="2" t="s">
        <v>5060</v>
      </c>
      <c r="Q734" s="2" t="s">
        <v>33</v>
      </c>
      <c r="R734" s="2" t="s">
        <v>5061</v>
      </c>
      <c r="S734" s="2" t="s">
        <v>79</v>
      </c>
      <c r="T734" s="5">
        <v>601053680000000</v>
      </c>
      <c r="U734" s="2" t="s">
        <v>79</v>
      </c>
      <c r="V734" s="2" t="s">
        <v>80</v>
      </c>
    </row>
    <row r="735" spans="1:22">
      <c r="A735" s="2" t="s">
        <v>3386</v>
      </c>
      <c r="B735" s="2" t="s">
        <v>5063</v>
      </c>
      <c r="C735" s="2" t="s">
        <v>5064</v>
      </c>
      <c r="D735" s="2">
        <v>2024</v>
      </c>
      <c r="E735" s="3">
        <v>45471</v>
      </c>
      <c r="F735" s="2" t="s">
        <v>3389</v>
      </c>
      <c r="G735" s="2">
        <v>9</v>
      </c>
      <c r="H735" s="2" t="s">
        <v>43</v>
      </c>
      <c r="I735" s="2" t="s">
        <v>43</v>
      </c>
      <c r="J735" s="2" t="s">
        <v>3390</v>
      </c>
      <c r="K735" s="2" t="s">
        <v>3391</v>
      </c>
      <c r="L735" s="2" t="s">
        <v>1867</v>
      </c>
      <c r="M735" s="2" t="s">
        <v>3416</v>
      </c>
      <c r="N735" s="2" t="s">
        <v>5065</v>
      </c>
      <c r="O735" s="2" t="s">
        <v>3204</v>
      </c>
      <c r="P735" s="2" t="s">
        <v>5066</v>
      </c>
      <c r="Q735" s="2" t="s">
        <v>33</v>
      </c>
      <c r="R735" s="2" t="s">
        <v>5067</v>
      </c>
      <c r="S735" s="2" t="s">
        <v>3550</v>
      </c>
      <c r="T735" s="2" t="s">
        <v>5068</v>
      </c>
      <c r="U735" s="2" t="s">
        <v>3550</v>
      </c>
      <c r="V735" s="2" t="s">
        <v>80</v>
      </c>
    </row>
    <row r="736" spans="1:22">
      <c r="A736" s="2" t="s">
        <v>4395</v>
      </c>
      <c r="B736" s="2" t="s">
        <v>5069</v>
      </c>
      <c r="C736" s="2" t="s">
        <v>5070</v>
      </c>
      <c r="D736" s="2">
        <v>2025</v>
      </c>
      <c r="E736" s="3">
        <v>45901</v>
      </c>
      <c r="F736" s="2" t="s">
        <v>2392</v>
      </c>
      <c r="G736" s="2">
        <v>36</v>
      </c>
      <c r="H736" s="2">
        <v>5</v>
      </c>
      <c r="I736" s="2" t="s">
        <v>5071</v>
      </c>
      <c r="J736" s="2" t="s">
        <v>2394</v>
      </c>
      <c r="K736" s="2" t="s">
        <v>392</v>
      </c>
      <c r="L736" s="2" t="s">
        <v>773</v>
      </c>
      <c r="M736" s="2" t="s">
        <v>1948</v>
      </c>
      <c r="N736" s="2" t="s">
        <v>2156</v>
      </c>
      <c r="O736" s="2" t="s">
        <v>3438</v>
      </c>
      <c r="P736" s="2" t="s">
        <v>5072</v>
      </c>
      <c r="Q736" s="2" t="s">
        <v>49</v>
      </c>
      <c r="R736" s="2" t="s">
        <v>5073</v>
      </c>
      <c r="S736" s="2" t="s">
        <v>5074</v>
      </c>
      <c r="T736" s="2" t="s">
        <v>5075</v>
      </c>
      <c r="U736" s="2" t="s">
        <v>5076</v>
      </c>
      <c r="V736" s="2" t="s">
        <v>3927</v>
      </c>
    </row>
    <row r="737" spans="1:22">
      <c r="A737" s="2" t="s">
        <v>1480</v>
      </c>
      <c r="B737" s="2" t="s">
        <v>5077</v>
      </c>
      <c r="C737" s="2" t="s">
        <v>5078</v>
      </c>
      <c r="D737" s="2">
        <v>2024</v>
      </c>
      <c r="E737" s="3">
        <v>45323</v>
      </c>
      <c r="F737" s="2" t="s">
        <v>5079</v>
      </c>
      <c r="G737" s="2">
        <v>24</v>
      </c>
      <c r="H737" s="2">
        <v>2</v>
      </c>
      <c r="I737" s="2" t="s">
        <v>5080</v>
      </c>
      <c r="J737" s="2" t="s">
        <v>5081</v>
      </c>
      <c r="K737" s="2" t="s">
        <v>734</v>
      </c>
      <c r="L737" s="2" t="s">
        <v>29</v>
      </c>
      <c r="M737" s="2" t="s">
        <v>75</v>
      </c>
      <c r="N737" s="2" t="s">
        <v>105</v>
      </c>
      <c r="O737" s="4">
        <v>1954</v>
      </c>
      <c r="P737" s="2" t="s">
        <v>5082</v>
      </c>
      <c r="Q737" s="2" t="s">
        <v>644</v>
      </c>
      <c r="R737" s="2" t="s">
        <v>5083</v>
      </c>
      <c r="S737" s="2" t="s">
        <v>4569</v>
      </c>
      <c r="T737" s="2" t="s">
        <v>5084</v>
      </c>
      <c r="U737" s="2" t="s">
        <v>5085</v>
      </c>
      <c r="V737" s="2" t="s">
        <v>80</v>
      </c>
    </row>
    <row r="738" spans="1:22">
      <c r="A738" s="2" t="s">
        <v>386</v>
      </c>
      <c r="B738" s="2" t="s">
        <v>5086</v>
      </c>
      <c r="C738" s="2" t="s">
        <v>5087</v>
      </c>
      <c r="D738" s="2">
        <v>2024</v>
      </c>
      <c r="E738" s="3">
        <v>45292</v>
      </c>
      <c r="F738" s="2" t="s">
        <v>4161</v>
      </c>
      <c r="G738" s="2">
        <v>39</v>
      </c>
      <c r="H738" s="2">
        <v>1</v>
      </c>
      <c r="I738" s="2" t="s">
        <v>5088</v>
      </c>
      <c r="J738" s="2" t="s">
        <v>4163</v>
      </c>
      <c r="K738" s="2" t="s">
        <v>772</v>
      </c>
      <c r="L738" s="2" t="s">
        <v>773</v>
      </c>
      <c r="M738" s="2" t="s">
        <v>3416</v>
      </c>
      <c r="N738" s="2" t="s">
        <v>4165</v>
      </c>
      <c r="O738" s="2" t="s">
        <v>4166</v>
      </c>
      <c r="P738" s="2" t="s">
        <v>5089</v>
      </c>
      <c r="Q738" s="2" t="s">
        <v>49</v>
      </c>
      <c r="R738" s="2" t="s">
        <v>5090</v>
      </c>
      <c r="S738" s="2" t="s">
        <v>398</v>
      </c>
      <c r="T738" s="2" t="s">
        <v>5091</v>
      </c>
      <c r="U738" s="2" t="s">
        <v>5092</v>
      </c>
      <c r="V738" s="2" t="s">
        <v>80</v>
      </c>
    </row>
    <row r="739" spans="1:22">
      <c r="A739" s="2" t="s">
        <v>5093</v>
      </c>
      <c r="B739" s="2" t="s">
        <v>5094</v>
      </c>
      <c r="C739" s="2" t="s">
        <v>5095</v>
      </c>
      <c r="D739" s="2">
        <v>2025</v>
      </c>
      <c r="E739" s="3">
        <v>45658</v>
      </c>
      <c r="F739" s="2" t="s">
        <v>3703</v>
      </c>
      <c r="G739" s="2" t="s">
        <v>43</v>
      </c>
      <c r="H739" s="2" t="s">
        <v>43</v>
      </c>
      <c r="I739" s="2" t="s">
        <v>43</v>
      </c>
      <c r="J739" s="2" t="s">
        <v>3704</v>
      </c>
      <c r="K739" s="2" t="s">
        <v>3705</v>
      </c>
      <c r="L739" s="2" t="s">
        <v>29</v>
      </c>
      <c r="M739" s="2" t="s">
        <v>4498</v>
      </c>
      <c r="N739" s="2" t="s">
        <v>4165</v>
      </c>
      <c r="O739" s="2" t="s">
        <v>43</v>
      </c>
      <c r="P739" s="2" t="s">
        <v>5096</v>
      </c>
      <c r="Q739" s="2" t="s">
        <v>2112</v>
      </c>
      <c r="R739" s="2" t="s">
        <v>5097</v>
      </c>
      <c r="S739" s="2" t="s">
        <v>79</v>
      </c>
      <c r="T739" s="5">
        <v>601053680000000</v>
      </c>
      <c r="U739" s="2" t="s">
        <v>79</v>
      </c>
      <c r="V739" s="2" t="s">
        <v>80</v>
      </c>
    </row>
    <row r="740" spans="1:22">
      <c r="A740" s="2" t="s">
        <v>3700</v>
      </c>
      <c r="B740" s="2" t="s">
        <v>5094</v>
      </c>
      <c r="C740" s="2" t="s">
        <v>5095</v>
      </c>
      <c r="D740" s="2">
        <v>2025</v>
      </c>
      <c r="E740" s="3">
        <v>45658</v>
      </c>
      <c r="F740" s="2" t="s">
        <v>3703</v>
      </c>
      <c r="G740" s="2" t="s">
        <v>43</v>
      </c>
      <c r="H740" s="2" t="s">
        <v>43</v>
      </c>
      <c r="I740" s="2" t="s">
        <v>43</v>
      </c>
      <c r="J740" s="2" t="s">
        <v>3704</v>
      </c>
      <c r="K740" s="2" t="s">
        <v>3705</v>
      </c>
      <c r="L740" s="2" t="s">
        <v>29</v>
      </c>
      <c r="M740" s="2" t="s">
        <v>4498</v>
      </c>
      <c r="N740" s="2" t="s">
        <v>4165</v>
      </c>
      <c r="O740" s="2" t="s">
        <v>43</v>
      </c>
      <c r="P740" s="2" t="s">
        <v>5096</v>
      </c>
      <c r="Q740" s="2" t="s">
        <v>2112</v>
      </c>
      <c r="R740" s="2" t="s">
        <v>5097</v>
      </c>
      <c r="S740" s="2" t="s">
        <v>79</v>
      </c>
      <c r="T740" s="5">
        <v>601053680000000</v>
      </c>
      <c r="U740" s="2" t="s">
        <v>79</v>
      </c>
      <c r="V740" s="2" t="s">
        <v>80</v>
      </c>
    </row>
    <row r="741" spans="1:22" ht="57.6">
      <c r="A741" s="2" t="s">
        <v>5098</v>
      </c>
      <c r="B741" s="2" t="s">
        <v>5099</v>
      </c>
      <c r="C741" s="2" t="s">
        <v>5100</v>
      </c>
      <c r="D741" s="2">
        <v>2025</v>
      </c>
      <c r="E741" s="3">
        <v>45658</v>
      </c>
      <c r="F741" s="2" t="s">
        <v>5101</v>
      </c>
      <c r="G741" s="2">
        <v>41</v>
      </c>
      <c r="H741" s="2">
        <v>1</v>
      </c>
      <c r="I741" s="2" t="s">
        <v>43</v>
      </c>
      <c r="J741" s="2" t="s">
        <v>5102</v>
      </c>
      <c r="K741" s="2" t="s">
        <v>1134</v>
      </c>
      <c r="L741" s="2" t="s">
        <v>29</v>
      </c>
      <c r="M741" s="2" t="s">
        <v>2131</v>
      </c>
      <c r="N741" s="2" t="s">
        <v>134</v>
      </c>
      <c r="O741" s="2" t="s">
        <v>5103</v>
      </c>
      <c r="P741" s="2" t="s">
        <v>5104</v>
      </c>
      <c r="Q741" s="2" t="s">
        <v>33</v>
      </c>
      <c r="R741" s="2" t="s">
        <v>5105</v>
      </c>
      <c r="S741" s="2" t="s">
        <v>5106</v>
      </c>
      <c r="T741" s="2" t="s">
        <v>5107</v>
      </c>
      <c r="U741" s="2" t="s">
        <v>5108</v>
      </c>
      <c r="V741" s="2" t="s">
        <v>5109</v>
      </c>
    </row>
    <row r="742" spans="1:22">
      <c r="A742" s="2" t="s">
        <v>39</v>
      </c>
      <c r="B742" s="2" t="s">
        <v>5110</v>
      </c>
      <c r="C742" s="2" t="s">
        <v>5111</v>
      </c>
      <c r="D742" s="2">
        <v>2024</v>
      </c>
      <c r="E742" s="3">
        <v>45383</v>
      </c>
      <c r="F742" s="2" t="s">
        <v>2912</v>
      </c>
      <c r="G742" s="2">
        <v>51</v>
      </c>
      <c r="H742" s="2">
        <v>2</v>
      </c>
      <c r="I742" s="2" t="s">
        <v>5112</v>
      </c>
      <c r="J742" s="2" t="s">
        <v>3820</v>
      </c>
      <c r="K742" s="2" t="s">
        <v>2915</v>
      </c>
      <c r="L742" s="2" t="s">
        <v>1867</v>
      </c>
      <c r="M742" s="2" t="s">
        <v>2155</v>
      </c>
      <c r="N742" s="2" t="s">
        <v>3684</v>
      </c>
      <c r="O742" s="2" t="s">
        <v>3685</v>
      </c>
      <c r="P742" s="2" t="s">
        <v>5113</v>
      </c>
      <c r="Q742" s="2" t="s">
        <v>33</v>
      </c>
      <c r="R742" s="2" t="s">
        <v>5114</v>
      </c>
      <c r="S742" s="2" t="s">
        <v>5115</v>
      </c>
      <c r="T742" s="2" t="s">
        <v>5116</v>
      </c>
      <c r="U742" s="2" t="s">
        <v>5117</v>
      </c>
      <c r="V742" s="2" t="s">
        <v>80</v>
      </c>
    </row>
    <row r="743" spans="1:22">
      <c r="A743" s="2" t="s">
        <v>276</v>
      </c>
      <c r="B743" s="2" t="s">
        <v>5118</v>
      </c>
      <c r="C743" s="2" t="s">
        <v>5119</v>
      </c>
      <c r="D743" s="2">
        <v>2024</v>
      </c>
      <c r="E743" s="3">
        <v>45548</v>
      </c>
      <c r="F743" s="2" t="s">
        <v>1442</v>
      </c>
      <c r="G743" s="2">
        <v>103</v>
      </c>
      <c r="H743" s="2">
        <v>37</v>
      </c>
      <c r="I743" s="2" t="s">
        <v>43</v>
      </c>
      <c r="J743" s="2" t="s">
        <v>1443</v>
      </c>
      <c r="K743" s="2" t="s">
        <v>566</v>
      </c>
      <c r="L743" s="2" t="s">
        <v>29</v>
      </c>
      <c r="M743" s="2" t="s">
        <v>393</v>
      </c>
      <c r="N743" s="2" t="s">
        <v>1444</v>
      </c>
      <c r="O743" s="2" t="s">
        <v>1445</v>
      </c>
      <c r="P743" s="2" t="s">
        <v>5120</v>
      </c>
      <c r="Q743" s="2" t="s">
        <v>33</v>
      </c>
      <c r="R743" s="2" t="s">
        <v>5121</v>
      </c>
      <c r="S743" s="2" t="s">
        <v>5122</v>
      </c>
      <c r="T743" s="2" t="s">
        <v>5123</v>
      </c>
      <c r="U743" s="2" t="s">
        <v>5124</v>
      </c>
      <c r="V743" s="2" t="s">
        <v>80</v>
      </c>
    </row>
    <row r="744" spans="1:22">
      <c r="A744" s="2" t="s">
        <v>1916</v>
      </c>
      <c r="B744" s="2" t="s">
        <v>5125</v>
      </c>
      <c r="C744" s="2" t="s">
        <v>5126</v>
      </c>
      <c r="D744" s="2">
        <v>2025</v>
      </c>
      <c r="E744" s="3">
        <v>45870</v>
      </c>
      <c r="F744" s="2" t="s">
        <v>5127</v>
      </c>
      <c r="G744" s="2">
        <v>31</v>
      </c>
      <c r="H744" s="2">
        <v>5</v>
      </c>
      <c r="I744" s="2" t="s">
        <v>5128</v>
      </c>
      <c r="J744" s="2" t="s">
        <v>5129</v>
      </c>
      <c r="K744" s="2" t="s">
        <v>566</v>
      </c>
      <c r="L744" s="2" t="s">
        <v>29</v>
      </c>
      <c r="M744" s="2" t="s">
        <v>2522</v>
      </c>
      <c r="N744" s="2" t="s">
        <v>775</v>
      </c>
      <c r="O744" s="2" t="s">
        <v>2450</v>
      </c>
      <c r="P744" s="2" t="s">
        <v>5130</v>
      </c>
      <c r="Q744" s="2" t="s">
        <v>33</v>
      </c>
      <c r="R744" s="2" t="s">
        <v>5131</v>
      </c>
      <c r="S744" s="2" t="s">
        <v>1681</v>
      </c>
      <c r="T744" s="2" t="s">
        <v>3772</v>
      </c>
      <c r="U744" s="2" t="s">
        <v>3773</v>
      </c>
      <c r="V744" s="2" t="s">
        <v>80</v>
      </c>
    </row>
    <row r="745" spans="1:22">
      <c r="A745" s="2" t="s">
        <v>5132</v>
      </c>
      <c r="B745" s="2" t="s">
        <v>5133</v>
      </c>
      <c r="C745" s="2" t="s">
        <v>5134</v>
      </c>
      <c r="D745" s="2">
        <v>2024</v>
      </c>
      <c r="E745" s="3">
        <v>45292</v>
      </c>
      <c r="F745" s="2" t="s">
        <v>5135</v>
      </c>
      <c r="G745" s="2">
        <v>2024</v>
      </c>
      <c r="H745" s="2">
        <v>39</v>
      </c>
      <c r="I745" s="2" t="s">
        <v>5136</v>
      </c>
      <c r="J745" s="2" t="s">
        <v>5137</v>
      </c>
      <c r="K745" s="2" t="s">
        <v>5138</v>
      </c>
      <c r="L745" s="2" t="s">
        <v>1867</v>
      </c>
      <c r="M745" s="2" t="s">
        <v>3810</v>
      </c>
      <c r="N745" s="2" t="s">
        <v>4337</v>
      </c>
      <c r="O745" s="2" t="s">
        <v>5139</v>
      </c>
      <c r="P745" s="2" t="s">
        <v>5140</v>
      </c>
      <c r="Q745" s="2" t="s">
        <v>33</v>
      </c>
      <c r="R745" s="2" t="s">
        <v>5141</v>
      </c>
      <c r="S745" s="2" t="s">
        <v>5142</v>
      </c>
      <c r="T745" s="2" t="s">
        <v>5143</v>
      </c>
      <c r="U745" s="2" t="s">
        <v>5144</v>
      </c>
      <c r="V745" s="2" t="s">
        <v>80</v>
      </c>
    </row>
    <row r="746" spans="1:22">
      <c r="A746" s="2" t="s">
        <v>635</v>
      </c>
      <c r="B746" s="2" t="s">
        <v>5145</v>
      </c>
      <c r="C746" s="2" t="s">
        <v>5146</v>
      </c>
      <c r="D746" s="2">
        <v>2024</v>
      </c>
      <c r="E746" s="3">
        <v>45292</v>
      </c>
      <c r="F746" s="2" t="s">
        <v>5147</v>
      </c>
      <c r="G746" s="2">
        <v>24</v>
      </c>
      <c r="H746" s="2">
        <v>2</v>
      </c>
      <c r="I746" s="2" t="s">
        <v>5148</v>
      </c>
      <c r="J746" s="2" t="s">
        <v>5149</v>
      </c>
      <c r="K746" s="2" t="s">
        <v>3447</v>
      </c>
      <c r="L746" s="2" t="s">
        <v>29</v>
      </c>
      <c r="M746" s="2" t="s">
        <v>2381</v>
      </c>
      <c r="N746" s="2" t="s">
        <v>1183</v>
      </c>
      <c r="O746" s="2" t="s">
        <v>808</v>
      </c>
      <c r="P746" s="2" t="s">
        <v>5150</v>
      </c>
      <c r="Q746" s="2" t="s">
        <v>33</v>
      </c>
      <c r="R746" s="2" t="s">
        <v>5151</v>
      </c>
      <c r="S746" s="2" t="s">
        <v>1106</v>
      </c>
      <c r="T746" s="2" t="s">
        <v>5152</v>
      </c>
      <c r="U746" s="2" t="s">
        <v>5153</v>
      </c>
      <c r="V746" s="2" t="s">
        <v>80</v>
      </c>
    </row>
    <row r="747" spans="1:22">
      <c r="A747" s="2" t="s">
        <v>5154</v>
      </c>
      <c r="B747" s="2" t="s">
        <v>5155</v>
      </c>
      <c r="C747" s="2" t="s">
        <v>5156</v>
      </c>
      <c r="D747" s="2">
        <v>2025</v>
      </c>
      <c r="E747" s="3">
        <v>45778</v>
      </c>
      <c r="F747" s="2" t="s">
        <v>2518</v>
      </c>
      <c r="G747" s="2">
        <v>66</v>
      </c>
      <c r="H747" s="2" t="s">
        <v>43</v>
      </c>
      <c r="I747" s="2" t="s">
        <v>5157</v>
      </c>
      <c r="J747" s="2" t="s">
        <v>2520</v>
      </c>
      <c r="K747" s="2" t="s">
        <v>2521</v>
      </c>
      <c r="L747" s="2" t="s">
        <v>1867</v>
      </c>
      <c r="M747" s="2" t="s">
        <v>1362</v>
      </c>
      <c r="N747" s="2" t="s">
        <v>247</v>
      </c>
      <c r="O747" s="2" t="s">
        <v>2958</v>
      </c>
      <c r="P747" s="2" t="s">
        <v>5158</v>
      </c>
      <c r="Q747" s="2" t="s">
        <v>49</v>
      </c>
      <c r="R747" s="2" t="s">
        <v>5159</v>
      </c>
      <c r="S747" s="2" t="s">
        <v>5160</v>
      </c>
      <c r="T747" s="2" t="s">
        <v>5161</v>
      </c>
      <c r="U747" s="2" t="s">
        <v>5162</v>
      </c>
      <c r="V747" s="2" t="s">
        <v>80</v>
      </c>
    </row>
    <row r="748" spans="1:22">
      <c r="A748" s="2" t="s">
        <v>2963</v>
      </c>
      <c r="B748" s="2" t="s">
        <v>5163</v>
      </c>
      <c r="C748" s="2" t="s">
        <v>2965</v>
      </c>
      <c r="D748" s="2">
        <v>2024</v>
      </c>
      <c r="E748" s="3">
        <v>45292</v>
      </c>
      <c r="F748" s="2" t="s">
        <v>5164</v>
      </c>
      <c r="G748" s="2" t="s">
        <v>43</v>
      </c>
      <c r="H748" s="2">
        <v>75</v>
      </c>
      <c r="I748" s="2" t="s">
        <v>5165</v>
      </c>
      <c r="J748" s="2" t="s">
        <v>5166</v>
      </c>
      <c r="K748" s="2" t="s">
        <v>2768</v>
      </c>
      <c r="L748" s="2" t="s">
        <v>1867</v>
      </c>
      <c r="M748" s="2" t="s">
        <v>2423</v>
      </c>
      <c r="N748" s="2" t="s">
        <v>2178</v>
      </c>
      <c r="O748" s="2" t="s">
        <v>3204</v>
      </c>
      <c r="P748" s="2" t="s">
        <v>5167</v>
      </c>
      <c r="Q748" s="2" t="s">
        <v>33</v>
      </c>
      <c r="R748" s="2" t="s">
        <v>5168</v>
      </c>
      <c r="S748" s="2" t="s">
        <v>79</v>
      </c>
      <c r="T748" s="5">
        <v>601053680000000</v>
      </c>
      <c r="U748" s="2" t="s">
        <v>79</v>
      </c>
      <c r="V748" s="2" t="s">
        <v>80</v>
      </c>
    </row>
    <row r="749" spans="1:22">
      <c r="A749" s="2" t="s">
        <v>4644</v>
      </c>
      <c r="B749" s="2" t="s">
        <v>5169</v>
      </c>
      <c r="C749" s="2" t="s">
        <v>5170</v>
      </c>
      <c r="D749" s="2">
        <v>2025</v>
      </c>
      <c r="E749" s="3">
        <v>45665</v>
      </c>
      <c r="F749" s="2" t="s">
        <v>167</v>
      </c>
      <c r="G749" s="2">
        <v>18</v>
      </c>
      <c r="H749" s="2">
        <v>1</v>
      </c>
      <c r="I749" s="2" t="s">
        <v>43</v>
      </c>
      <c r="J749" s="2" t="s">
        <v>3369</v>
      </c>
      <c r="K749" s="2" t="s">
        <v>438</v>
      </c>
      <c r="L749" s="2" t="s">
        <v>29</v>
      </c>
      <c r="M749" s="2" t="s">
        <v>2203</v>
      </c>
      <c r="N749" s="2" t="s">
        <v>428</v>
      </c>
      <c r="O749" s="2" t="s">
        <v>2423</v>
      </c>
      <c r="P749" s="2" t="s">
        <v>5171</v>
      </c>
      <c r="Q749" s="2" t="s">
        <v>33</v>
      </c>
      <c r="R749" s="2" t="s">
        <v>5172</v>
      </c>
      <c r="S749" s="2" t="s">
        <v>1681</v>
      </c>
      <c r="T749" s="2" t="s">
        <v>2606</v>
      </c>
      <c r="U749" s="2" t="s">
        <v>1681</v>
      </c>
      <c r="V749" s="2" t="s">
        <v>80</v>
      </c>
    </row>
    <row r="750" spans="1:22">
      <c r="A750" s="2" t="s">
        <v>433</v>
      </c>
      <c r="B750" s="2" t="s">
        <v>5169</v>
      </c>
      <c r="C750" s="2" t="s">
        <v>5170</v>
      </c>
      <c r="D750" s="2">
        <v>2025</v>
      </c>
      <c r="E750" s="3">
        <v>45665</v>
      </c>
      <c r="F750" s="2" t="s">
        <v>167</v>
      </c>
      <c r="G750" s="2">
        <v>18</v>
      </c>
      <c r="H750" s="2">
        <v>1</v>
      </c>
      <c r="I750" s="2" t="s">
        <v>43</v>
      </c>
      <c r="J750" s="2" t="s">
        <v>3369</v>
      </c>
      <c r="K750" s="2" t="s">
        <v>438</v>
      </c>
      <c r="L750" s="2" t="s">
        <v>29</v>
      </c>
      <c r="M750" s="2" t="s">
        <v>2203</v>
      </c>
      <c r="N750" s="2" t="s">
        <v>428</v>
      </c>
      <c r="O750" s="2" t="s">
        <v>2423</v>
      </c>
      <c r="P750" s="2" t="s">
        <v>5171</v>
      </c>
      <c r="Q750" s="2" t="s">
        <v>33</v>
      </c>
      <c r="R750" s="2" t="s">
        <v>5172</v>
      </c>
      <c r="S750" s="2" t="s">
        <v>1681</v>
      </c>
      <c r="T750" s="2" t="s">
        <v>2606</v>
      </c>
      <c r="U750" s="2" t="s">
        <v>1681</v>
      </c>
      <c r="V750" s="2" t="s">
        <v>80</v>
      </c>
    </row>
    <row r="751" spans="1:22">
      <c r="A751" s="2" t="s">
        <v>1344</v>
      </c>
      <c r="B751" s="2" t="s">
        <v>5169</v>
      </c>
      <c r="C751" s="2" t="s">
        <v>5170</v>
      </c>
      <c r="D751" s="2">
        <v>2025</v>
      </c>
      <c r="E751" s="3">
        <v>45665</v>
      </c>
      <c r="F751" s="2" t="s">
        <v>167</v>
      </c>
      <c r="G751" s="2">
        <v>18</v>
      </c>
      <c r="H751" s="2">
        <v>1</v>
      </c>
      <c r="I751" s="2" t="s">
        <v>43</v>
      </c>
      <c r="J751" s="2" t="s">
        <v>3369</v>
      </c>
      <c r="K751" s="2" t="s">
        <v>438</v>
      </c>
      <c r="L751" s="2" t="s">
        <v>29</v>
      </c>
      <c r="M751" s="2" t="s">
        <v>2203</v>
      </c>
      <c r="N751" s="2" t="s">
        <v>428</v>
      </c>
      <c r="O751" s="2" t="s">
        <v>2423</v>
      </c>
      <c r="P751" s="2" t="s">
        <v>5171</v>
      </c>
      <c r="Q751" s="2" t="s">
        <v>33</v>
      </c>
      <c r="R751" s="2" t="s">
        <v>5172</v>
      </c>
      <c r="S751" s="2" t="s">
        <v>1681</v>
      </c>
      <c r="T751" s="2" t="s">
        <v>2606</v>
      </c>
      <c r="U751" s="2" t="s">
        <v>1681</v>
      </c>
      <c r="V751" s="2" t="s">
        <v>80</v>
      </c>
    </row>
    <row r="752" spans="1:22" ht="28.8">
      <c r="A752" s="2" t="s">
        <v>5173</v>
      </c>
      <c r="B752" s="2" t="s">
        <v>5174</v>
      </c>
      <c r="C752" s="2" t="s">
        <v>5175</v>
      </c>
      <c r="D752" s="2">
        <v>2025</v>
      </c>
      <c r="E752" s="3">
        <v>45913</v>
      </c>
      <c r="F752" s="2" t="s">
        <v>3046</v>
      </c>
      <c r="G752" s="2">
        <v>96</v>
      </c>
      <c r="H752" s="2">
        <v>5</v>
      </c>
      <c r="I752" s="2" t="s">
        <v>43</v>
      </c>
      <c r="J752" s="2" t="s">
        <v>3048</v>
      </c>
      <c r="K752" s="2" t="s">
        <v>3049</v>
      </c>
      <c r="L752" s="2" t="s">
        <v>1867</v>
      </c>
      <c r="M752" s="2" t="s">
        <v>1919</v>
      </c>
      <c r="N752" s="2" t="s">
        <v>3050</v>
      </c>
      <c r="O752" s="2" t="s">
        <v>3051</v>
      </c>
      <c r="P752" s="2" t="s">
        <v>5176</v>
      </c>
      <c r="Q752" s="2" t="s">
        <v>33</v>
      </c>
      <c r="R752" s="2" t="s">
        <v>5177</v>
      </c>
      <c r="S752" s="2" t="s">
        <v>5178</v>
      </c>
      <c r="T752" s="2" t="s">
        <v>5179</v>
      </c>
      <c r="U752" s="2" t="s">
        <v>5180</v>
      </c>
      <c r="V752" s="2" t="s">
        <v>80</v>
      </c>
    </row>
    <row r="753" spans="1:22">
      <c r="A753" s="2" t="s">
        <v>4414</v>
      </c>
      <c r="B753" s="2" t="s">
        <v>5181</v>
      </c>
      <c r="C753" s="2" t="s">
        <v>5182</v>
      </c>
      <c r="D753" s="2">
        <v>2025</v>
      </c>
      <c r="E753" s="3">
        <v>45839</v>
      </c>
      <c r="F753" s="2" t="s">
        <v>5183</v>
      </c>
      <c r="G753" s="2">
        <v>144</v>
      </c>
      <c r="H753" s="2" t="s">
        <v>43</v>
      </c>
      <c r="I753" s="2" t="s">
        <v>43</v>
      </c>
      <c r="J753" s="2" t="s">
        <v>5184</v>
      </c>
      <c r="K753" s="2" t="s">
        <v>45</v>
      </c>
      <c r="L753" s="2" t="s">
        <v>29</v>
      </c>
      <c r="M753" s="2" t="s">
        <v>2838</v>
      </c>
      <c r="N753" s="2" t="s">
        <v>2144</v>
      </c>
      <c r="O753" s="4">
        <v>1144</v>
      </c>
      <c r="P753" s="2" t="s">
        <v>5185</v>
      </c>
      <c r="Q753" s="2" t="s">
        <v>33</v>
      </c>
      <c r="R753" s="2" t="s">
        <v>5186</v>
      </c>
      <c r="S753" s="2" t="s">
        <v>5187</v>
      </c>
      <c r="T753" s="2" t="s">
        <v>5188</v>
      </c>
      <c r="U753" s="2" t="s">
        <v>5189</v>
      </c>
      <c r="V753" s="2" t="s">
        <v>80</v>
      </c>
    </row>
    <row r="754" spans="1:22">
      <c r="A754" s="2" t="s">
        <v>5190</v>
      </c>
      <c r="B754" s="2" t="s">
        <v>5191</v>
      </c>
      <c r="C754" s="2" t="s">
        <v>5192</v>
      </c>
      <c r="D754" s="2">
        <v>2025</v>
      </c>
      <c r="E754" s="3">
        <v>45658</v>
      </c>
      <c r="F754" s="2" t="s">
        <v>5193</v>
      </c>
      <c r="G754" s="2" t="s">
        <v>43</v>
      </c>
      <c r="H754" s="2">
        <v>61</v>
      </c>
      <c r="I754" s="2" t="s">
        <v>5194</v>
      </c>
      <c r="J754" s="2" t="s">
        <v>5195</v>
      </c>
      <c r="K754" s="2" t="s">
        <v>2768</v>
      </c>
      <c r="L754" s="2" t="s">
        <v>773</v>
      </c>
      <c r="M754" s="2" t="s">
        <v>4953</v>
      </c>
      <c r="N754" s="2" t="s">
        <v>3643</v>
      </c>
      <c r="O754" s="2" t="s">
        <v>5196</v>
      </c>
      <c r="P754" s="2" t="s">
        <v>5197</v>
      </c>
      <c r="Q754" s="2" t="s">
        <v>33</v>
      </c>
      <c r="R754" s="2" t="s">
        <v>5198</v>
      </c>
      <c r="S754" s="2" t="s">
        <v>79</v>
      </c>
      <c r="T754" s="5">
        <v>601053680000000</v>
      </c>
      <c r="U754" s="2" t="s">
        <v>79</v>
      </c>
      <c r="V754" s="2" t="s">
        <v>80</v>
      </c>
    </row>
    <row r="755" spans="1:22">
      <c r="A755" s="2" t="s">
        <v>5199</v>
      </c>
      <c r="B755" s="2" t="s">
        <v>5200</v>
      </c>
      <c r="C755" s="2" t="s">
        <v>5201</v>
      </c>
      <c r="D755" s="2">
        <v>2025</v>
      </c>
      <c r="E755" s="3">
        <v>45658</v>
      </c>
      <c r="F755" s="2" t="s">
        <v>5202</v>
      </c>
      <c r="G755" s="2">
        <v>35</v>
      </c>
      <c r="H755" s="2">
        <v>1</v>
      </c>
      <c r="I755" s="7">
        <v>11689</v>
      </c>
      <c r="J755" s="2" t="s">
        <v>5203</v>
      </c>
      <c r="K755" s="2" t="s">
        <v>5204</v>
      </c>
      <c r="L755" s="2" t="s">
        <v>1867</v>
      </c>
      <c r="M755" s="2" t="s">
        <v>3357</v>
      </c>
      <c r="N755" s="2" t="s">
        <v>2647</v>
      </c>
      <c r="O755" s="2" t="s">
        <v>3685</v>
      </c>
      <c r="P755" s="2" t="s">
        <v>5205</v>
      </c>
      <c r="Q755" s="2" t="s">
        <v>33</v>
      </c>
      <c r="R755" s="2" t="s">
        <v>5206</v>
      </c>
      <c r="S755" s="2" t="s">
        <v>79</v>
      </c>
      <c r="T755" s="5">
        <v>601053680000000</v>
      </c>
      <c r="U755" s="2" t="s">
        <v>79</v>
      </c>
      <c r="V755" s="2" t="s">
        <v>80</v>
      </c>
    </row>
    <row r="756" spans="1:22">
      <c r="A756" s="2" t="s">
        <v>5207</v>
      </c>
      <c r="B756" s="2" t="s">
        <v>5208</v>
      </c>
      <c r="C756" s="2" t="s">
        <v>5209</v>
      </c>
      <c r="D756" s="2">
        <v>2024</v>
      </c>
      <c r="E756" s="3">
        <v>45292</v>
      </c>
      <c r="F756" s="2" t="s">
        <v>5210</v>
      </c>
      <c r="G756" s="2" t="s">
        <v>43</v>
      </c>
      <c r="H756" s="2">
        <v>53</v>
      </c>
      <c r="I756" s="2" t="s">
        <v>5211</v>
      </c>
      <c r="J756" s="2" t="s">
        <v>5212</v>
      </c>
      <c r="K756" s="2" t="s">
        <v>5213</v>
      </c>
      <c r="L756" s="2" t="s">
        <v>1867</v>
      </c>
      <c r="M756" s="2" t="s">
        <v>3416</v>
      </c>
      <c r="N756" s="2" t="s">
        <v>3358</v>
      </c>
      <c r="O756" s="2" t="s">
        <v>2970</v>
      </c>
      <c r="P756" s="2" t="s">
        <v>43</v>
      </c>
      <c r="Q756" s="2" t="s">
        <v>33</v>
      </c>
      <c r="R756" s="2" t="s">
        <v>5214</v>
      </c>
      <c r="S756" s="2" t="s">
        <v>79</v>
      </c>
      <c r="T756" s="5">
        <v>601053680000000</v>
      </c>
      <c r="U756" s="2" t="s">
        <v>79</v>
      </c>
      <c r="V756" s="2" t="s">
        <v>80</v>
      </c>
    </row>
    <row r="757" spans="1:22">
      <c r="A757" s="2" t="s">
        <v>4100</v>
      </c>
      <c r="B757" s="2" t="s">
        <v>5208</v>
      </c>
      <c r="C757" s="2" t="s">
        <v>5209</v>
      </c>
      <c r="D757" s="2">
        <v>2024</v>
      </c>
      <c r="E757" s="3">
        <v>45292</v>
      </c>
      <c r="F757" s="2" t="s">
        <v>5210</v>
      </c>
      <c r="G757" s="2" t="s">
        <v>43</v>
      </c>
      <c r="H757" s="2">
        <v>53</v>
      </c>
      <c r="I757" s="2" t="s">
        <v>5211</v>
      </c>
      <c r="J757" s="2" t="s">
        <v>5212</v>
      </c>
      <c r="K757" s="2" t="s">
        <v>5213</v>
      </c>
      <c r="L757" s="2" t="s">
        <v>1867</v>
      </c>
      <c r="M757" s="2" t="s">
        <v>3416</v>
      </c>
      <c r="N757" s="2" t="s">
        <v>3358</v>
      </c>
      <c r="O757" s="2" t="s">
        <v>2970</v>
      </c>
      <c r="P757" s="2" t="s">
        <v>43</v>
      </c>
      <c r="Q757" s="2" t="s">
        <v>33</v>
      </c>
      <c r="R757" s="2" t="s">
        <v>5214</v>
      </c>
      <c r="S757" s="2" t="s">
        <v>79</v>
      </c>
      <c r="T757" s="5">
        <v>601053680000000</v>
      </c>
      <c r="U757" s="2" t="s">
        <v>79</v>
      </c>
      <c r="V757" s="2" t="s">
        <v>80</v>
      </c>
    </row>
    <row r="758" spans="1:22" ht="43.2">
      <c r="A758" s="2" t="s">
        <v>5215</v>
      </c>
      <c r="B758" s="2" t="s">
        <v>5216</v>
      </c>
      <c r="C758" s="2" t="s">
        <v>5217</v>
      </c>
      <c r="D758" s="2">
        <v>2024</v>
      </c>
      <c r="E758" s="3">
        <v>45413</v>
      </c>
      <c r="F758" s="2" t="s">
        <v>5218</v>
      </c>
      <c r="G758" s="2">
        <v>30</v>
      </c>
      <c r="H758" s="2">
        <v>5</v>
      </c>
      <c r="I758" s="2" t="s">
        <v>5219</v>
      </c>
      <c r="J758" s="2" t="s">
        <v>5220</v>
      </c>
      <c r="K758" s="2" t="s">
        <v>103</v>
      </c>
      <c r="L758" s="2" t="s">
        <v>29</v>
      </c>
      <c r="M758" s="2" t="s">
        <v>745</v>
      </c>
      <c r="N758" s="2" t="s">
        <v>234</v>
      </c>
      <c r="O758" s="4">
        <v>2195</v>
      </c>
      <c r="P758" s="2" t="s">
        <v>5221</v>
      </c>
      <c r="Q758" s="2" t="s">
        <v>49</v>
      </c>
      <c r="R758" s="2" t="s">
        <v>5222</v>
      </c>
      <c r="S758" s="2" t="s">
        <v>5223</v>
      </c>
      <c r="T758" s="2" t="s">
        <v>5224</v>
      </c>
      <c r="U758" s="2" t="s">
        <v>5225</v>
      </c>
      <c r="V758" s="2" t="s">
        <v>5226</v>
      </c>
    </row>
    <row r="759" spans="1:22">
      <c r="A759" s="2" t="s">
        <v>5227</v>
      </c>
      <c r="B759" s="2" t="s">
        <v>5228</v>
      </c>
      <c r="C759" s="2" t="s">
        <v>5229</v>
      </c>
      <c r="D759" s="2">
        <v>2024</v>
      </c>
      <c r="E759" s="3">
        <v>45471</v>
      </c>
      <c r="F759" s="2" t="s">
        <v>3389</v>
      </c>
      <c r="G759" s="2">
        <v>9</v>
      </c>
      <c r="H759" s="2" t="s">
        <v>43</v>
      </c>
      <c r="I759" s="2" t="s">
        <v>43</v>
      </c>
      <c r="J759" s="2" t="s">
        <v>3390</v>
      </c>
      <c r="K759" s="2" t="s">
        <v>3391</v>
      </c>
      <c r="L759" s="2" t="s">
        <v>1867</v>
      </c>
      <c r="M759" s="2" t="s">
        <v>3416</v>
      </c>
      <c r="N759" s="2" t="s">
        <v>5065</v>
      </c>
      <c r="O759" s="2" t="s">
        <v>3204</v>
      </c>
      <c r="P759" s="2" t="s">
        <v>5230</v>
      </c>
      <c r="Q759" s="2" t="s">
        <v>33</v>
      </c>
      <c r="R759" s="2" t="s">
        <v>5231</v>
      </c>
      <c r="S759" s="2" t="s">
        <v>79</v>
      </c>
      <c r="T759" s="5">
        <v>601053680000000</v>
      </c>
      <c r="U759" s="2" t="s">
        <v>79</v>
      </c>
      <c r="V759" s="2" t="s">
        <v>80</v>
      </c>
    </row>
    <row r="760" spans="1:22">
      <c r="A760" s="2" t="s">
        <v>5232</v>
      </c>
      <c r="B760" s="2" t="s">
        <v>5228</v>
      </c>
      <c r="C760" s="2" t="s">
        <v>5229</v>
      </c>
      <c r="D760" s="2">
        <v>2024</v>
      </c>
      <c r="E760" s="3">
        <v>45471</v>
      </c>
      <c r="F760" s="2" t="s">
        <v>3389</v>
      </c>
      <c r="G760" s="2">
        <v>9</v>
      </c>
      <c r="H760" s="2" t="s">
        <v>43</v>
      </c>
      <c r="I760" s="2" t="s">
        <v>43</v>
      </c>
      <c r="J760" s="2" t="s">
        <v>3390</v>
      </c>
      <c r="K760" s="2" t="s">
        <v>3391</v>
      </c>
      <c r="L760" s="2" t="s">
        <v>1867</v>
      </c>
      <c r="M760" s="2" t="s">
        <v>3416</v>
      </c>
      <c r="N760" s="2" t="s">
        <v>5065</v>
      </c>
      <c r="O760" s="2" t="s">
        <v>3204</v>
      </c>
      <c r="P760" s="2" t="s">
        <v>5230</v>
      </c>
      <c r="Q760" s="2" t="s">
        <v>33</v>
      </c>
      <c r="R760" s="2" t="s">
        <v>5231</v>
      </c>
      <c r="S760" s="2" t="s">
        <v>79</v>
      </c>
      <c r="T760" s="5">
        <v>601053680000000</v>
      </c>
      <c r="U760" s="2" t="s">
        <v>79</v>
      </c>
      <c r="V760" s="2" t="s">
        <v>80</v>
      </c>
    </row>
    <row r="761" spans="1:22">
      <c r="A761" s="2" t="s">
        <v>5233</v>
      </c>
      <c r="B761" s="2" t="s">
        <v>5228</v>
      </c>
      <c r="C761" s="2" t="s">
        <v>5229</v>
      </c>
      <c r="D761" s="2">
        <v>2024</v>
      </c>
      <c r="E761" s="3">
        <v>45471</v>
      </c>
      <c r="F761" s="2" t="s">
        <v>3389</v>
      </c>
      <c r="G761" s="2">
        <v>9</v>
      </c>
      <c r="H761" s="2" t="s">
        <v>43</v>
      </c>
      <c r="I761" s="2" t="s">
        <v>43</v>
      </c>
      <c r="J761" s="2" t="s">
        <v>3390</v>
      </c>
      <c r="K761" s="2" t="s">
        <v>3391</v>
      </c>
      <c r="L761" s="2" t="s">
        <v>1867</v>
      </c>
      <c r="M761" s="2" t="s">
        <v>3416</v>
      </c>
      <c r="N761" s="2" t="s">
        <v>5065</v>
      </c>
      <c r="O761" s="2" t="s">
        <v>3204</v>
      </c>
      <c r="P761" s="2" t="s">
        <v>5230</v>
      </c>
      <c r="Q761" s="2" t="s">
        <v>33</v>
      </c>
      <c r="R761" s="2" t="s">
        <v>5231</v>
      </c>
      <c r="S761" s="2" t="s">
        <v>79</v>
      </c>
      <c r="T761" s="5">
        <v>601053680000000</v>
      </c>
      <c r="U761" s="2" t="s">
        <v>79</v>
      </c>
      <c r="V761" s="2" t="s">
        <v>80</v>
      </c>
    </row>
    <row r="762" spans="1:22">
      <c r="A762" s="2" t="s">
        <v>834</v>
      </c>
      <c r="B762" s="2" t="s">
        <v>5234</v>
      </c>
      <c r="C762" s="2" t="s">
        <v>5235</v>
      </c>
      <c r="D762" s="2">
        <v>2025</v>
      </c>
      <c r="E762" s="3">
        <v>45658</v>
      </c>
      <c r="F762" s="2" t="s">
        <v>4161</v>
      </c>
      <c r="G762" s="2">
        <v>40</v>
      </c>
      <c r="H762" s="2">
        <v>1</v>
      </c>
      <c r="I762" s="2" t="s">
        <v>5236</v>
      </c>
      <c r="J762" s="2" t="s">
        <v>4163</v>
      </c>
      <c r="K762" s="2" t="s">
        <v>772</v>
      </c>
      <c r="L762" s="2" t="s">
        <v>773</v>
      </c>
      <c r="M762" s="2" t="s">
        <v>3416</v>
      </c>
      <c r="N762" s="2" t="s">
        <v>4165</v>
      </c>
      <c r="O762" s="2" t="s">
        <v>5237</v>
      </c>
      <c r="P762" s="2" t="s">
        <v>5238</v>
      </c>
      <c r="Q762" s="2" t="s">
        <v>33</v>
      </c>
      <c r="R762" s="2" t="s">
        <v>5239</v>
      </c>
      <c r="S762" s="2" t="s">
        <v>5240</v>
      </c>
      <c r="T762" s="2" t="s">
        <v>5241</v>
      </c>
      <c r="U762" s="2" t="s">
        <v>5242</v>
      </c>
      <c r="V762" s="2" t="s">
        <v>80</v>
      </c>
    </row>
    <row r="763" spans="1:22" ht="28.8">
      <c r="A763" s="2" t="s">
        <v>5243</v>
      </c>
      <c r="B763" s="2" t="s">
        <v>5244</v>
      </c>
      <c r="C763" s="2" t="s">
        <v>5245</v>
      </c>
      <c r="D763" s="2">
        <v>2025</v>
      </c>
      <c r="E763" s="3">
        <v>45992</v>
      </c>
      <c r="F763" s="2" t="s">
        <v>5246</v>
      </c>
      <c r="G763" s="2">
        <v>44</v>
      </c>
      <c r="H763" s="2" t="s">
        <v>43</v>
      </c>
      <c r="I763" s="2" t="s">
        <v>43</v>
      </c>
      <c r="J763" s="2" t="s">
        <v>5247</v>
      </c>
      <c r="K763" s="2" t="s">
        <v>103</v>
      </c>
      <c r="L763" s="2" t="s">
        <v>29</v>
      </c>
      <c r="M763" s="2" t="s">
        <v>1463</v>
      </c>
      <c r="N763" s="2" t="s">
        <v>234</v>
      </c>
      <c r="O763" s="2" t="s">
        <v>5248</v>
      </c>
      <c r="P763" s="2" t="s">
        <v>5249</v>
      </c>
      <c r="Q763" s="2" t="s">
        <v>33</v>
      </c>
      <c r="R763" s="2" t="s">
        <v>5250</v>
      </c>
      <c r="S763" s="2" t="s">
        <v>5251</v>
      </c>
      <c r="T763" s="2" t="s">
        <v>5252</v>
      </c>
      <c r="U763" s="2" t="s">
        <v>5253</v>
      </c>
      <c r="V763" s="2" t="s">
        <v>1249</v>
      </c>
    </row>
    <row r="764" spans="1:22">
      <c r="A764" s="2" t="s">
        <v>5254</v>
      </c>
      <c r="B764" s="2" t="s">
        <v>5255</v>
      </c>
      <c r="C764" s="2" t="s">
        <v>5256</v>
      </c>
      <c r="D764" s="2">
        <v>2024</v>
      </c>
      <c r="E764" s="3">
        <v>45566</v>
      </c>
      <c r="F764" s="2" t="s">
        <v>5257</v>
      </c>
      <c r="G764" s="2">
        <v>130</v>
      </c>
      <c r="H764" s="2">
        <v>5</v>
      </c>
      <c r="I764" s="2" t="s">
        <v>5258</v>
      </c>
      <c r="J764" s="2" t="s">
        <v>5259</v>
      </c>
      <c r="K764" s="2" t="s">
        <v>119</v>
      </c>
      <c r="L764" s="2" t="s">
        <v>29</v>
      </c>
      <c r="M764" s="2" t="s">
        <v>2040</v>
      </c>
      <c r="N764" s="2" t="s">
        <v>1544</v>
      </c>
      <c r="O764" s="2" t="s">
        <v>5260</v>
      </c>
      <c r="P764" s="2" t="s">
        <v>5261</v>
      </c>
      <c r="Q764" s="2" t="s">
        <v>33</v>
      </c>
      <c r="R764" s="2" t="s">
        <v>5262</v>
      </c>
      <c r="S764" s="2" t="s">
        <v>5263</v>
      </c>
      <c r="T764" s="2" t="s">
        <v>5264</v>
      </c>
      <c r="U764" s="2" t="s">
        <v>5265</v>
      </c>
      <c r="V764" s="2" t="s">
        <v>621</v>
      </c>
    </row>
    <row r="765" spans="1:22">
      <c r="A765" s="2" t="s">
        <v>5266</v>
      </c>
      <c r="B765" s="2" t="s">
        <v>5267</v>
      </c>
      <c r="C765" s="2" t="s">
        <v>5268</v>
      </c>
      <c r="D765" s="2">
        <v>2024</v>
      </c>
      <c r="E765" s="3">
        <v>45536</v>
      </c>
      <c r="F765" s="2" t="s">
        <v>3473</v>
      </c>
      <c r="G765" s="2">
        <v>25</v>
      </c>
      <c r="H765" s="2">
        <v>5</v>
      </c>
      <c r="I765" s="2" t="s">
        <v>43</v>
      </c>
      <c r="J765" s="2" t="s">
        <v>3474</v>
      </c>
      <c r="K765" s="2" t="s">
        <v>392</v>
      </c>
      <c r="L765" s="2" t="s">
        <v>773</v>
      </c>
      <c r="M765" s="2" t="s">
        <v>3475</v>
      </c>
      <c r="N765" s="2" t="s">
        <v>1136</v>
      </c>
      <c r="O765" s="2" t="s">
        <v>3476</v>
      </c>
      <c r="P765" s="2" t="s">
        <v>5269</v>
      </c>
      <c r="Q765" s="2" t="s">
        <v>33</v>
      </c>
      <c r="R765" s="2" t="s">
        <v>5270</v>
      </c>
      <c r="S765" s="2" t="s">
        <v>5271</v>
      </c>
      <c r="T765" s="2" t="s">
        <v>5272</v>
      </c>
      <c r="U765" s="2" t="s">
        <v>5273</v>
      </c>
      <c r="V765" s="2" t="s">
        <v>80</v>
      </c>
    </row>
    <row r="766" spans="1:22">
      <c r="A766" s="2" t="s">
        <v>5274</v>
      </c>
      <c r="B766" s="2" t="s">
        <v>5267</v>
      </c>
      <c r="C766" s="2" t="s">
        <v>5268</v>
      </c>
      <c r="D766" s="2">
        <v>2024</v>
      </c>
      <c r="E766" s="3">
        <v>45536</v>
      </c>
      <c r="F766" s="2" t="s">
        <v>3473</v>
      </c>
      <c r="G766" s="2">
        <v>25</v>
      </c>
      <c r="H766" s="2">
        <v>5</v>
      </c>
      <c r="I766" s="2" t="s">
        <v>43</v>
      </c>
      <c r="J766" s="2" t="s">
        <v>3474</v>
      </c>
      <c r="K766" s="2" t="s">
        <v>392</v>
      </c>
      <c r="L766" s="2" t="s">
        <v>773</v>
      </c>
      <c r="M766" s="2" t="s">
        <v>3475</v>
      </c>
      <c r="N766" s="2" t="s">
        <v>1136</v>
      </c>
      <c r="O766" s="2" t="s">
        <v>3476</v>
      </c>
      <c r="P766" s="2" t="s">
        <v>5269</v>
      </c>
      <c r="Q766" s="2" t="s">
        <v>33</v>
      </c>
      <c r="R766" s="2" t="s">
        <v>5270</v>
      </c>
      <c r="S766" s="2" t="s">
        <v>5271</v>
      </c>
      <c r="T766" s="2" t="s">
        <v>5272</v>
      </c>
      <c r="U766" s="2" t="s">
        <v>5273</v>
      </c>
      <c r="V766" s="2" t="s">
        <v>80</v>
      </c>
    </row>
    <row r="767" spans="1:22">
      <c r="A767" s="2" t="s">
        <v>5275</v>
      </c>
      <c r="B767" s="2" t="s">
        <v>5276</v>
      </c>
      <c r="C767" s="2" t="s">
        <v>5277</v>
      </c>
      <c r="D767" s="2">
        <v>2024</v>
      </c>
      <c r="E767" s="3">
        <v>45292</v>
      </c>
      <c r="F767" s="2" t="s">
        <v>5278</v>
      </c>
      <c r="G767" s="2">
        <v>36</v>
      </c>
      <c r="H767" s="2">
        <v>3</v>
      </c>
      <c r="I767" s="2" t="s">
        <v>5279</v>
      </c>
      <c r="J767" s="2" t="s">
        <v>5280</v>
      </c>
      <c r="K767" s="2" t="s">
        <v>5281</v>
      </c>
      <c r="L767" s="2" t="s">
        <v>1867</v>
      </c>
      <c r="M767" s="2" t="s">
        <v>3203</v>
      </c>
      <c r="N767" s="2" t="s">
        <v>807</v>
      </c>
      <c r="O767" s="2" t="s">
        <v>5282</v>
      </c>
      <c r="P767" s="2" t="s">
        <v>5283</v>
      </c>
      <c r="Q767" s="2" t="s">
        <v>33</v>
      </c>
      <c r="R767" s="2" t="s">
        <v>5284</v>
      </c>
      <c r="S767" s="2" t="s">
        <v>398</v>
      </c>
      <c r="T767" s="2" t="s">
        <v>4978</v>
      </c>
      <c r="U767" s="2" t="s">
        <v>398</v>
      </c>
      <c r="V767" s="2" t="s">
        <v>80</v>
      </c>
    </row>
    <row r="768" spans="1:22">
      <c r="A768" s="2" t="s">
        <v>5285</v>
      </c>
      <c r="B768" s="2" t="s">
        <v>5286</v>
      </c>
      <c r="C768" s="2" t="s">
        <v>5287</v>
      </c>
      <c r="D768" s="2">
        <v>2025</v>
      </c>
      <c r="E768" s="3">
        <v>45658</v>
      </c>
      <c r="F768" s="2" t="s">
        <v>5288</v>
      </c>
      <c r="G768" s="2" t="s">
        <v>43</v>
      </c>
      <c r="H768" s="2" t="s">
        <v>43</v>
      </c>
      <c r="I768" s="2" t="s">
        <v>43</v>
      </c>
      <c r="J768" s="2" t="s">
        <v>5289</v>
      </c>
      <c r="K768" s="2" t="s">
        <v>666</v>
      </c>
      <c r="L768" s="2" t="s">
        <v>29</v>
      </c>
      <c r="M768" s="2" t="s">
        <v>3203</v>
      </c>
      <c r="N768" s="2" t="s">
        <v>1581</v>
      </c>
      <c r="O768" s="2" t="s">
        <v>4166</v>
      </c>
      <c r="P768" s="2" t="s">
        <v>5290</v>
      </c>
      <c r="Q768" s="2" t="s">
        <v>33</v>
      </c>
      <c r="R768" s="2" t="s">
        <v>5291</v>
      </c>
      <c r="S768" s="2" t="s">
        <v>3289</v>
      </c>
      <c r="T768" s="2" t="s">
        <v>3290</v>
      </c>
      <c r="U768" s="2" t="s">
        <v>3291</v>
      </c>
      <c r="V768" s="2" t="s">
        <v>594</v>
      </c>
    </row>
    <row r="769" spans="1:22" ht="28.8">
      <c r="A769" s="2" t="s">
        <v>5098</v>
      </c>
      <c r="B769" s="2" t="s">
        <v>5292</v>
      </c>
      <c r="C769" s="2" t="s">
        <v>5293</v>
      </c>
      <c r="D769" s="2">
        <v>2025</v>
      </c>
      <c r="E769" s="3">
        <v>45658</v>
      </c>
      <c r="F769" s="2" t="s">
        <v>4678</v>
      </c>
      <c r="G769" s="2">
        <v>28</v>
      </c>
      <c r="H769" s="2">
        <v>5</v>
      </c>
      <c r="I769" s="2" t="s">
        <v>5294</v>
      </c>
      <c r="J769" s="2" t="s">
        <v>4680</v>
      </c>
      <c r="K769" s="2" t="s">
        <v>1134</v>
      </c>
      <c r="L769" s="2" t="s">
        <v>29</v>
      </c>
      <c r="M769" s="2" t="s">
        <v>121</v>
      </c>
      <c r="N769" s="2" t="s">
        <v>247</v>
      </c>
      <c r="O769" s="4">
        <v>1094</v>
      </c>
      <c r="P769" s="2" t="s">
        <v>5295</v>
      </c>
      <c r="Q769" s="2" t="s">
        <v>49</v>
      </c>
      <c r="R769" s="2" t="s">
        <v>5296</v>
      </c>
      <c r="S769" s="2" t="s">
        <v>5297</v>
      </c>
      <c r="T769" s="2" t="s">
        <v>5298</v>
      </c>
      <c r="U769" s="2" t="s">
        <v>5299</v>
      </c>
      <c r="V769" s="2" t="s">
        <v>5300</v>
      </c>
    </row>
    <row r="770" spans="1:22">
      <c r="A770" s="2" t="s">
        <v>635</v>
      </c>
      <c r="B770" s="2" t="s">
        <v>5301</v>
      </c>
      <c r="C770" s="2" t="s">
        <v>5014</v>
      </c>
      <c r="D770" s="2">
        <v>2025</v>
      </c>
      <c r="E770" s="3">
        <v>45839</v>
      </c>
      <c r="F770" s="2" t="s">
        <v>3046</v>
      </c>
      <c r="G770" s="2">
        <v>96</v>
      </c>
      <c r="H770" s="2">
        <v>4</v>
      </c>
      <c r="I770" s="2" t="s">
        <v>43</v>
      </c>
      <c r="J770" s="2" t="s">
        <v>3048</v>
      </c>
      <c r="K770" s="2" t="s">
        <v>3049</v>
      </c>
      <c r="L770" s="2" t="s">
        <v>1867</v>
      </c>
      <c r="M770" s="2" t="s">
        <v>1919</v>
      </c>
      <c r="N770" s="2" t="s">
        <v>3050</v>
      </c>
      <c r="O770" s="2" t="s">
        <v>3051</v>
      </c>
      <c r="P770" s="2" t="s">
        <v>5302</v>
      </c>
      <c r="Q770" s="2" t="s">
        <v>33</v>
      </c>
      <c r="R770" s="2" t="s">
        <v>5303</v>
      </c>
      <c r="S770" s="2" t="s">
        <v>79</v>
      </c>
      <c r="T770" s="2" t="s">
        <v>3054</v>
      </c>
      <c r="U770" s="2" t="s">
        <v>3055</v>
      </c>
      <c r="V770" s="2" t="s">
        <v>80</v>
      </c>
    </row>
    <row r="771" spans="1:22">
      <c r="A771" s="2" t="s">
        <v>5304</v>
      </c>
      <c r="B771" s="2" t="s">
        <v>5305</v>
      </c>
      <c r="C771" s="2" t="s">
        <v>5306</v>
      </c>
      <c r="D771" s="2">
        <v>2025</v>
      </c>
      <c r="E771" s="3">
        <v>45658</v>
      </c>
      <c r="F771" s="2" t="s">
        <v>3000</v>
      </c>
      <c r="G771" s="2">
        <v>2025</v>
      </c>
      <c r="H771" s="2">
        <v>179</v>
      </c>
      <c r="I771" s="7">
        <v>14489</v>
      </c>
      <c r="J771" s="2" t="s">
        <v>3001</v>
      </c>
      <c r="K771" s="2" t="s">
        <v>3002</v>
      </c>
      <c r="L771" s="2" t="s">
        <v>1867</v>
      </c>
      <c r="M771" s="2" t="s">
        <v>3357</v>
      </c>
      <c r="N771" s="2" t="s">
        <v>3079</v>
      </c>
      <c r="O771" s="2" t="s">
        <v>43</v>
      </c>
      <c r="P771" s="2" t="s">
        <v>5307</v>
      </c>
      <c r="Q771" s="2" t="s">
        <v>33</v>
      </c>
      <c r="R771" s="2" t="s">
        <v>5308</v>
      </c>
      <c r="S771" s="2" t="s">
        <v>79</v>
      </c>
      <c r="T771" s="5">
        <v>601053680000000</v>
      </c>
      <c r="U771" s="2" t="s">
        <v>79</v>
      </c>
      <c r="V771" s="2" t="s">
        <v>80</v>
      </c>
    </row>
    <row r="772" spans="1:22">
      <c r="B772" s="2" t="s">
        <v>5309</v>
      </c>
      <c r="C772" s="2" t="s">
        <v>5310</v>
      </c>
      <c r="D772" s="2">
        <v>2024</v>
      </c>
      <c r="E772" s="3">
        <v>45292</v>
      </c>
      <c r="F772" s="2" t="s">
        <v>1421</v>
      </c>
      <c r="G772" s="2" t="s">
        <v>43</v>
      </c>
      <c r="H772" s="2" t="s">
        <v>43</v>
      </c>
      <c r="I772" s="2" t="s">
        <v>5311</v>
      </c>
      <c r="J772" s="2" t="s">
        <v>43</v>
      </c>
      <c r="K772" s="2" t="s">
        <v>1423</v>
      </c>
      <c r="L772" s="2" t="s">
        <v>29</v>
      </c>
      <c r="M772" s="2" t="s">
        <v>43</v>
      </c>
      <c r="N772" s="2" t="s">
        <v>43</v>
      </c>
      <c r="O772" s="2" t="s">
        <v>43</v>
      </c>
      <c r="P772" s="2" t="s">
        <v>43</v>
      </c>
      <c r="Q772" s="2" t="s">
        <v>1125</v>
      </c>
      <c r="R772" s="2" t="s">
        <v>5312</v>
      </c>
      <c r="S772" s="2" t="s">
        <v>5313</v>
      </c>
      <c r="T772" s="2" t="s">
        <v>5314</v>
      </c>
      <c r="U772" s="2" t="s">
        <v>5315</v>
      </c>
      <c r="V772" s="2" t="s">
        <v>141</v>
      </c>
    </row>
    <row r="773" spans="1:22">
      <c r="A773" s="2" t="s">
        <v>5316</v>
      </c>
      <c r="B773" s="2" t="s">
        <v>5317</v>
      </c>
      <c r="C773" s="2" t="s">
        <v>5318</v>
      </c>
      <c r="D773" s="2">
        <v>2025</v>
      </c>
      <c r="E773" s="3">
        <v>45901</v>
      </c>
      <c r="F773" s="2" t="s">
        <v>5319</v>
      </c>
      <c r="G773" s="2">
        <v>49</v>
      </c>
      <c r="H773" s="2">
        <v>18</v>
      </c>
      <c r="I773" s="2" t="s">
        <v>5320</v>
      </c>
      <c r="J773" s="2" t="s">
        <v>5321</v>
      </c>
      <c r="K773" s="2" t="s">
        <v>1624</v>
      </c>
      <c r="L773" s="2" t="s">
        <v>29</v>
      </c>
      <c r="M773" s="2" t="s">
        <v>2052</v>
      </c>
      <c r="N773" s="2" t="s">
        <v>331</v>
      </c>
      <c r="O773" s="2" t="s">
        <v>5322</v>
      </c>
      <c r="P773" s="2" t="s">
        <v>5323</v>
      </c>
      <c r="Q773" s="2" t="s">
        <v>49</v>
      </c>
      <c r="R773" s="2" t="s">
        <v>5324</v>
      </c>
      <c r="S773" s="2" t="s">
        <v>79</v>
      </c>
      <c r="T773" s="5">
        <v>601053680000000</v>
      </c>
      <c r="U773" s="2" t="s">
        <v>79</v>
      </c>
      <c r="V773" s="2" t="s">
        <v>80</v>
      </c>
    </row>
    <row r="774" spans="1:22">
      <c r="A774" s="2" t="s">
        <v>5325</v>
      </c>
      <c r="B774" s="2" t="s">
        <v>5317</v>
      </c>
      <c r="C774" s="2" t="s">
        <v>5318</v>
      </c>
      <c r="D774" s="2">
        <v>2025</v>
      </c>
      <c r="E774" s="3">
        <v>45901</v>
      </c>
      <c r="F774" s="2" t="s">
        <v>5319</v>
      </c>
      <c r="G774" s="2">
        <v>49</v>
      </c>
      <c r="H774" s="2">
        <v>18</v>
      </c>
      <c r="I774" s="2" t="s">
        <v>5320</v>
      </c>
      <c r="J774" s="2" t="s">
        <v>5321</v>
      </c>
      <c r="K774" s="2" t="s">
        <v>1624</v>
      </c>
      <c r="L774" s="2" t="s">
        <v>29</v>
      </c>
      <c r="M774" s="2" t="s">
        <v>2052</v>
      </c>
      <c r="N774" s="2" t="s">
        <v>331</v>
      </c>
      <c r="O774" s="2" t="s">
        <v>5322</v>
      </c>
      <c r="P774" s="2" t="s">
        <v>5323</v>
      </c>
      <c r="Q774" s="2" t="s">
        <v>49</v>
      </c>
      <c r="R774" s="2" t="s">
        <v>5324</v>
      </c>
      <c r="S774" s="2" t="s">
        <v>79</v>
      </c>
      <c r="T774" s="5">
        <v>601053680000000</v>
      </c>
      <c r="U774" s="2" t="s">
        <v>79</v>
      </c>
      <c r="V774" s="2" t="s">
        <v>80</v>
      </c>
    </row>
    <row r="775" spans="1:22">
      <c r="A775" s="2" t="s">
        <v>5326</v>
      </c>
      <c r="B775" s="2" t="s">
        <v>5317</v>
      </c>
      <c r="C775" s="2" t="s">
        <v>5318</v>
      </c>
      <c r="D775" s="2">
        <v>2025</v>
      </c>
      <c r="E775" s="3">
        <v>45901</v>
      </c>
      <c r="F775" s="2" t="s">
        <v>5319</v>
      </c>
      <c r="G775" s="2">
        <v>49</v>
      </c>
      <c r="H775" s="2">
        <v>18</v>
      </c>
      <c r="I775" s="2" t="s">
        <v>5320</v>
      </c>
      <c r="J775" s="2" t="s">
        <v>5321</v>
      </c>
      <c r="K775" s="2" t="s">
        <v>1624</v>
      </c>
      <c r="L775" s="2" t="s">
        <v>29</v>
      </c>
      <c r="M775" s="2" t="s">
        <v>2052</v>
      </c>
      <c r="N775" s="2" t="s">
        <v>331</v>
      </c>
      <c r="O775" s="2" t="s">
        <v>5322</v>
      </c>
      <c r="P775" s="2" t="s">
        <v>5323</v>
      </c>
      <c r="Q775" s="2" t="s">
        <v>49</v>
      </c>
      <c r="R775" s="2" t="s">
        <v>5324</v>
      </c>
      <c r="S775" s="2" t="s">
        <v>79</v>
      </c>
      <c r="T775" s="5">
        <v>601053680000000</v>
      </c>
      <c r="U775" s="2" t="s">
        <v>79</v>
      </c>
      <c r="V775" s="2" t="s">
        <v>80</v>
      </c>
    </row>
    <row r="776" spans="1:22">
      <c r="A776" s="2" t="s">
        <v>5327</v>
      </c>
      <c r="B776" s="2" t="s">
        <v>5317</v>
      </c>
      <c r="C776" s="2" t="s">
        <v>5318</v>
      </c>
      <c r="D776" s="2">
        <v>2025</v>
      </c>
      <c r="E776" s="3">
        <v>45901</v>
      </c>
      <c r="F776" s="2" t="s">
        <v>5319</v>
      </c>
      <c r="G776" s="2">
        <v>49</v>
      </c>
      <c r="H776" s="2">
        <v>18</v>
      </c>
      <c r="I776" s="2" t="s">
        <v>5320</v>
      </c>
      <c r="J776" s="2" t="s">
        <v>5321</v>
      </c>
      <c r="K776" s="2" t="s">
        <v>1624</v>
      </c>
      <c r="L776" s="2" t="s">
        <v>29</v>
      </c>
      <c r="M776" s="2" t="s">
        <v>2052</v>
      </c>
      <c r="N776" s="2" t="s">
        <v>331</v>
      </c>
      <c r="O776" s="2" t="s">
        <v>5322</v>
      </c>
      <c r="P776" s="2" t="s">
        <v>5323</v>
      </c>
      <c r="Q776" s="2" t="s">
        <v>49</v>
      </c>
      <c r="R776" s="2" t="s">
        <v>5324</v>
      </c>
      <c r="S776" s="2" t="s">
        <v>79</v>
      </c>
      <c r="T776" s="5">
        <v>601053680000000</v>
      </c>
      <c r="U776" s="2" t="s">
        <v>79</v>
      </c>
      <c r="V776" s="2" t="s">
        <v>80</v>
      </c>
    </row>
    <row r="777" spans="1:22">
      <c r="A777" s="2" t="s">
        <v>5328</v>
      </c>
      <c r="B777" s="2" t="s">
        <v>5317</v>
      </c>
      <c r="C777" s="2" t="s">
        <v>5318</v>
      </c>
      <c r="D777" s="2">
        <v>2025</v>
      </c>
      <c r="E777" s="3">
        <v>45901</v>
      </c>
      <c r="F777" s="2" t="s">
        <v>5319</v>
      </c>
      <c r="G777" s="2">
        <v>49</v>
      </c>
      <c r="H777" s="2">
        <v>18</v>
      </c>
      <c r="I777" s="2" t="s">
        <v>5320</v>
      </c>
      <c r="J777" s="2" t="s">
        <v>5321</v>
      </c>
      <c r="K777" s="2" t="s">
        <v>1624</v>
      </c>
      <c r="L777" s="2" t="s">
        <v>29</v>
      </c>
      <c r="M777" s="2" t="s">
        <v>2052</v>
      </c>
      <c r="N777" s="2" t="s">
        <v>331</v>
      </c>
      <c r="O777" s="2" t="s">
        <v>5322</v>
      </c>
      <c r="P777" s="2" t="s">
        <v>5323</v>
      </c>
      <c r="Q777" s="2" t="s">
        <v>49</v>
      </c>
      <c r="R777" s="2" t="s">
        <v>5324</v>
      </c>
      <c r="S777" s="2" t="s">
        <v>79</v>
      </c>
      <c r="T777" s="5">
        <v>601053680000000</v>
      </c>
      <c r="U777" s="2" t="s">
        <v>79</v>
      </c>
      <c r="V777" s="2" t="s">
        <v>80</v>
      </c>
    </row>
    <row r="778" spans="1:22">
      <c r="A778" s="2" t="s">
        <v>5329</v>
      </c>
      <c r="B778" s="2" t="s">
        <v>5317</v>
      </c>
      <c r="C778" s="2" t="s">
        <v>5318</v>
      </c>
      <c r="D778" s="2">
        <v>2025</v>
      </c>
      <c r="E778" s="3">
        <v>45901</v>
      </c>
      <c r="F778" s="2" t="s">
        <v>5319</v>
      </c>
      <c r="G778" s="2">
        <v>49</v>
      </c>
      <c r="H778" s="2">
        <v>18</v>
      </c>
      <c r="I778" s="2" t="s">
        <v>5320</v>
      </c>
      <c r="J778" s="2" t="s">
        <v>5321</v>
      </c>
      <c r="K778" s="2" t="s">
        <v>1624</v>
      </c>
      <c r="L778" s="2" t="s">
        <v>29</v>
      </c>
      <c r="M778" s="2" t="s">
        <v>2052</v>
      </c>
      <c r="N778" s="2" t="s">
        <v>331</v>
      </c>
      <c r="O778" s="2" t="s">
        <v>5322</v>
      </c>
      <c r="P778" s="2" t="s">
        <v>5323</v>
      </c>
      <c r="Q778" s="2" t="s">
        <v>49</v>
      </c>
      <c r="R778" s="2" t="s">
        <v>5324</v>
      </c>
      <c r="S778" s="2" t="s">
        <v>79</v>
      </c>
      <c r="T778" s="5">
        <v>601053680000000</v>
      </c>
      <c r="U778" s="2" t="s">
        <v>79</v>
      </c>
      <c r="V778" s="2" t="s">
        <v>80</v>
      </c>
    </row>
    <row r="779" spans="1:22">
      <c r="A779" s="2" t="s">
        <v>5199</v>
      </c>
      <c r="B779" s="2" t="s">
        <v>5330</v>
      </c>
      <c r="C779" s="2" t="s">
        <v>5201</v>
      </c>
      <c r="D779" s="2">
        <v>2025</v>
      </c>
      <c r="E779" s="3">
        <v>45658</v>
      </c>
      <c r="F779" s="2" t="s">
        <v>3413</v>
      </c>
      <c r="G779" s="2" t="s">
        <v>43</v>
      </c>
      <c r="H779" s="2">
        <v>44</v>
      </c>
      <c r="I779" s="2" t="s">
        <v>5331</v>
      </c>
      <c r="J779" s="2" t="s">
        <v>3415</v>
      </c>
      <c r="K779" s="2" t="s">
        <v>2768</v>
      </c>
      <c r="L779" s="2" t="s">
        <v>773</v>
      </c>
      <c r="M779" s="2" t="s">
        <v>3416</v>
      </c>
      <c r="N779" s="2" t="s">
        <v>2407</v>
      </c>
      <c r="O779" s="2" t="s">
        <v>3417</v>
      </c>
      <c r="P779" s="2" t="s">
        <v>5332</v>
      </c>
      <c r="Q779" s="2" t="s">
        <v>33</v>
      </c>
      <c r="R779" s="2" t="s">
        <v>5333</v>
      </c>
      <c r="S779" s="2" t="s">
        <v>79</v>
      </c>
      <c r="T779" s="5">
        <v>601053680000000</v>
      </c>
      <c r="U779" s="2" t="s">
        <v>79</v>
      </c>
      <c r="V779" s="2" t="s">
        <v>80</v>
      </c>
    </row>
    <row r="780" spans="1:22">
      <c r="A780" s="2" t="s">
        <v>386</v>
      </c>
      <c r="B780" s="2" t="s">
        <v>5334</v>
      </c>
      <c r="C780" s="2" t="s">
        <v>388</v>
      </c>
      <c r="D780" s="2">
        <v>2024</v>
      </c>
      <c r="E780" s="3">
        <v>45597</v>
      </c>
      <c r="F780" s="2" t="s">
        <v>4161</v>
      </c>
      <c r="G780" s="2">
        <v>39</v>
      </c>
      <c r="H780" s="2">
        <v>9</v>
      </c>
      <c r="I780" s="2" t="s">
        <v>5335</v>
      </c>
      <c r="J780" s="2" t="s">
        <v>4163</v>
      </c>
      <c r="K780" s="2" t="s">
        <v>772</v>
      </c>
      <c r="L780" s="2" t="s">
        <v>773</v>
      </c>
      <c r="M780" s="2" t="s">
        <v>3416</v>
      </c>
      <c r="N780" s="2" t="s">
        <v>4165</v>
      </c>
      <c r="O780" s="2" t="s">
        <v>4166</v>
      </c>
      <c r="P780" s="2" t="s">
        <v>5336</v>
      </c>
      <c r="Q780" s="2" t="s">
        <v>49</v>
      </c>
      <c r="R780" s="2" t="s">
        <v>5337</v>
      </c>
      <c r="S780" s="2" t="s">
        <v>398</v>
      </c>
      <c r="T780" s="2" t="s">
        <v>399</v>
      </c>
      <c r="U780" s="2" t="s">
        <v>400</v>
      </c>
      <c r="V780" s="2" t="s">
        <v>80</v>
      </c>
    </row>
    <row r="781" spans="1:22">
      <c r="A781" s="2" t="s">
        <v>864</v>
      </c>
      <c r="B781" s="2" t="s">
        <v>5338</v>
      </c>
      <c r="C781" s="2" t="s">
        <v>5339</v>
      </c>
      <c r="D781" s="2">
        <v>2025</v>
      </c>
      <c r="E781" s="3">
        <v>45658</v>
      </c>
      <c r="F781" s="2" t="s">
        <v>5340</v>
      </c>
      <c r="G781" s="2" t="s">
        <v>43</v>
      </c>
      <c r="H781" s="2" t="s">
        <v>43</v>
      </c>
      <c r="I781" s="2" t="s">
        <v>5341</v>
      </c>
      <c r="J781" s="2" t="s">
        <v>43</v>
      </c>
      <c r="K781" s="2" t="s">
        <v>4265</v>
      </c>
      <c r="L781" s="2" t="s">
        <v>29</v>
      </c>
      <c r="M781" s="2" t="s">
        <v>43</v>
      </c>
      <c r="N781" s="2" t="s">
        <v>43</v>
      </c>
      <c r="O781" s="2" t="s">
        <v>43</v>
      </c>
      <c r="P781" s="2" t="s">
        <v>5342</v>
      </c>
      <c r="Q781" s="2" t="s">
        <v>1125</v>
      </c>
      <c r="R781" s="2" t="s">
        <v>5343</v>
      </c>
      <c r="S781" s="2" t="s">
        <v>5344</v>
      </c>
      <c r="T781" s="2" t="s">
        <v>5345</v>
      </c>
      <c r="U781" s="2" t="s">
        <v>5346</v>
      </c>
      <c r="V781" s="2" t="s">
        <v>80</v>
      </c>
    </row>
    <row r="782" spans="1:22">
      <c r="A782" s="2" t="s">
        <v>5347</v>
      </c>
      <c r="B782" s="2" t="s">
        <v>5348</v>
      </c>
      <c r="C782" s="2" t="s">
        <v>5349</v>
      </c>
      <c r="D782" s="2">
        <v>2025</v>
      </c>
      <c r="E782" s="3">
        <v>45809</v>
      </c>
      <c r="F782" s="2" t="s">
        <v>4042</v>
      </c>
      <c r="G782" s="2" t="s">
        <v>43</v>
      </c>
      <c r="H782" s="2">
        <v>62</v>
      </c>
      <c r="I782" s="2" t="s">
        <v>5350</v>
      </c>
      <c r="J782" s="2" t="s">
        <v>4044</v>
      </c>
      <c r="K782" s="2" t="s">
        <v>4045</v>
      </c>
      <c r="L782" s="2" t="s">
        <v>1867</v>
      </c>
      <c r="M782" s="2" t="s">
        <v>2203</v>
      </c>
      <c r="N782" s="2" t="s">
        <v>1473</v>
      </c>
      <c r="O782" s="2" t="s">
        <v>3051</v>
      </c>
      <c r="P782" s="2" t="s">
        <v>5351</v>
      </c>
      <c r="Q782" s="2" t="s">
        <v>33</v>
      </c>
      <c r="R782" s="2" t="s">
        <v>5352</v>
      </c>
      <c r="S782" s="2" t="s">
        <v>1366</v>
      </c>
      <c r="T782" s="2" t="s">
        <v>5353</v>
      </c>
      <c r="U782" s="2" t="s">
        <v>5354</v>
      </c>
      <c r="V782" s="2" t="s">
        <v>80</v>
      </c>
    </row>
    <row r="783" spans="1:22">
      <c r="A783" s="2" t="s">
        <v>5355</v>
      </c>
      <c r="B783" s="2" t="s">
        <v>5356</v>
      </c>
      <c r="C783" s="2" t="s">
        <v>5357</v>
      </c>
      <c r="D783" s="2">
        <v>2025</v>
      </c>
      <c r="E783" s="3">
        <v>45717</v>
      </c>
      <c r="F783" s="2" t="s">
        <v>3046</v>
      </c>
      <c r="G783" s="2">
        <v>96</v>
      </c>
      <c r="H783" s="2">
        <v>2</v>
      </c>
      <c r="I783" s="2" t="s">
        <v>5358</v>
      </c>
      <c r="J783" s="2" t="s">
        <v>3048</v>
      </c>
      <c r="K783" s="2" t="s">
        <v>3049</v>
      </c>
      <c r="L783" s="2" t="s">
        <v>773</v>
      </c>
      <c r="M783" s="2" t="s">
        <v>1919</v>
      </c>
      <c r="N783" s="2" t="s">
        <v>3050</v>
      </c>
      <c r="O783" s="2" t="s">
        <v>3051</v>
      </c>
      <c r="P783" s="2" t="s">
        <v>5359</v>
      </c>
      <c r="Q783" s="2" t="s">
        <v>644</v>
      </c>
      <c r="R783" s="2" t="s">
        <v>5360</v>
      </c>
      <c r="S783" s="2" t="s">
        <v>79</v>
      </c>
      <c r="T783" s="2" t="s">
        <v>5361</v>
      </c>
      <c r="U783" s="2" t="s">
        <v>5362</v>
      </c>
      <c r="V783" s="2" t="s">
        <v>3927</v>
      </c>
    </row>
    <row r="784" spans="1:22">
      <c r="A784" s="2" t="s">
        <v>635</v>
      </c>
      <c r="B784" s="2" t="s">
        <v>5356</v>
      </c>
      <c r="C784" s="2" t="s">
        <v>5357</v>
      </c>
      <c r="D784" s="2">
        <v>2025</v>
      </c>
      <c r="E784" s="3">
        <v>45717</v>
      </c>
      <c r="F784" s="2" t="s">
        <v>3046</v>
      </c>
      <c r="G784" s="2">
        <v>96</v>
      </c>
      <c r="H784" s="2">
        <v>2</v>
      </c>
      <c r="I784" s="2" t="s">
        <v>5358</v>
      </c>
      <c r="J784" s="2" t="s">
        <v>3048</v>
      </c>
      <c r="K784" s="2" t="s">
        <v>3049</v>
      </c>
      <c r="L784" s="2" t="s">
        <v>773</v>
      </c>
      <c r="M784" s="2" t="s">
        <v>1919</v>
      </c>
      <c r="N784" s="2" t="s">
        <v>3050</v>
      </c>
      <c r="O784" s="2" t="s">
        <v>3051</v>
      </c>
      <c r="P784" s="2" t="s">
        <v>5359</v>
      </c>
      <c r="Q784" s="2" t="s">
        <v>644</v>
      </c>
      <c r="R784" s="2" t="s">
        <v>5360</v>
      </c>
      <c r="S784" s="2" t="s">
        <v>79</v>
      </c>
      <c r="T784" s="2" t="s">
        <v>5361</v>
      </c>
      <c r="U784" s="2" t="s">
        <v>5362</v>
      </c>
      <c r="V784" s="2" t="s">
        <v>3927</v>
      </c>
    </row>
    <row r="785" spans="1:22">
      <c r="A785" s="2" t="s">
        <v>5347</v>
      </c>
      <c r="B785" s="2" t="s">
        <v>5363</v>
      </c>
      <c r="C785" s="2" t="s">
        <v>5364</v>
      </c>
      <c r="D785" s="2">
        <v>2025</v>
      </c>
      <c r="E785" s="3">
        <v>45658</v>
      </c>
      <c r="F785" s="2" t="s">
        <v>5365</v>
      </c>
      <c r="G785" s="2" t="s">
        <v>43</v>
      </c>
      <c r="H785" s="2">
        <v>51</v>
      </c>
      <c r="I785" s="2" t="s">
        <v>5366</v>
      </c>
      <c r="J785" s="2" t="s">
        <v>5367</v>
      </c>
      <c r="K785" s="2" t="s">
        <v>5368</v>
      </c>
      <c r="L785" s="2" t="s">
        <v>1867</v>
      </c>
      <c r="M785" s="2" t="s">
        <v>2423</v>
      </c>
      <c r="N785" s="2" t="s">
        <v>4337</v>
      </c>
      <c r="O785" s="2" t="s">
        <v>5059</v>
      </c>
      <c r="P785" s="2" t="s">
        <v>5369</v>
      </c>
      <c r="Q785" s="2" t="s">
        <v>33</v>
      </c>
      <c r="R785" s="2" t="s">
        <v>5370</v>
      </c>
      <c r="S785" s="2" t="s">
        <v>79</v>
      </c>
      <c r="T785" s="5">
        <v>601053680000000</v>
      </c>
      <c r="U785" s="2" t="s">
        <v>79</v>
      </c>
      <c r="V785" s="2" t="s">
        <v>80</v>
      </c>
    </row>
    <row r="786" spans="1:22">
      <c r="A786" s="2" t="s">
        <v>2763</v>
      </c>
      <c r="B786" s="2" t="s">
        <v>5371</v>
      </c>
      <c r="C786" s="2" t="s">
        <v>5372</v>
      </c>
      <c r="D786" s="2">
        <v>2025</v>
      </c>
      <c r="E786" s="3">
        <v>45674</v>
      </c>
      <c r="F786" s="2" t="s">
        <v>5373</v>
      </c>
      <c r="G786" s="2">
        <v>35</v>
      </c>
      <c r="H786" s="2">
        <v>1</v>
      </c>
      <c r="I786" s="7">
        <v>46023</v>
      </c>
      <c r="J786" s="2" t="s">
        <v>5374</v>
      </c>
      <c r="K786" s="2" t="s">
        <v>5375</v>
      </c>
      <c r="L786" s="2" t="s">
        <v>1867</v>
      </c>
      <c r="M786" s="2" t="s">
        <v>4498</v>
      </c>
      <c r="N786" s="2" t="s">
        <v>3079</v>
      </c>
      <c r="O786" s="2" t="s">
        <v>5376</v>
      </c>
      <c r="P786" s="2" t="s">
        <v>5377</v>
      </c>
      <c r="Q786" s="2" t="s">
        <v>33</v>
      </c>
      <c r="R786" s="2" t="s">
        <v>5378</v>
      </c>
      <c r="S786" s="2" t="s">
        <v>5379</v>
      </c>
      <c r="T786" s="2" t="s">
        <v>5380</v>
      </c>
      <c r="U786" s="2" t="s">
        <v>5381</v>
      </c>
      <c r="V786" s="2" t="s">
        <v>80</v>
      </c>
    </row>
    <row r="787" spans="1:22">
      <c r="A787" s="2" t="s">
        <v>1619</v>
      </c>
      <c r="B787" s="2" t="s">
        <v>5382</v>
      </c>
      <c r="C787" s="2" t="s">
        <v>5383</v>
      </c>
      <c r="D787" s="2">
        <v>2025</v>
      </c>
      <c r="E787" s="3">
        <v>45747</v>
      </c>
      <c r="F787" s="2" t="s">
        <v>5384</v>
      </c>
      <c r="G787" s="2">
        <v>45</v>
      </c>
      <c r="H787" s="2">
        <v>1</v>
      </c>
      <c r="I787" s="2" t="s">
        <v>43</v>
      </c>
      <c r="J787" s="2" t="s">
        <v>5385</v>
      </c>
      <c r="K787" s="2" t="s">
        <v>5386</v>
      </c>
      <c r="L787" s="2" t="s">
        <v>29</v>
      </c>
      <c r="M787" s="2" t="s">
        <v>2177</v>
      </c>
      <c r="N787" s="2" t="s">
        <v>3050</v>
      </c>
      <c r="O787" s="2" t="s">
        <v>5387</v>
      </c>
      <c r="P787" s="2" t="s">
        <v>5388</v>
      </c>
      <c r="Q787" s="2" t="s">
        <v>33</v>
      </c>
      <c r="R787" s="2" t="s">
        <v>5389</v>
      </c>
      <c r="S787" s="2" t="s">
        <v>3116</v>
      </c>
      <c r="T787" s="2" t="s">
        <v>5390</v>
      </c>
      <c r="U787" s="2" t="s">
        <v>5391</v>
      </c>
      <c r="V787" s="2" t="s">
        <v>594</v>
      </c>
    </row>
    <row r="788" spans="1:22">
      <c r="A788" s="2" t="s">
        <v>5392</v>
      </c>
      <c r="B788" s="2" t="s">
        <v>5393</v>
      </c>
      <c r="C788" s="2" t="s">
        <v>5394</v>
      </c>
      <c r="D788" s="2">
        <v>2025</v>
      </c>
      <c r="E788" s="3">
        <v>45658</v>
      </c>
      <c r="F788" s="2" t="s">
        <v>5395</v>
      </c>
      <c r="G788" s="2">
        <v>15</v>
      </c>
      <c r="H788" s="2" t="s">
        <v>43</v>
      </c>
      <c r="I788" s="2" t="s">
        <v>43</v>
      </c>
      <c r="J788" s="2" t="s">
        <v>5396</v>
      </c>
      <c r="K788" s="2" t="s">
        <v>5397</v>
      </c>
      <c r="L788" s="2" t="s">
        <v>29</v>
      </c>
      <c r="M788" s="2" t="s">
        <v>3416</v>
      </c>
      <c r="N788" s="2" t="s">
        <v>5398</v>
      </c>
      <c r="O788" s="2" t="s">
        <v>5237</v>
      </c>
      <c r="P788" s="2" t="s">
        <v>5399</v>
      </c>
      <c r="Q788" s="2" t="s">
        <v>49</v>
      </c>
      <c r="R788" s="2" t="s">
        <v>5400</v>
      </c>
      <c r="S788" s="2" t="s">
        <v>79</v>
      </c>
      <c r="T788" s="2" t="s">
        <v>5401</v>
      </c>
      <c r="U788" s="2" t="s">
        <v>5402</v>
      </c>
      <c r="V788" s="2" t="s">
        <v>80</v>
      </c>
    </row>
    <row r="789" spans="1:22">
      <c r="A789" s="2" t="s">
        <v>5403</v>
      </c>
      <c r="B789" s="2" t="s">
        <v>5404</v>
      </c>
      <c r="C789" s="2" t="s">
        <v>5405</v>
      </c>
      <c r="D789" s="2">
        <v>2025</v>
      </c>
      <c r="E789" s="3">
        <v>45748</v>
      </c>
      <c r="F789" s="2" t="s">
        <v>5406</v>
      </c>
      <c r="G789" s="2" t="s">
        <v>43</v>
      </c>
      <c r="H789" s="2">
        <v>95</v>
      </c>
      <c r="I789" s="2" t="s">
        <v>43</v>
      </c>
      <c r="J789" s="2" t="s">
        <v>5407</v>
      </c>
      <c r="K789" s="2" t="s">
        <v>5408</v>
      </c>
      <c r="L789" s="2" t="s">
        <v>29</v>
      </c>
      <c r="M789" s="2" t="s">
        <v>1948</v>
      </c>
      <c r="N789" s="2" t="s">
        <v>3674</v>
      </c>
      <c r="O789" s="2" t="s">
        <v>5409</v>
      </c>
      <c r="P789" s="2" t="s">
        <v>5410</v>
      </c>
      <c r="Q789" s="2" t="s">
        <v>33</v>
      </c>
      <c r="R789" s="2" t="s">
        <v>5411</v>
      </c>
      <c r="S789" s="2" t="s">
        <v>682</v>
      </c>
      <c r="T789" s="2" t="s">
        <v>5412</v>
      </c>
      <c r="U789" s="2" t="s">
        <v>5413</v>
      </c>
      <c r="V789" s="2" t="s">
        <v>2357</v>
      </c>
    </row>
    <row r="790" spans="1:22">
      <c r="A790" s="2" t="s">
        <v>2683</v>
      </c>
      <c r="B790" s="2" t="s">
        <v>5404</v>
      </c>
      <c r="C790" s="2" t="s">
        <v>5405</v>
      </c>
      <c r="D790" s="2">
        <v>2025</v>
      </c>
      <c r="E790" s="3">
        <v>45748</v>
      </c>
      <c r="F790" s="2" t="s">
        <v>5406</v>
      </c>
      <c r="G790" s="2" t="s">
        <v>43</v>
      </c>
      <c r="H790" s="2">
        <v>95</v>
      </c>
      <c r="I790" s="2" t="s">
        <v>43</v>
      </c>
      <c r="J790" s="2" t="s">
        <v>5407</v>
      </c>
      <c r="K790" s="2" t="s">
        <v>5408</v>
      </c>
      <c r="L790" s="2" t="s">
        <v>29</v>
      </c>
      <c r="M790" s="2" t="s">
        <v>1948</v>
      </c>
      <c r="N790" s="2" t="s">
        <v>3674</v>
      </c>
      <c r="O790" s="2" t="s">
        <v>5409</v>
      </c>
      <c r="P790" s="2" t="s">
        <v>5410</v>
      </c>
      <c r="Q790" s="2" t="s">
        <v>33</v>
      </c>
      <c r="R790" s="2" t="s">
        <v>5411</v>
      </c>
      <c r="S790" s="2" t="s">
        <v>682</v>
      </c>
      <c r="T790" s="2" t="s">
        <v>5412</v>
      </c>
      <c r="U790" s="2" t="s">
        <v>5413</v>
      </c>
      <c r="V790" s="2" t="s">
        <v>2357</v>
      </c>
    </row>
    <row r="791" spans="1:22">
      <c r="A791" s="2" t="s">
        <v>5414</v>
      </c>
      <c r="B791" s="2" t="s">
        <v>5415</v>
      </c>
      <c r="C791" s="2" t="s">
        <v>5416</v>
      </c>
      <c r="D791" s="2">
        <v>2025</v>
      </c>
      <c r="E791" s="3">
        <v>45839</v>
      </c>
      <c r="F791" s="2" t="s">
        <v>1323</v>
      </c>
      <c r="G791" s="2">
        <v>78</v>
      </c>
      <c r="H791" s="2">
        <v>7</v>
      </c>
      <c r="I791" s="2" t="s">
        <v>5417</v>
      </c>
      <c r="J791" s="2" t="s">
        <v>1325</v>
      </c>
      <c r="K791" s="2" t="s">
        <v>772</v>
      </c>
      <c r="L791" s="2" t="s">
        <v>773</v>
      </c>
      <c r="M791" s="2" t="s">
        <v>3038</v>
      </c>
      <c r="N791" s="2" t="s">
        <v>3079</v>
      </c>
      <c r="O791" s="2" t="s">
        <v>5418</v>
      </c>
      <c r="P791" s="2" t="s">
        <v>5419</v>
      </c>
      <c r="Q791" s="2" t="s">
        <v>33</v>
      </c>
      <c r="R791" s="2" t="s">
        <v>5420</v>
      </c>
      <c r="S791" s="2" t="s">
        <v>5421</v>
      </c>
      <c r="T791" s="2" t="s">
        <v>5422</v>
      </c>
      <c r="U791" s="2" t="s">
        <v>5423</v>
      </c>
      <c r="V791" s="2" t="s">
        <v>80</v>
      </c>
    </row>
    <row r="792" spans="1:22">
      <c r="A792" s="2" t="s">
        <v>5424</v>
      </c>
      <c r="B792" s="2" t="s">
        <v>5425</v>
      </c>
      <c r="C792" s="2" t="s">
        <v>5426</v>
      </c>
      <c r="D792" s="2">
        <v>2024</v>
      </c>
      <c r="E792" s="3">
        <v>45306</v>
      </c>
      <c r="F792" s="2" t="s">
        <v>5427</v>
      </c>
      <c r="G792" s="2">
        <v>16</v>
      </c>
      <c r="H792" s="2" t="s">
        <v>43</v>
      </c>
      <c r="I792" s="2" t="s">
        <v>43</v>
      </c>
      <c r="J792" s="2" t="s">
        <v>5428</v>
      </c>
      <c r="K792" s="2" t="s">
        <v>5429</v>
      </c>
      <c r="L792" s="2" t="s">
        <v>1867</v>
      </c>
      <c r="M792" s="2" t="s">
        <v>43</v>
      </c>
      <c r="N792" s="2" t="s">
        <v>43</v>
      </c>
      <c r="O792" s="2" t="s">
        <v>43</v>
      </c>
      <c r="P792" s="2" t="s">
        <v>5430</v>
      </c>
      <c r="Q792" s="2" t="s">
        <v>33</v>
      </c>
      <c r="R792" s="2" t="s">
        <v>5431</v>
      </c>
      <c r="S792" s="2" t="s">
        <v>79</v>
      </c>
      <c r="T792" s="5">
        <v>601053680000000</v>
      </c>
      <c r="U792" s="2" t="s">
        <v>79</v>
      </c>
      <c r="V792" s="2" t="s">
        <v>80</v>
      </c>
    </row>
    <row r="793" spans="1:22">
      <c r="A793" s="2" t="s">
        <v>5432</v>
      </c>
      <c r="B793" s="2" t="s">
        <v>5433</v>
      </c>
      <c r="C793" s="2" t="s">
        <v>5434</v>
      </c>
      <c r="D793" s="2">
        <v>2025</v>
      </c>
      <c r="E793" s="3">
        <v>45658</v>
      </c>
      <c r="F793" s="2" t="s">
        <v>5435</v>
      </c>
      <c r="G793" s="2" t="s">
        <v>43</v>
      </c>
      <c r="H793" s="2">
        <v>76</v>
      </c>
      <c r="I793" s="2" t="s">
        <v>5436</v>
      </c>
      <c r="J793" s="2" t="s">
        <v>5437</v>
      </c>
      <c r="K793" s="2" t="s">
        <v>4152</v>
      </c>
      <c r="L793" s="2" t="s">
        <v>773</v>
      </c>
      <c r="M793" s="2" t="s">
        <v>4498</v>
      </c>
      <c r="N793" s="2" t="s">
        <v>827</v>
      </c>
      <c r="O793" s="2" t="s">
        <v>5438</v>
      </c>
      <c r="P793" s="2" t="s">
        <v>5439</v>
      </c>
      <c r="Q793" s="2" t="s">
        <v>33</v>
      </c>
      <c r="R793" s="2" t="s">
        <v>5440</v>
      </c>
      <c r="S793" s="2" t="s">
        <v>79</v>
      </c>
      <c r="T793" s="5">
        <v>601053680000000</v>
      </c>
      <c r="U793" s="2" t="s">
        <v>79</v>
      </c>
      <c r="V793" s="2" t="s">
        <v>80</v>
      </c>
    </row>
    <row r="794" spans="1:22">
      <c r="A794" s="2" t="s">
        <v>3023</v>
      </c>
      <c r="B794" s="2" t="s">
        <v>5441</v>
      </c>
      <c r="C794" s="2" t="s">
        <v>5442</v>
      </c>
      <c r="D794" s="2">
        <v>2025</v>
      </c>
      <c r="E794" s="3">
        <v>45992</v>
      </c>
      <c r="F794" s="2" t="s">
        <v>167</v>
      </c>
      <c r="G794" s="2">
        <v>12</v>
      </c>
      <c r="H794" s="2">
        <v>1</v>
      </c>
      <c r="I794" s="2" t="s">
        <v>43</v>
      </c>
      <c r="J794" s="2" t="s">
        <v>5443</v>
      </c>
      <c r="K794" s="2" t="s">
        <v>220</v>
      </c>
      <c r="L794" s="2" t="s">
        <v>29</v>
      </c>
      <c r="M794" s="2" t="s">
        <v>1244</v>
      </c>
      <c r="N794" s="2" t="s">
        <v>31</v>
      </c>
      <c r="O794" s="4">
        <v>1907</v>
      </c>
      <c r="P794" s="2" t="s">
        <v>5444</v>
      </c>
      <c r="Q794" s="2" t="s">
        <v>33</v>
      </c>
      <c r="R794" s="2" t="s">
        <v>5445</v>
      </c>
      <c r="S794" s="2" t="s">
        <v>5446</v>
      </c>
      <c r="T794" s="2" t="s">
        <v>5447</v>
      </c>
      <c r="U794" s="2" t="s">
        <v>5448</v>
      </c>
      <c r="V794" s="2" t="s">
        <v>80</v>
      </c>
    </row>
    <row r="795" spans="1:22">
      <c r="A795" s="2" t="s">
        <v>5449</v>
      </c>
      <c r="B795" s="2" t="s">
        <v>5450</v>
      </c>
      <c r="C795" s="2" t="s">
        <v>5451</v>
      </c>
      <c r="D795" s="2">
        <v>2025</v>
      </c>
      <c r="E795" s="3">
        <v>45778</v>
      </c>
      <c r="F795" s="2" t="s">
        <v>2392</v>
      </c>
      <c r="G795" s="2">
        <v>36</v>
      </c>
      <c r="H795" s="2">
        <v>3</v>
      </c>
      <c r="I795" s="2" t="s">
        <v>5452</v>
      </c>
      <c r="J795" s="2" t="s">
        <v>2394</v>
      </c>
      <c r="K795" s="2" t="s">
        <v>392</v>
      </c>
      <c r="L795" s="2" t="s">
        <v>773</v>
      </c>
      <c r="M795" s="2" t="s">
        <v>1948</v>
      </c>
      <c r="N795" s="2" t="s">
        <v>2156</v>
      </c>
      <c r="O795" s="2" t="s">
        <v>3438</v>
      </c>
      <c r="P795" s="2" t="s">
        <v>5453</v>
      </c>
      <c r="Q795" s="2" t="s">
        <v>49</v>
      </c>
      <c r="R795" s="2" t="s">
        <v>5454</v>
      </c>
      <c r="S795" s="2" t="s">
        <v>1681</v>
      </c>
      <c r="T795" s="2" t="s">
        <v>2561</v>
      </c>
      <c r="U795" s="2" t="s">
        <v>2562</v>
      </c>
      <c r="V795" s="2" t="s">
        <v>80</v>
      </c>
    </row>
    <row r="796" spans="1:22">
      <c r="A796" s="2" t="s">
        <v>2100</v>
      </c>
      <c r="B796" s="2" t="s">
        <v>5455</v>
      </c>
      <c r="C796" s="2" t="s">
        <v>5456</v>
      </c>
      <c r="D796" s="2">
        <v>2025</v>
      </c>
      <c r="E796" s="3">
        <v>45839</v>
      </c>
      <c r="F796" s="2" t="s">
        <v>3598</v>
      </c>
      <c r="G796" s="2">
        <v>10</v>
      </c>
      <c r="H796" s="2">
        <v>7</v>
      </c>
      <c r="I796" s="2" t="s">
        <v>43</v>
      </c>
      <c r="J796" s="2" t="s">
        <v>3599</v>
      </c>
      <c r="K796" s="2" t="s">
        <v>61</v>
      </c>
      <c r="L796" s="2" t="s">
        <v>29</v>
      </c>
      <c r="M796" s="2" t="s">
        <v>2119</v>
      </c>
      <c r="N796" s="2" t="s">
        <v>134</v>
      </c>
      <c r="O796" s="2" t="s">
        <v>3600</v>
      </c>
      <c r="P796" s="2" t="s">
        <v>5457</v>
      </c>
      <c r="Q796" s="2" t="s">
        <v>33</v>
      </c>
      <c r="R796" s="2" t="s">
        <v>5458</v>
      </c>
      <c r="S796" s="2" t="s">
        <v>5459</v>
      </c>
      <c r="T796" s="2" t="s">
        <v>5460</v>
      </c>
      <c r="U796" s="2" t="s">
        <v>5461</v>
      </c>
      <c r="V796" s="2" t="s">
        <v>4323</v>
      </c>
    </row>
    <row r="797" spans="1:22">
      <c r="A797" s="2" t="s">
        <v>2877</v>
      </c>
      <c r="B797" s="2" t="s">
        <v>5462</v>
      </c>
      <c r="C797" s="2" t="s">
        <v>5463</v>
      </c>
      <c r="D797" s="2">
        <v>2024</v>
      </c>
      <c r="E797" s="3">
        <v>45292</v>
      </c>
      <c r="F797" s="2" t="s">
        <v>5464</v>
      </c>
      <c r="G797" s="2" t="s">
        <v>43</v>
      </c>
      <c r="H797" s="2" t="s">
        <v>43</v>
      </c>
      <c r="I797" s="2" t="s">
        <v>5465</v>
      </c>
      <c r="J797" s="2" t="s">
        <v>43</v>
      </c>
      <c r="K797" s="2" t="s">
        <v>2154</v>
      </c>
      <c r="L797" s="2" t="s">
        <v>29</v>
      </c>
      <c r="M797" s="2" t="s">
        <v>43</v>
      </c>
      <c r="N797" s="2" t="s">
        <v>43</v>
      </c>
      <c r="O797" s="2" t="s">
        <v>43</v>
      </c>
      <c r="P797" s="2" t="s">
        <v>5466</v>
      </c>
      <c r="Q797" s="2" t="s">
        <v>1125</v>
      </c>
      <c r="R797" s="2" t="s">
        <v>5467</v>
      </c>
      <c r="S797" s="2" t="s">
        <v>5468</v>
      </c>
      <c r="T797" s="2" t="s">
        <v>5469</v>
      </c>
      <c r="U797" s="2" t="s">
        <v>5470</v>
      </c>
      <c r="V797" s="2" t="s">
        <v>80</v>
      </c>
    </row>
    <row r="798" spans="1:22">
      <c r="A798" s="2" t="s">
        <v>5471</v>
      </c>
      <c r="B798" s="2" t="s">
        <v>5472</v>
      </c>
      <c r="C798" s="2" t="s">
        <v>5473</v>
      </c>
      <c r="D798" s="2">
        <v>2025</v>
      </c>
      <c r="E798" s="3">
        <v>45962</v>
      </c>
      <c r="F798" s="2" t="s">
        <v>2392</v>
      </c>
      <c r="G798" s="2">
        <v>36</v>
      </c>
      <c r="H798" s="2">
        <v>6</v>
      </c>
      <c r="I798" s="2" t="s">
        <v>5474</v>
      </c>
      <c r="J798" s="2" t="s">
        <v>2394</v>
      </c>
      <c r="K798" s="2" t="s">
        <v>392</v>
      </c>
      <c r="L798" s="2" t="s">
        <v>1867</v>
      </c>
      <c r="M798" s="2" t="s">
        <v>1948</v>
      </c>
      <c r="N798" s="2" t="s">
        <v>2156</v>
      </c>
      <c r="O798" s="2" t="s">
        <v>3438</v>
      </c>
      <c r="P798" s="2" t="s">
        <v>5475</v>
      </c>
      <c r="Q798" s="2" t="s">
        <v>33</v>
      </c>
      <c r="R798" s="2" t="s">
        <v>5476</v>
      </c>
      <c r="S798" s="2" t="s">
        <v>79</v>
      </c>
      <c r="T798" s="2" t="s">
        <v>5477</v>
      </c>
      <c r="U798" s="2" t="s">
        <v>5478</v>
      </c>
      <c r="V798" s="2" t="s">
        <v>80</v>
      </c>
    </row>
    <row r="799" spans="1:22">
      <c r="A799" s="2" t="s">
        <v>5479</v>
      </c>
      <c r="B799" s="2" t="s">
        <v>5480</v>
      </c>
      <c r="C799" s="2" t="s">
        <v>5481</v>
      </c>
      <c r="D799" s="2">
        <v>2024</v>
      </c>
      <c r="E799" s="3">
        <v>45536</v>
      </c>
      <c r="F799" s="2" t="s">
        <v>5482</v>
      </c>
      <c r="G799" s="2">
        <v>92</v>
      </c>
      <c r="H799" s="2">
        <v>4</v>
      </c>
      <c r="I799" s="2" t="s">
        <v>5483</v>
      </c>
      <c r="J799" s="2" t="s">
        <v>5484</v>
      </c>
      <c r="K799" s="2" t="s">
        <v>5485</v>
      </c>
      <c r="L799" s="2" t="s">
        <v>773</v>
      </c>
      <c r="M799" s="2" t="s">
        <v>4498</v>
      </c>
      <c r="N799" s="2" t="s">
        <v>3358</v>
      </c>
      <c r="O799" s="2" t="s">
        <v>5486</v>
      </c>
      <c r="P799" s="2" t="s">
        <v>5487</v>
      </c>
      <c r="Q799" s="2" t="s">
        <v>644</v>
      </c>
      <c r="R799" s="2" t="s">
        <v>5488</v>
      </c>
      <c r="S799" s="2" t="s">
        <v>5489</v>
      </c>
      <c r="T799" s="2" t="s">
        <v>5490</v>
      </c>
      <c r="U799" s="2" t="s">
        <v>5489</v>
      </c>
      <c r="V799" s="2" t="s">
        <v>80</v>
      </c>
    </row>
    <row r="800" spans="1:22" ht="28.8">
      <c r="A800" s="2" t="s">
        <v>5491</v>
      </c>
      <c r="B800" s="2" t="s">
        <v>5492</v>
      </c>
      <c r="C800" s="2" t="s">
        <v>5493</v>
      </c>
      <c r="D800" s="2">
        <v>2025</v>
      </c>
      <c r="E800" s="3">
        <v>45778</v>
      </c>
      <c r="F800" s="2" t="s">
        <v>3883</v>
      </c>
      <c r="G800" s="2">
        <v>38</v>
      </c>
      <c r="H800" s="2">
        <v>55</v>
      </c>
      <c r="I800" s="2" t="s">
        <v>43</v>
      </c>
      <c r="J800" s="2" t="s">
        <v>3884</v>
      </c>
      <c r="K800" s="2" t="s">
        <v>3885</v>
      </c>
      <c r="L800" s="2" t="s">
        <v>1867</v>
      </c>
      <c r="M800" s="2" t="s">
        <v>2423</v>
      </c>
      <c r="N800" s="2" t="s">
        <v>4351</v>
      </c>
      <c r="O800" s="2" t="s">
        <v>5494</v>
      </c>
      <c r="P800" s="2" t="s">
        <v>43</v>
      </c>
      <c r="Q800" s="2" t="s">
        <v>33</v>
      </c>
      <c r="R800" s="2" t="s">
        <v>5495</v>
      </c>
      <c r="S800" s="2" t="s">
        <v>5496</v>
      </c>
      <c r="T800" s="2" t="s">
        <v>5497</v>
      </c>
      <c r="U800" s="2" t="s">
        <v>5498</v>
      </c>
      <c r="V800" s="2" t="s">
        <v>5499</v>
      </c>
    </row>
    <row r="801" spans="1:22" ht="28.8">
      <c r="A801" s="2" t="s">
        <v>5500</v>
      </c>
      <c r="B801" s="2" t="s">
        <v>5492</v>
      </c>
      <c r="C801" s="2" t="s">
        <v>5493</v>
      </c>
      <c r="D801" s="2">
        <v>2025</v>
      </c>
      <c r="E801" s="3">
        <v>45778</v>
      </c>
      <c r="F801" s="2" t="s">
        <v>3883</v>
      </c>
      <c r="G801" s="2">
        <v>38</v>
      </c>
      <c r="H801" s="2">
        <v>55</v>
      </c>
      <c r="I801" s="2" t="s">
        <v>43</v>
      </c>
      <c r="J801" s="2" t="s">
        <v>3884</v>
      </c>
      <c r="K801" s="2" t="s">
        <v>3885</v>
      </c>
      <c r="L801" s="2" t="s">
        <v>1867</v>
      </c>
      <c r="M801" s="2" t="s">
        <v>2423</v>
      </c>
      <c r="N801" s="2" t="s">
        <v>4351</v>
      </c>
      <c r="O801" s="2" t="s">
        <v>5494</v>
      </c>
      <c r="P801" s="2" t="s">
        <v>43</v>
      </c>
      <c r="Q801" s="2" t="s">
        <v>33</v>
      </c>
      <c r="R801" s="2" t="s">
        <v>5495</v>
      </c>
      <c r="S801" s="2" t="s">
        <v>5496</v>
      </c>
      <c r="T801" s="2" t="s">
        <v>5497</v>
      </c>
      <c r="U801" s="2" t="s">
        <v>5498</v>
      </c>
      <c r="V801" s="2" t="s">
        <v>5499</v>
      </c>
    </row>
    <row r="802" spans="1:22">
      <c r="A802" s="2" t="s">
        <v>5501</v>
      </c>
      <c r="B802" s="2" t="s">
        <v>5502</v>
      </c>
      <c r="C802" s="2" t="s">
        <v>5503</v>
      </c>
      <c r="D802" s="2">
        <v>2025</v>
      </c>
      <c r="E802" s="3">
        <v>45778</v>
      </c>
      <c r="F802" s="2" t="s">
        <v>2392</v>
      </c>
      <c r="G802" s="2">
        <v>36</v>
      </c>
      <c r="H802" s="2">
        <v>3</v>
      </c>
      <c r="I802" s="2" t="s">
        <v>5504</v>
      </c>
      <c r="J802" s="2" t="s">
        <v>2394</v>
      </c>
      <c r="K802" s="2" t="s">
        <v>392</v>
      </c>
      <c r="L802" s="2" t="s">
        <v>773</v>
      </c>
      <c r="M802" s="2" t="s">
        <v>1948</v>
      </c>
      <c r="N802" s="2" t="s">
        <v>2156</v>
      </c>
      <c r="O802" s="2" t="s">
        <v>3438</v>
      </c>
      <c r="P802" s="2" t="s">
        <v>5505</v>
      </c>
      <c r="Q802" s="2" t="s">
        <v>49</v>
      </c>
      <c r="R802" s="2" t="s">
        <v>5506</v>
      </c>
      <c r="S802" s="2" t="s">
        <v>1681</v>
      </c>
      <c r="T802" s="2" t="s">
        <v>5507</v>
      </c>
      <c r="U802" s="2" t="s">
        <v>5508</v>
      </c>
      <c r="V802" s="2" t="s">
        <v>80</v>
      </c>
    </row>
    <row r="803" spans="1:22">
      <c r="A803" s="2" t="s">
        <v>2018</v>
      </c>
      <c r="B803" s="2" t="s">
        <v>5509</v>
      </c>
      <c r="C803" s="2" t="s">
        <v>5510</v>
      </c>
      <c r="D803" s="2">
        <v>2025</v>
      </c>
      <c r="E803" s="3">
        <v>45658</v>
      </c>
      <c r="F803" s="2" t="s">
        <v>5511</v>
      </c>
      <c r="G803" s="2">
        <v>22</v>
      </c>
      <c r="H803" s="2">
        <v>3</v>
      </c>
      <c r="I803" s="7">
        <v>44197</v>
      </c>
      <c r="J803" s="2" t="s">
        <v>5512</v>
      </c>
      <c r="K803" s="2" t="s">
        <v>5513</v>
      </c>
      <c r="L803" s="2" t="s">
        <v>773</v>
      </c>
      <c r="M803" s="2" t="s">
        <v>4565</v>
      </c>
      <c r="N803" s="2" t="s">
        <v>5042</v>
      </c>
      <c r="O803" s="2" t="s">
        <v>5514</v>
      </c>
      <c r="P803" s="2" t="s">
        <v>5515</v>
      </c>
      <c r="Q803" s="2" t="s">
        <v>33</v>
      </c>
      <c r="R803" s="2" t="s">
        <v>5516</v>
      </c>
      <c r="S803" s="2" t="s">
        <v>5517</v>
      </c>
      <c r="T803" s="2" t="s">
        <v>5518</v>
      </c>
      <c r="U803" s="2" t="s">
        <v>5519</v>
      </c>
      <c r="V803" s="2" t="s">
        <v>621</v>
      </c>
    </row>
    <row r="804" spans="1:22">
      <c r="A804" s="2" t="s">
        <v>834</v>
      </c>
      <c r="B804" s="2" t="s">
        <v>5520</v>
      </c>
      <c r="C804" s="2" t="s">
        <v>5521</v>
      </c>
      <c r="D804" s="2">
        <v>2025</v>
      </c>
      <c r="E804" s="3">
        <v>45689</v>
      </c>
      <c r="F804" s="2" t="s">
        <v>4161</v>
      </c>
      <c r="G804" s="2">
        <v>40</v>
      </c>
      <c r="H804" s="2">
        <v>2</v>
      </c>
      <c r="I804" s="2" t="s">
        <v>5522</v>
      </c>
      <c r="J804" s="2" t="s">
        <v>4163</v>
      </c>
      <c r="K804" s="2" t="s">
        <v>772</v>
      </c>
      <c r="L804" s="2" t="s">
        <v>5523</v>
      </c>
      <c r="M804" s="2" t="s">
        <v>3416</v>
      </c>
      <c r="N804" s="2" t="s">
        <v>4165</v>
      </c>
      <c r="O804" s="2" t="s">
        <v>5237</v>
      </c>
      <c r="P804" s="2" t="s">
        <v>5524</v>
      </c>
      <c r="Q804" s="2" t="s">
        <v>33</v>
      </c>
      <c r="R804" s="2" t="s">
        <v>5525</v>
      </c>
      <c r="S804" s="2" t="s">
        <v>5240</v>
      </c>
      <c r="T804" s="2" t="s">
        <v>5526</v>
      </c>
      <c r="U804" s="2" t="s">
        <v>5527</v>
      </c>
      <c r="V804" s="2" t="s">
        <v>80</v>
      </c>
    </row>
    <row r="805" spans="1:22">
      <c r="A805" s="2" t="s">
        <v>5528</v>
      </c>
      <c r="B805" s="2" t="s">
        <v>5529</v>
      </c>
      <c r="C805" s="2" t="s">
        <v>5530</v>
      </c>
      <c r="D805" s="2">
        <v>2025</v>
      </c>
      <c r="E805" s="3">
        <v>45658</v>
      </c>
      <c r="F805" s="2" t="s">
        <v>5531</v>
      </c>
      <c r="G805" s="2">
        <v>31</v>
      </c>
      <c r="H805" s="2">
        <v>2</v>
      </c>
      <c r="I805" s="2" t="s">
        <v>5532</v>
      </c>
      <c r="J805" s="2" t="s">
        <v>5533</v>
      </c>
      <c r="K805" s="2" t="s">
        <v>4350</v>
      </c>
      <c r="L805" s="2" t="s">
        <v>1867</v>
      </c>
      <c r="M805" s="2" t="s">
        <v>4565</v>
      </c>
      <c r="N805" s="2" t="s">
        <v>63</v>
      </c>
      <c r="O805" s="2" t="s">
        <v>5534</v>
      </c>
      <c r="P805" s="2" t="s">
        <v>5535</v>
      </c>
      <c r="Q805" s="2" t="s">
        <v>33</v>
      </c>
      <c r="R805" s="2" t="s">
        <v>5536</v>
      </c>
      <c r="S805" s="2" t="s">
        <v>5537</v>
      </c>
      <c r="T805" s="2" t="s">
        <v>5538</v>
      </c>
      <c r="U805" s="2" t="s">
        <v>5537</v>
      </c>
      <c r="V805" s="2" t="s">
        <v>594</v>
      </c>
    </row>
    <row r="806" spans="1:22" ht="28.8">
      <c r="A806" s="2" t="s">
        <v>1723</v>
      </c>
      <c r="B806" s="2" t="s">
        <v>5539</v>
      </c>
      <c r="C806" s="2" t="s">
        <v>5540</v>
      </c>
      <c r="D806" s="2">
        <v>2025</v>
      </c>
      <c r="E806" s="3">
        <v>45717</v>
      </c>
      <c r="F806" s="2" t="s">
        <v>5541</v>
      </c>
      <c r="G806" s="2">
        <v>48</v>
      </c>
      <c r="H806" s="2" t="s">
        <v>43</v>
      </c>
      <c r="I806" s="2" t="s">
        <v>43</v>
      </c>
      <c r="J806" s="2" t="s">
        <v>5542</v>
      </c>
      <c r="K806" s="2" t="s">
        <v>45</v>
      </c>
      <c r="L806" s="2" t="s">
        <v>29</v>
      </c>
      <c r="M806" s="2" t="s">
        <v>2131</v>
      </c>
      <c r="N806" s="2" t="s">
        <v>807</v>
      </c>
      <c r="O806" s="2" t="s">
        <v>5543</v>
      </c>
      <c r="P806" s="2" t="s">
        <v>5544</v>
      </c>
      <c r="Q806" s="2" t="s">
        <v>33</v>
      </c>
      <c r="R806" s="2" t="s">
        <v>5545</v>
      </c>
      <c r="S806" s="2" t="s">
        <v>5546</v>
      </c>
      <c r="T806" s="2" t="s">
        <v>5547</v>
      </c>
      <c r="U806" s="2" t="s">
        <v>5548</v>
      </c>
      <c r="V806" s="2" t="s">
        <v>5549</v>
      </c>
    </row>
    <row r="807" spans="1:22">
      <c r="A807" s="2" t="s">
        <v>5550</v>
      </c>
      <c r="B807" s="2" t="s">
        <v>5551</v>
      </c>
      <c r="C807" s="2" t="s">
        <v>5552</v>
      </c>
      <c r="D807" s="2">
        <v>2025</v>
      </c>
      <c r="E807" s="3">
        <v>45658</v>
      </c>
      <c r="F807" s="2" t="s">
        <v>5553</v>
      </c>
      <c r="G807" s="2" t="s">
        <v>43</v>
      </c>
      <c r="H807" s="2">
        <v>24</v>
      </c>
      <c r="I807" s="2" t="s">
        <v>5554</v>
      </c>
      <c r="J807" s="2" t="s">
        <v>5555</v>
      </c>
      <c r="K807" s="2" t="s">
        <v>5556</v>
      </c>
      <c r="L807" s="2" t="s">
        <v>1867</v>
      </c>
      <c r="M807" s="2" t="s">
        <v>3357</v>
      </c>
      <c r="N807" s="2" t="s">
        <v>3674</v>
      </c>
      <c r="O807" s="2" t="s">
        <v>5557</v>
      </c>
      <c r="P807" s="2" t="s">
        <v>5558</v>
      </c>
      <c r="Q807" s="2" t="s">
        <v>33</v>
      </c>
      <c r="R807" s="2" t="s">
        <v>5559</v>
      </c>
      <c r="S807" s="2" t="s">
        <v>79</v>
      </c>
      <c r="T807" s="5">
        <v>601053680000000</v>
      </c>
      <c r="U807" s="2" t="s">
        <v>79</v>
      </c>
      <c r="V807" s="2" t="s">
        <v>80</v>
      </c>
    </row>
    <row r="808" spans="1:22">
      <c r="A808" s="2" t="s">
        <v>3910</v>
      </c>
      <c r="B808" s="2" t="s">
        <v>5560</v>
      </c>
      <c r="C808" s="2" t="s">
        <v>5561</v>
      </c>
      <c r="D808" s="2">
        <v>2025</v>
      </c>
      <c r="E808" s="3">
        <v>45717</v>
      </c>
      <c r="F808" s="2" t="s">
        <v>2392</v>
      </c>
      <c r="G808" s="2">
        <v>36</v>
      </c>
      <c r="H808" s="2">
        <v>2</v>
      </c>
      <c r="I808" s="2" t="s">
        <v>5562</v>
      </c>
      <c r="J808" s="2" t="s">
        <v>2394</v>
      </c>
      <c r="K808" s="2" t="s">
        <v>392</v>
      </c>
      <c r="L808" s="2" t="s">
        <v>29</v>
      </c>
      <c r="M808" s="2" t="s">
        <v>1948</v>
      </c>
      <c r="N808" s="2" t="s">
        <v>2156</v>
      </c>
      <c r="O808" s="2" t="s">
        <v>3438</v>
      </c>
      <c r="P808" s="2" t="s">
        <v>5563</v>
      </c>
      <c r="Q808" s="2" t="s">
        <v>33</v>
      </c>
      <c r="R808" s="2" t="s">
        <v>5564</v>
      </c>
      <c r="S808" s="2" t="s">
        <v>1681</v>
      </c>
      <c r="T808" s="2" t="s">
        <v>2561</v>
      </c>
      <c r="U808" s="2" t="s">
        <v>2562</v>
      </c>
      <c r="V808" s="2" t="s">
        <v>80</v>
      </c>
    </row>
    <row r="809" spans="1:22">
      <c r="A809" s="2" t="s">
        <v>5565</v>
      </c>
      <c r="B809" s="2" t="s">
        <v>5560</v>
      </c>
      <c r="C809" s="2" t="s">
        <v>5561</v>
      </c>
      <c r="D809" s="2">
        <v>2025</v>
      </c>
      <c r="E809" s="3">
        <v>45717</v>
      </c>
      <c r="F809" s="2" t="s">
        <v>2392</v>
      </c>
      <c r="G809" s="2">
        <v>36</v>
      </c>
      <c r="H809" s="2">
        <v>2</v>
      </c>
      <c r="I809" s="2" t="s">
        <v>5562</v>
      </c>
      <c r="J809" s="2" t="s">
        <v>2394</v>
      </c>
      <c r="K809" s="2" t="s">
        <v>392</v>
      </c>
      <c r="L809" s="2" t="s">
        <v>29</v>
      </c>
      <c r="M809" s="2" t="s">
        <v>1948</v>
      </c>
      <c r="N809" s="2" t="s">
        <v>2156</v>
      </c>
      <c r="O809" s="2" t="s">
        <v>3438</v>
      </c>
      <c r="P809" s="2" t="s">
        <v>5563</v>
      </c>
      <c r="Q809" s="2" t="s">
        <v>33</v>
      </c>
      <c r="R809" s="2" t="s">
        <v>5564</v>
      </c>
      <c r="S809" s="2" t="s">
        <v>1681</v>
      </c>
      <c r="T809" s="2" t="s">
        <v>2561</v>
      </c>
      <c r="U809" s="2" t="s">
        <v>2562</v>
      </c>
      <c r="V809" s="2" t="s">
        <v>80</v>
      </c>
    </row>
    <row r="810" spans="1:22">
      <c r="A810" s="2" t="s">
        <v>3938</v>
      </c>
      <c r="B810" s="2" t="s">
        <v>5560</v>
      </c>
      <c r="C810" s="2" t="s">
        <v>5561</v>
      </c>
      <c r="D810" s="2">
        <v>2025</v>
      </c>
      <c r="E810" s="3">
        <v>45717</v>
      </c>
      <c r="F810" s="2" t="s">
        <v>2392</v>
      </c>
      <c r="G810" s="2">
        <v>36</v>
      </c>
      <c r="H810" s="2">
        <v>2</v>
      </c>
      <c r="I810" s="2" t="s">
        <v>5562</v>
      </c>
      <c r="J810" s="2" t="s">
        <v>2394</v>
      </c>
      <c r="K810" s="2" t="s">
        <v>392</v>
      </c>
      <c r="L810" s="2" t="s">
        <v>29</v>
      </c>
      <c r="M810" s="2" t="s">
        <v>1948</v>
      </c>
      <c r="N810" s="2" t="s">
        <v>2156</v>
      </c>
      <c r="O810" s="2" t="s">
        <v>3438</v>
      </c>
      <c r="P810" s="2" t="s">
        <v>5563</v>
      </c>
      <c r="Q810" s="2" t="s">
        <v>33</v>
      </c>
      <c r="R810" s="2" t="s">
        <v>5564</v>
      </c>
      <c r="S810" s="2" t="s">
        <v>1681</v>
      </c>
      <c r="T810" s="2" t="s">
        <v>2561</v>
      </c>
      <c r="U810" s="2" t="s">
        <v>2562</v>
      </c>
      <c r="V810" s="2" t="s">
        <v>80</v>
      </c>
    </row>
    <row r="811" spans="1:22">
      <c r="A811" s="2" t="s">
        <v>1344</v>
      </c>
      <c r="B811" s="2" t="s">
        <v>5560</v>
      </c>
      <c r="C811" s="2" t="s">
        <v>5561</v>
      </c>
      <c r="D811" s="2">
        <v>2025</v>
      </c>
      <c r="E811" s="3">
        <v>45717</v>
      </c>
      <c r="F811" s="2" t="s">
        <v>2392</v>
      </c>
      <c r="G811" s="2">
        <v>36</v>
      </c>
      <c r="H811" s="2">
        <v>2</v>
      </c>
      <c r="I811" s="2" t="s">
        <v>5562</v>
      </c>
      <c r="J811" s="2" t="s">
        <v>2394</v>
      </c>
      <c r="K811" s="2" t="s">
        <v>392</v>
      </c>
      <c r="L811" s="2" t="s">
        <v>29</v>
      </c>
      <c r="M811" s="2" t="s">
        <v>1948</v>
      </c>
      <c r="N811" s="2" t="s">
        <v>2156</v>
      </c>
      <c r="O811" s="2" t="s">
        <v>3438</v>
      </c>
      <c r="P811" s="2" t="s">
        <v>5563</v>
      </c>
      <c r="Q811" s="2" t="s">
        <v>33</v>
      </c>
      <c r="R811" s="2" t="s">
        <v>5564</v>
      </c>
      <c r="S811" s="2" t="s">
        <v>1681</v>
      </c>
      <c r="T811" s="2" t="s">
        <v>2561</v>
      </c>
      <c r="U811" s="2" t="s">
        <v>2562</v>
      </c>
      <c r="V811" s="2" t="s">
        <v>80</v>
      </c>
    </row>
    <row r="812" spans="1:22">
      <c r="A812" s="2" t="s">
        <v>113</v>
      </c>
      <c r="B812" s="2" t="s">
        <v>5566</v>
      </c>
      <c r="C812" s="2" t="s">
        <v>5567</v>
      </c>
      <c r="D812" s="2">
        <v>2025</v>
      </c>
      <c r="E812" s="3">
        <v>45658</v>
      </c>
      <c r="F812" s="2" t="s">
        <v>5568</v>
      </c>
      <c r="G812" s="2">
        <v>45</v>
      </c>
      <c r="H812" s="2">
        <v>1</v>
      </c>
      <c r="I812" s="2" t="s">
        <v>5569</v>
      </c>
      <c r="J812" s="2" t="s">
        <v>5570</v>
      </c>
      <c r="K812" s="2" t="s">
        <v>5571</v>
      </c>
      <c r="L812" s="2" t="s">
        <v>29</v>
      </c>
      <c r="M812" s="2" t="s">
        <v>393</v>
      </c>
      <c r="N812" s="2" t="s">
        <v>2066</v>
      </c>
      <c r="O812" s="2" t="s">
        <v>5572</v>
      </c>
      <c r="P812" s="2" t="s">
        <v>5573</v>
      </c>
      <c r="Q812" s="2" t="s">
        <v>33</v>
      </c>
      <c r="R812" s="2" t="s">
        <v>5574</v>
      </c>
      <c r="S812" s="2" t="s">
        <v>5575</v>
      </c>
      <c r="T812" s="2" t="s">
        <v>5576</v>
      </c>
      <c r="U812" s="2" t="s">
        <v>5577</v>
      </c>
      <c r="V812" s="2" t="s">
        <v>5578</v>
      </c>
    </row>
    <row r="813" spans="1:22">
      <c r="A813" s="2" t="s">
        <v>5579</v>
      </c>
      <c r="B813" s="2" t="s">
        <v>5580</v>
      </c>
      <c r="C813" s="2" t="s">
        <v>5581</v>
      </c>
      <c r="D813" s="2">
        <v>2024</v>
      </c>
      <c r="E813" s="3">
        <v>45292</v>
      </c>
      <c r="F813" s="2" t="s">
        <v>5582</v>
      </c>
      <c r="G813" s="2" t="s">
        <v>43</v>
      </c>
      <c r="H813" s="2" t="s">
        <v>43</v>
      </c>
      <c r="I813" s="2" t="s">
        <v>5583</v>
      </c>
      <c r="J813" s="2" t="s">
        <v>43</v>
      </c>
      <c r="K813" s="2" t="s">
        <v>4265</v>
      </c>
      <c r="L813" s="2" t="s">
        <v>29</v>
      </c>
      <c r="M813" s="2" t="s">
        <v>43</v>
      </c>
      <c r="N813" s="2" t="s">
        <v>43</v>
      </c>
      <c r="O813" s="2" t="s">
        <v>43</v>
      </c>
      <c r="P813" s="2" t="s">
        <v>5584</v>
      </c>
      <c r="Q813" s="2" t="s">
        <v>1125</v>
      </c>
      <c r="R813" s="2" t="s">
        <v>5585</v>
      </c>
      <c r="S813" s="2" t="s">
        <v>5586</v>
      </c>
      <c r="T813" s="2" t="s">
        <v>5587</v>
      </c>
      <c r="U813" s="2" t="s">
        <v>5588</v>
      </c>
      <c r="V813" s="2" t="s">
        <v>80</v>
      </c>
    </row>
    <row r="814" spans="1:22">
      <c r="A814" s="2" t="s">
        <v>178</v>
      </c>
      <c r="B814" s="2" t="s">
        <v>5589</v>
      </c>
      <c r="C814" s="2" t="s">
        <v>180</v>
      </c>
      <c r="D814" s="2">
        <v>2025</v>
      </c>
      <c r="E814" s="3">
        <v>45809</v>
      </c>
      <c r="F814" s="2" t="s">
        <v>5590</v>
      </c>
      <c r="G814" s="2">
        <v>60</v>
      </c>
      <c r="H814" s="2">
        <v>2</v>
      </c>
      <c r="I814" s="2" t="s">
        <v>43</v>
      </c>
      <c r="J814" s="2" t="s">
        <v>5591</v>
      </c>
      <c r="K814" s="2" t="s">
        <v>119</v>
      </c>
      <c r="L814" s="2" t="s">
        <v>29</v>
      </c>
      <c r="M814" s="2" t="s">
        <v>464</v>
      </c>
      <c r="N814" s="2" t="s">
        <v>1544</v>
      </c>
      <c r="O814" s="4">
        <v>1285</v>
      </c>
      <c r="P814" s="2" t="s">
        <v>5592</v>
      </c>
      <c r="Q814" s="2" t="s">
        <v>33</v>
      </c>
      <c r="R814" s="2" t="s">
        <v>5593</v>
      </c>
      <c r="S814" s="2" t="s">
        <v>398</v>
      </c>
      <c r="T814" s="2" t="s">
        <v>5594</v>
      </c>
      <c r="U814" s="2" t="s">
        <v>5595</v>
      </c>
      <c r="V814" s="2" t="s">
        <v>80</v>
      </c>
    </row>
    <row r="815" spans="1:22">
      <c r="A815" s="2" t="s">
        <v>5596</v>
      </c>
      <c r="B815" s="2" t="s">
        <v>5597</v>
      </c>
      <c r="C815" s="2" t="s">
        <v>5598</v>
      </c>
      <c r="D815" s="2">
        <v>2025</v>
      </c>
      <c r="E815" s="3">
        <v>45845</v>
      </c>
      <c r="F815" s="2" t="s">
        <v>4735</v>
      </c>
      <c r="G815" s="2">
        <v>51</v>
      </c>
      <c r="H815" s="2">
        <v>1</v>
      </c>
      <c r="I815" s="2" t="s">
        <v>5599</v>
      </c>
      <c r="J815" s="2" t="s">
        <v>4737</v>
      </c>
      <c r="K815" s="2" t="s">
        <v>4152</v>
      </c>
      <c r="L815" s="2" t="s">
        <v>773</v>
      </c>
      <c r="M815" s="2" t="s">
        <v>3203</v>
      </c>
      <c r="N815" s="2" t="s">
        <v>3684</v>
      </c>
      <c r="O815" s="2" t="s">
        <v>4177</v>
      </c>
      <c r="P815" s="2" t="s">
        <v>5600</v>
      </c>
      <c r="Q815" s="2" t="s">
        <v>33</v>
      </c>
      <c r="R815" s="2" t="s">
        <v>5601</v>
      </c>
      <c r="S815" s="2" t="s">
        <v>79</v>
      </c>
      <c r="T815" s="5">
        <v>601053680000000</v>
      </c>
      <c r="U815" s="2" t="s">
        <v>79</v>
      </c>
      <c r="V815" s="2" t="s">
        <v>80</v>
      </c>
    </row>
    <row r="816" spans="1:22">
      <c r="A816" s="2" t="s">
        <v>5602</v>
      </c>
      <c r="B816" s="2" t="s">
        <v>5597</v>
      </c>
      <c r="C816" s="2" t="s">
        <v>5598</v>
      </c>
      <c r="D816" s="2">
        <v>2025</v>
      </c>
      <c r="E816" s="3">
        <v>45845</v>
      </c>
      <c r="F816" s="2" t="s">
        <v>4735</v>
      </c>
      <c r="G816" s="2">
        <v>51</v>
      </c>
      <c r="H816" s="2">
        <v>1</v>
      </c>
      <c r="I816" s="2" t="s">
        <v>5599</v>
      </c>
      <c r="J816" s="2" t="s">
        <v>4737</v>
      </c>
      <c r="K816" s="2" t="s">
        <v>4152</v>
      </c>
      <c r="L816" s="2" t="s">
        <v>773</v>
      </c>
      <c r="M816" s="2" t="s">
        <v>3203</v>
      </c>
      <c r="N816" s="2" t="s">
        <v>3684</v>
      </c>
      <c r="O816" s="2" t="s">
        <v>4177</v>
      </c>
      <c r="P816" s="2" t="s">
        <v>5600</v>
      </c>
      <c r="Q816" s="2" t="s">
        <v>33</v>
      </c>
      <c r="R816" s="2" t="s">
        <v>5601</v>
      </c>
      <c r="S816" s="2" t="s">
        <v>79</v>
      </c>
      <c r="T816" s="5">
        <v>601053680000000</v>
      </c>
      <c r="U816" s="2" t="s">
        <v>79</v>
      </c>
      <c r="V816" s="2" t="s">
        <v>80</v>
      </c>
    </row>
    <row r="817" spans="1:22">
      <c r="A817" s="2" t="s">
        <v>3553</v>
      </c>
      <c r="B817" s="2" t="s">
        <v>5603</v>
      </c>
      <c r="C817" s="2" t="s">
        <v>5604</v>
      </c>
      <c r="D817" s="2">
        <v>2025</v>
      </c>
      <c r="E817" s="3">
        <v>45658</v>
      </c>
      <c r="F817" s="2" t="s">
        <v>4357</v>
      </c>
      <c r="G817" s="2" t="s">
        <v>43</v>
      </c>
      <c r="H817" s="2" t="s">
        <v>43</v>
      </c>
      <c r="I817" s="2" t="s">
        <v>43</v>
      </c>
      <c r="J817" s="2" t="s">
        <v>4358</v>
      </c>
      <c r="K817" s="2" t="s">
        <v>2893</v>
      </c>
      <c r="L817" s="2" t="s">
        <v>29</v>
      </c>
      <c r="M817" s="2" t="s">
        <v>43</v>
      </c>
      <c r="N817" s="2" t="s">
        <v>43</v>
      </c>
      <c r="O817" s="2" t="s">
        <v>43</v>
      </c>
      <c r="P817" s="2" t="s">
        <v>5605</v>
      </c>
      <c r="Q817" s="2" t="s">
        <v>2112</v>
      </c>
      <c r="R817" s="2" t="s">
        <v>5606</v>
      </c>
      <c r="S817" s="2" t="s">
        <v>79</v>
      </c>
      <c r="T817" s="5">
        <v>601053680000000</v>
      </c>
      <c r="U817" s="2" t="s">
        <v>79</v>
      </c>
      <c r="V817" s="2" t="s">
        <v>80</v>
      </c>
    </row>
    <row r="818" spans="1:22">
      <c r="A818" s="2" t="s">
        <v>5607</v>
      </c>
      <c r="B818" s="2" t="s">
        <v>5603</v>
      </c>
      <c r="C818" s="2" t="s">
        <v>5604</v>
      </c>
      <c r="D818" s="2">
        <v>2025</v>
      </c>
      <c r="E818" s="3">
        <v>45658</v>
      </c>
      <c r="F818" s="2" t="s">
        <v>4357</v>
      </c>
      <c r="G818" s="2" t="s">
        <v>43</v>
      </c>
      <c r="H818" s="2" t="s">
        <v>43</v>
      </c>
      <c r="I818" s="2" t="s">
        <v>43</v>
      </c>
      <c r="J818" s="2" t="s">
        <v>4358</v>
      </c>
      <c r="K818" s="2" t="s">
        <v>2893</v>
      </c>
      <c r="L818" s="2" t="s">
        <v>29</v>
      </c>
      <c r="M818" s="2" t="s">
        <v>43</v>
      </c>
      <c r="N818" s="2" t="s">
        <v>43</v>
      </c>
      <c r="O818" s="2" t="s">
        <v>43</v>
      </c>
      <c r="P818" s="2" t="s">
        <v>5605</v>
      </c>
      <c r="Q818" s="2" t="s">
        <v>2112</v>
      </c>
      <c r="R818" s="2" t="s">
        <v>5606</v>
      </c>
      <c r="S818" s="2" t="s">
        <v>79</v>
      </c>
      <c r="T818" s="5">
        <v>601053680000000</v>
      </c>
      <c r="U818" s="2" t="s">
        <v>79</v>
      </c>
      <c r="V818" s="2" t="s">
        <v>80</v>
      </c>
    </row>
    <row r="819" spans="1:22">
      <c r="A819" s="2" t="s">
        <v>834</v>
      </c>
      <c r="B819" s="2" t="s">
        <v>5608</v>
      </c>
      <c r="C819" s="2" t="s">
        <v>5609</v>
      </c>
      <c r="D819" s="2">
        <v>2025</v>
      </c>
      <c r="E819" s="3">
        <v>45717</v>
      </c>
      <c r="F819" s="2" t="s">
        <v>389</v>
      </c>
      <c r="G819" s="2">
        <v>100</v>
      </c>
      <c r="H819" s="2">
        <v>2</v>
      </c>
      <c r="I819" s="2" t="s">
        <v>4120</v>
      </c>
      <c r="J819" s="2" t="s">
        <v>391</v>
      </c>
      <c r="K819" s="2" t="s">
        <v>392</v>
      </c>
      <c r="L819" s="2" t="s">
        <v>29</v>
      </c>
      <c r="M819" s="2" t="s">
        <v>1135</v>
      </c>
      <c r="N819" s="2" t="s">
        <v>196</v>
      </c>
      <c r="O819" s="2" t="s">
        <v>5610</v>
      </c>
      <c r="P819" s="2" t="s">
        <v>5611</v>
      </c>
      <c r="Q819" s="2" t="s">
        <v>33</v>
      </c>
      <c r="R819" s="2" t="s">
        <v>5612</v>
      </c>
      <c r="S819" s="2" t="s">
        <v>5613</v>
      </c>
      <c r="T819" s="2" t="s">
        <v>5614</v>
      </c>
      <c r="U819" s="2" t="s">
        <v>5615</v>
      </c>
      <c r="V819" s="2" t="s">
        <v>80</v>
      </c>
    </row>
    <row r="820" spans="1:22" ht="43.2">
      <c r="A820" s="2" t="s">
        <v>493</v>
      </c>
      <c r="B820" s="2" t="s">
        <v>5616</v>
      </c>
      <c r="C820" s="2" t="s">
        <v>495</v>
      </c>
      <c r="D820" s="2">
        <v>2024</v>
      </c>
      <c r="E820" s="3">
        <v>45627</v>
      </c>
      <c r="F820" s="2" t="s">
        <v>496</v>
      </c>
      <c r="G820" s="2">
        <v>10</v>
      </c>
      <c r="H820" s="2">
        <v>1</v>
      </c>
      <c r="I820" s="2" t="s">
        <v>43</v>
      </c>
      <c r="J820" s="2" t="s">
        <v>497</v>
      </c>
      <c r="K820" s="2" t="s">
        <v>220</v>
      </c>
      <c r="L820" s="2" t="s">
        <v>29</v>
      </c>
      <c r="M820" s="2" t="s">
        <v>475</v>
      </c>
      <c r="N820" s="2" t="s">
        <v>498</v>
      </c>
      <c r="O820" s="4">
        <v>2914</v>
      </c>
      <c r="P820" s="2" t="s">
        <v>5617</v>
      </c>
      <c r="Q820" s="2" t="s">
        <v>3843</v>
      </c>
      <c r="R820" s="2" t="s">
        <v>5618</v>
      </c>
      <c r="S820" s="2" t="s">
        <v>501</v>
      </c>
      <c r="T820" s="2" t="s">
        <v>5619</v>
      </c>
      <c r="U820" s="2" t="s">
        <v>5620</v>
      </c>
      <c r="V820" s="2" t="s">
        <v>504</v>
      </c>
    </row>
    <row r="821" spans="1:22" ht="28.8">
      <c r="A821" s="2" t="s">
        <v>727</v>
      </c>
      <c r="B821" s="2" t="s">
        <v>5621</v>
      </c>
      <c r="C821" s="2" t="s">
        <v>5622</v>
      </c>
      <c r="D821" s="2">
        <v>2024</v>
      </c>
      <c r="E821" s="3">
        <v>45292</v>
      </c>
      <c r="F821" s="2" t="s">
        <v>3096</v>
      </c>
      <c r="G821" s="2">
        <v>152</v>
      </c>
      <c r="H821" s="2">
        <v>4</v>
      </c>
      <c r="I821" s="2" t="s">
        <v>5623</v>
      </c>
      <c r="J821" s="2" t="s">
        <v>3098</v>
      </c>
      <c r="K821" s="2" t="s">
        <v>3099</v>
      </c>
      <c r="L821" s="2" t="s">
        <v>1867</v>
      </c>
      <c r="M821" s="2" t="s">
        <v>47</v>
      </c>
      <c r="N821" s="2" t="s">
        <v>2797</v>
      </c>
      <c r="O821" s="2" t="s">
        <v>3100</v>
      </c>
      <c r="P821" s="2" t="s">
        <v>5624</v>
      </c>
      <c r="Q821" s="2" t="s">
        <v>33</v>
      </c>
      <c r="R821" s="2" t="s">
        <v>5625</v>
      </c>
      <c r="S821" s="2" t="s">
        <v>5626</v>
      </c>
      <c r="T821" s="2" t="s">
        <v>5627</v>
      </c>
      <c r="U821" s="2" t="s">
        <v>5628</v>
      </c>
      <c r="V821" s="2" t="s">
        <v>2845</v>
      </c>
    </row>
    <row r="822" spans="1:22">
      <c r="A822" s="2" t="s">
        <v>5629</v>
      </c>
      <c r="B822" s="2" t="s">
        <v>5630</v>
      </c>
      <c r="C822" s="2" t="s">
        <v>5631</v>
      </c>
      <c r="D822" s="2">
        <v>2025</v>
      </c>
      <c r="E822" s="3">
        <v>45658</v>
      </c>
      <c r="F822" s="2" t="s">
        <v>2392</v>
      </c>
      <c r="G822" s="2">
        <v>36</v>
      </c>
      <c r="H822" s="2">
        <v>1</v>
      </c>
      <c r="I822" s="6">
        <v>46363</v>
      </c>
      <c r="J822" s="2" t="s">
        <v>2394</v>
      </c>
      <c r="K822" s="2" t="s">
        <v>392</v>
      </c>
      <c r="L822" s="2" t="s">
        <v>773</v>
      </c>
      <c r="M822" s="2" t="s">
        <v>1948</v>
      </c>
      <c r="N822" s="2" t="s">
        <v>2156</v>
      </c>
      <c r="O822" s="2" t="s">
        <v>3438</v>
      </c>
      <c r="P822" s="2" t="s">
        <v>5632</v>
      </c>
      <c r="Q822" s="2" t="s">
        <v>33</v>
      </c>
      <c r="R822" s="2" t="s">
        <v>5633</v>
      </c>
      <c r="S822" s="2" t="s">
        <v>1681</v>
      </c>
      <c r="T822" s="2" t="s">
        <v>5634</v>
      </c>
      <c r="U822" s="2" t="s">
        <v>5635</v>
      </c>
      <c r="V822" s="2" t="s">
        <v>80</v>
      </c>
    </row>
    <row r="823" spans="1:22">
      <c r="A823" s="2" t="s">
        <v>5636</v>
      </c>
      <c r="B823" s="2" t="s">
        <v>5630</v>
      </c>
      <c r="C823" s="2" t="s">
        <v>5631</v>
      </c>
      <c r="D823" s="2">
        <v>2025</v>
      </c>
      <c r="E823" s="3">
        <v>45658</v>
      </c>
      <c r="F823" s="2" t="s">
        <v>2392</v>
      </c>
      <c r="G823" s="2">
        <v>36</v>
      </c>
      <c r="H823" s="2">
        <v>1</v>
      </c>
      <c r="I823" s="6">
        <v>46363</v>
      </c>
      <c r="J823" s="2" t="s">
        <v>2394</v>
      </c>
      <c r="K823" s="2" t="s">
        <v>392</v>
      </c>
      <c r="L823" s="2" t="s">
        <v>773</v>
      </c>
      <c r="M823" s="2" t="s">
        <v>1948</v>
      </c>
      <c r="N823" s="2" t="s">
        <v>2156</v>
      </c>
      <c r="O823" s="2" t="s">
        <v>3438</v>
      </c>
      <c r="P823" s="2" t="s">
        <v>5632</v>
      </c>
      <c r="Q823" s="2" t="s">
        <v>33</v>
      </c>
      <c r="R823" s="2" t="s">
        <v>5633</v>
      </c>
      <c r="S823" s="2" t="s">
        <v>1681</v>
      </c>
      <c r="T823" s="2" t="s">
        <v>5634</v>
      </c>
      <c r="U823" s="2" t="s">
        <v>5635</v>
      </c>
      <c r="V823" s="2" t="s">
        <v>80</v>
      </c>
    </row>
    <row r="824" spans="1:22">
      <c r="A824" s="2" t="s">
        <v>3903</v>
      </c>
      <c r="B824" s="2" t="s">
        <v>5630</v>
      </c>
      <c r="C824" s="2" t="s">
        <v>5631</v>
      </c>
      <c r="D824" s="2">
        <v>2025</v>
      </c>
      <c r="E824" s="3">
        <v>45658</v>
      </c>
      <c r="F824" s="2" t="s">
        <v>2392</v>
      </c>
      <c r="G824" s="2">
        <v>36</v>
      </c>
      <c r="H824" s="2">
        <v>1</v>
      </c>
      <c r="I824" s="6">
        <v>46363</v>
      </c>
      <c r="J824" s="2" t="s">
        <v>2394</v>
      </c>
      <c r="K824" s="2" t="s">
        <v>392</v>
      </c>
      <c r="L824" s="2" t="s">
        <v>773</v>
      </c>
      <c r="M824" s="2" t="s">
        <v>1948</v>
      </c>
      <c r="N824" s="2" t="s">
        <v>2156</v>
      </c>
      <c r="O824" s="2" t="s">
        <v>3438</v>
      </c>
      <c r="P824" s="2" t="s">
        <v>5632</v>
      </c>
      <c r="Q824" s="2" t="s">
        <v>33</v>
      </c>
      <c r="R824" s="2" t="s">
        <v>5633</v>
      </c>
      <c r="S824" s="2" t="s">
        <v>1681</v>
      </c>
      <c r="T824" s="2" t="s">
        <v>5634</v>
      </c>
      <c r="U824" s="2" t="s">
        <v>5635</v>
      </c>
      <c r="V824" s="2" t="s">
        <v>80</v>
      </c>
    </row>
    <row r="825" spans="1:22">
      <c r="A825" s="2" t="s">
        <v>3892</v>
      </c>
      <c r="B825" s="2" t="s">
        <v>5630</v>
      </c>
      <c r="C825" s="2" t="s">
        <v>5631</v>
      </c>
      <c r="D825" s="2">
        <v>2025</v>
      </c>
      <c r="E825" s="3">
        <v>45658</v>
      </c>
      <c r="F825" s="2" t="s">
        <v>2392</v>
      </c>
      <c r="G825" s="2">
        <v>36</v>
      </c>
      <c r="H825" s="2">
        <v>1</v>
      </c>
      <c r="I825" s="6">
        <v>46363</v>
      </c>
      <c r="J825" s="2" t="s">
        <v>2394</v>
      </c>
      <c r="K825" s="2" t="s">
        <v>392</v>
      </c>
      <c r="L825" s="2" t="s">
        <v>773</v>
      </c>
      <c r="M825" s="2" t="s">
        <v>1948</v>
      </c>
      <c r="N825" s="2" t="s">
        <v>2156</v>
      </c>
      <c r="O825" s="2" t="s">
        <v>3438</v>
      </c>
      <c r="P825" s="2" t="s">
        <v>5632</v>
      </c>
      <c r="Q825" s="2" t="s">
        <v>33</v>
      </c>
      <c r="R825" s="2" t="s">
        <v>5633</v>
      </c>
      <c r="S825" s="2" t="s">
        <v>1681</v>
      </c>
      <c r="T825" s="2" t="s">
        <v>5634</v>
      </c>
      <c r="U825" s="2" t="s">
        <v>5635</v>
      </c>
      <c r="V825" s="2" t="s">
        <v>80</v>
      </c>
    </row>
    <row r="826" spans="1:22">
      <c r="A826" s="2" t="s">
        <v>5637</v>
      </c>
      <c r="B826" s="2" t="s">
        <v>5638</v>
      </c>
      <c r="C826" s="2" t="s">
        <v>5639</v>
      </c>
      <c r="D826" s="2">
        <v>2025</v>
      </c>
      <c r="E826" s="3">
        <v>45748</v>
      </c>
      <c r="F826" s="2" t="s">
        <v>2518</v>
      </c>
      <c r="G826" s="2">
        <v>65</v>
      </c>
      <c r="H826" s="2" t="s">
        <v>43</v>
      </c>
      <c r="I826" s="2" t="s">
        <v>5640</v>
      </c>
      <c r="J826" s="2" t="s">
        <v>2520</v>
      </c>
      <c r="K826" s="2" t="s">
        <v>2521</v>
      </c>
      <c r="L826" s="2" t="s">
        <v>1867</v>
      </c>
      <c r="M826" s="2" t="s">
        <v>1362</v>
      </c>
      <c r="N826" s="2" t="s">
        <v>247</v>
      </c>
      <c r="O826" s="2" t="s">
        <v>2958</v>
      </c>
      <c r="P826" s="2" t="s">
        <v>5641</v>
      </c>
      <c r="Q826" s="2" t="s">
        <v>49</v>
      </c>
      <c r="R826" s="2" t="s">
        <v>5642</v>
      </c>
      <c r="S826" s="2" t="s">
        <v>5643</v>
      </c>
      <c r="T826" s="2" t="s">
        <v>5644</v>
      </c>
      <c r="U826" s="2" t="s">
        <v>5645</v>
      </c>
      <c r="V826" s="2" t="s">
        <v>594</v>
      </c>
    </row>
    <row r="827" spans="1:22">
      <c r="A827" s="2" t="s">
        <v>5646</v>
      </c>
      <c r="B827" s="2" t="s">
        <v>5647</v>
      </c>
      <c r="C827" s="2" t="s">
        <v>5648</v>
      </c>
      <c r="D827" s="2">
        <v>2025</v>
      </c>
      <c r="E827" s="3">
        <v>45992</v>
      </c>
      <c r="F827" s="2" t="s">
        <v>5649</v>
      </c>
      <c r="G827" s="2">
        <v>18</v>
      </c>
      <c r="H827" s="2">
        <v>1</v>
      </c>
      <c r="I827" s="2" t="s">
        <v>5650</v>
      </c>
      <c r="J827" s="2" t="s">
        <v>5651</v>
      </c>
      <c r="K827" s="2" t="s">
        <v>1361</v>
      </c>
      <c r="L827" s="2" t="s">
        <v>29</v>
      </c>
      <c r="M827" s="2" t="s">
        <v>904</v>
      </c>
      <c r="N827" s="2" t="s">
        <v>3684</v>
      </c>
      <c r="O827" s="2" t="s">
        <v>3532</v>
      </c>
      <c r="P827" s="2" t="s">
        <v>5652</v>
      </c>
      <c r="Q827" s="2" t="s">
        <v>33</v>
      </c>
      <c r="R827" s="2" t="s">
        <v>5653</v>
      </c>
      <c r="S827" s="2" t="s">
        <v>682</v>
      </c>
      <c r="T827" s="2" t="s">
        <v>5654</v>
      </c>
      <c r="U827" s="2" t="s">
        <v>5655</v>
      </c>
      <c r="V827" s="2" t="s">
        <v>80</v>
      </c>
    </row>
    <row r="828" spans="1:22">
      <c r="A828" s="2" t="s">
        <v>5656</v>
      </c>
      <c r="B828" s="2" t="s">
        <v>5657</v>
      </c>
      <c r="C828" s="2" t="s">
        <v>5658</v>
      </c>
      <c r="D828" s="2">
        <v>2025</v>
      </c>
      <c r="E828" s="3">
        <v>45901</v>
      </c>
      <c r="F828" s="2" t="s">
        <v>2392</v>
      </c>
      <c r="G828" s="2">
        <v>36</v>
      </c>
      <c r="H828" s="2">
        <v>5</v>
      </c>
      <c r="I828" s="2" t="s">
        <v>43</v>
      </c>
      <c r="J828" s="2" t="s">
        <v>2394</v>
      </c>
      <c r="K828" s="2" t="s">
        <v>392</v>
      </c>
      <c r="L828" s="2" t="s">
        <v>1867</v>
      </c>
      <c r="M828" s="2" t="s">
        <v>1948</v>
      </c>
      <c r="N828" s="2" t="s">
        <v>2156</v>
      </c>
      <c r="O828" s="2" t="s">
        <v>3438</v>
      </c>
      <c r="P828" s="2" t="s">
        <v>5659</v>
      </c>
      <c r="Q828" s="2" t="s">
        <v>3676</v>
      </c>
      <c r="R828" s="2" t="s">
        <v>5660</v>
      </c>
      <c r="S828" s="2" t="s">
        <v>1681</v>
      </c>
      <c r="T828" s="2" t="s">
        <v>2561</v>
      </c>
      <c r="U828" s="2" t="s">
        <v>2562</v>
      </c>
      <c r="V828" s="2" t="s">
        <v>80</v>
      </c>
    </row>
    <row r="829" spans="1:22" ht="57.6">
      <c r="A829" s="2" t="s">
        <v>22</v>
      </c>
      <c r="B829" s="2" t="s">
        <v>5661</v>
      </c>
      <c r="C829" s="2" t="s">
        <v>5662</v>
      </c>
      <c r="D829" s="2">
        <v>2025</v>
      </c>
      <c r="E829" s="3">
        <v>45901</v>
      </c>
      <c r="F829" s="2" t="s">
        <v>357</v>
      </c>
      <c r="G829" s="2">
        <v>20</v>
      </c>
      <c r="H829" s="2">
        <v>9</v>
      </c>
      <c r="I829" s="2" t="s">
        <v>5663</v>
      </c>
      <c r="J829" s="2" t="s">
        <v>359</v>
      </c>
      <c r="K829" s="2" t="s">
        <v>360</v>
      </c>
      <c r="L829" s="2" t="s">
        <v>29</v>
      </c>
      <c r="M829" s="2" t="s">
        <v>361</v>
      </c>
      <c r="N829" s="2" t="s">
        <v>121</v>
      </c>
      <c r="O829" s="4">
        <v>1833</v>
      </c>
      <c r="P829" s="2" t="s">
        <v>5664</v>
      </c>
      <c r="Q829" s="2" t="s">
        <v>3676</v>
      </c>
      <c r="R829" s="2" t="s">
        <v>5665</v>
      </c>
      <c r="S829" s="2" t="s">
        <v>5666</v>
      </c>
      <c r="T829" s="2" t="s">
        <v>5667</v>
      </c>
      <c r="U829" s="2" t="s">
        <v>5668</v>
      </c>
      <c r="V829" s="2" t="s">
        <v>5669</v>
      </c>
    </row>
    <row r="830" spans="1:22">
      <c r="A830" s="2" t="s">
        <v>5670</v>
      </c>
      <c r="B830" s="2" t="s">
        <v>5671</v>
      </c>
      <c r="C830" s="2" t="s">
        <v>5672</v>
      </c>
      <c r="D830" s="2">
        <v>2024</v>
      </c>
      <c r="E830" s="3">
        <v>45597</v>
      </c>
      <c r="F830" s="2" t="s">
        <v>3046</v>
      </c>
      <c r="G830" s="2">
        <v>95</v>
      </c>
      <c r="H830" s="2">
        <v>6</v>
      </c>
      <c r="I830" s="2" t="s">
        <v>5673</v>
      </c>
      <c r="J830" s="2" t="s">
        <v>3048</v>
      </c>
      <c r="K830" s="2" t="s">
        <v>3049</v>
      </c>
      <c r="L830" s="2" t="s">
        <v>1867</v>
      </c>
      <c r="M830" s="2" t="s">
        <v>1948</v>
      </c>
      <c r="N830" s="2" t="s">
        <v>428</v>
      </c>
      <c r="O830" s="2" t="s">
        <v>3685</v>
      </c>
      <c r="P830" s="2" t="s">
        <v>5674</v>
      </c>
      <c r="Q830" s="2" t="s">
        <v>33</v>
      </c>
      <c r="R830" s="2" t="s">
        <v>5675</v>
      </c>
      <c r="S830" s="2" t="s">
        <v>79</v>
      </c>
      <c r="T830" s="2" t="s">
        <v>5676</v>
      </c>
      <c r="U830" s="2" t="s">
        <v>5677</v>
      </c>
      <c r="V830" s="2" t="s">
        <v>1380</v>
      </c>
    </row>
    <row r="831" spans="1:22" ht="28.8">
      <c r="A831" s="2" t="s">
        <v>622</v>
      </c>
      <c r="B831" s="2" t="s">
        <v>5678</v>
      </c>
      <c r="C831" s="2" t="s">
        <v>5679</v>
      </c>
      <c r="D831" s="2">
        <v>2025</v>
      </c>
      <c r="E831" s="3">
        <v>45658</v>
      </c>
      <c r="F831" s="2" t="s">
        <v>5680</v>
      </c>
      <c r="G831" s="2">
        <v>11</v>
      </c>
      <c r="H831" s="2">
        <v>3</v>
      </c>
      <c r="I831" s="2" t="s">
        <v>43</v>
      </c>
      <c r="J831" s="2" t="s">
        <v>5681</v>
      </c>
      <c r="K831" s="2" t="s">
        <v>5682</v>
      </c>
      <c r="L831" s="2" t="s">
        <v>29</v>
      </c>
      <c r="M831" s="2" t="s">
        <v>4498</v>
      </c>
      <c r="N831" s="2" t="s">
        <v>5683</v>
      </c>
      <c r="O831" s="2" t="s">
        <v>5684</v>
      </c>
      <c r="P831" s="2" t="s">
        <v>5685</v>
      </c>
      <c r="Q831" s="2" t="s">
        <v>33</v>
      </c>
      <c r="R831" s="2" t="s">
        <v>5686</v>
      </c>
      <c r="S831" s="2" t="s">
        <v>5687</v>
      </c>
      <c r="T831" s="2" t="s">
        <v>5688</v>
      </c>
      <c r="U831" s="2" t="s">
        <v>5689</v>
      </c>
      <c r="V831" s="2" t="s">
        <v>80</v>
      </c>
    </row>
    <row r="832" spans="1:22" ht="28.8">
      <c r="A832" s="2" t="s">
        <v>5690</v>
      </c>
      <c r="B832" s="2" t="s">
        <v>5691</v>
      </c>
      <c r="C832" s="2" t="s">
        <v>5692</v>
      </c>
      <c r="D832" s="2">
        <v>2025</v>
      </c>
      <c r="E832" s="3">
        <v>45931</v>
      </c>
      <c r="F832" s="2" t="s">
        <v>5693</v>
      </c>
      <c r="G832" s="2">
        <v>13</v>
      </c>
      <c r="H832" s="2">
        <v>5</v>
      </c>
      <c r="I832" s="2" t="s">
        <v>43</v>
      </c>
      <c r="J832" s="2" t="s">
        <v>5694</v>
      </c>
      <c r="K832" s="2" t="s">
        <v>3037</v>
      </c>
      <c r="L832" s="2" t="s">
        <v>29</v>
      </c>
      <c r="M832" s="2" t="s">
        <v>2522</v>
      </c>
      <c r="N832" s="2" t="s">
        <v>854</v>
      </c>
      <c r="O832" s="2" t="s">
        <v>5695</v>
      </c>
      <c r="P832" s="2" t="s">
        <v>5696</v>
      </c>
      <c r="Q832" s="2" t="s">
        <v>33</v>
      </c>
      <c r="R832" s="2" t="s">
        <v>5697</v>
      </c>
      <c r="S832" s="2" t="s">
        <v>5698</v>
      </c>
      <c r="T832" s="2" t="s">
        <v>5699</v>
      </c>
      <c r="U832" s="2" t="s">
        <v>5700</v>
      </c>
      <c r="V832" s="2" t="s">
        <v>5701</v>
      </c>
    </row>
    <row r="833" spans="1:22" ht="28.8">
      <c r="A833" s="2" t="s">
        <v>5702</v>
      </c>
      <c r="B833" s="2" t="s">
        <v>5691</v>
      </c>
      <c r="C833" s="2" t="s">
        <v>5692</v>
      </c>
      <c r="D833" s="2">
        <v>2025</v>
      </c>
      <c r="E833" s="3">
        <v>45931</v>
      </c>
      <c r="F833" s="2" t="s">
        <v>5693</v>
      </c>
      <c r="G833" s="2">
        <v>13</v>
      </c>
      <c r="H833" s="2">
        <v>5</v>
      </c>
      <c r="I833" s="2" t="s">
        <v>43</v>
      </c>
      <c r="J833" s="2" t="s">
        <v>5694</v>
      </c>
      <c r="K833" s="2" t="s">
        <v>3037</v>
      </c>
      <c r="L833" s="2" t="s">
        <v>29</v>
      </c>
      <c r="M833" s="2" t="s">
        <v>2522</v>
      </c>
      <c r="N833" s="2" t="s">
        <v>854</v>
      </c>
      <c r="O833" s="2" t="s">
        <v>5695</v>
      </c>
      <c r="P833" s="2" t="s">
        <v>5696</v>
      </c>
      <c r="Q833" s="2" t="s">
        <v>33</v>
      </c>
      <c r="R833" s="2" t="s">
        <v>5697</v>
      </c>
      <c r="S833" s="2" t="s">
        <v>5698</v>
      </c>
      <c r="T833" s="2" t="s">
        <v>5699</v>
      </c>
      <c r="U833" s="2" t="s">
        <v>5700</v>
      </c>
      <c r="V833" s="2" t="s">
        <v>5701</v>
      </c>
    </row>
    <row r="834" spans="1:22">
      <c r="A834" s="2" t="s">
        <v>5703</v>
      </c>
      <c r="B834" s="2" t="s">
        <v>5704</v>
      </c>
      <c r="C834" s="2" t="s">
        <v>5705</v>
      </c>
      <c r="D834" s="2">
        <v>2025</v>
      </c>
      <c r="E834" s="3">
        <v>45931</v>
      </c>
      <c r="F834" s="2" t="s">
        <v>5706</v>
      </c>
      <c r="G834" s="2">
        <v>30</v>
      </c>
      <c r="H834" s="2">
        <v>4</v>
      </c>
      <c r="I834" s="2" t="s">
        <v>43</v>
      </c>
      <c r="J834" s="2" t="s">
        <v>5707</v>
      </c>
      <c r="K834" s="2" t="s">
        <v>1258</v>
      </c>
      <c r="L834" s="2" t="s">
        <v>29</v>
      </c>
      <c r="M834" s="2" t="s">
        <v>2381</v>
      </c>
      <c r="N834" s="2" t="s">
        <v>2144</v>
      </c>
      <c r="O834" s="2" t="s">
        <v>3300</v>
      </c>
      <c r="P834" s="2" t="s">
        <v>5708</v>
      </c>
      <c r="Q834" s="2" t="s">
        <v>644</v>
      </c>
      <c r="R834" s="2" t="s">
        <v>5709</v>
      </c>
      <c r="S834" s="2" t="s">
        <v>763</v>
      </c>
      <c r="T834" s="2" t="s">
        <v>764</v>
      </c>
      <c r="U834" s="2" t="s">
        <v>765</v>
      </c>
      <c r="V834" s="2" t="s">
        <v>766</v>
      </c>
    </row>
    <row r="835" spans="1:22">
      <c r="A835" s="2" t="s">
        <v>834</v>
      </c>
      <c r="B835" s="2" t="s">
        <v>5710</v>
      </c>
      <c r="C835" s="2" t="s">
        <v>5711</v>
      </c>
      <c r="D835" s="2">
        <v>2025</v>
      </c>
      <c r="E835" s="3">
        <v>45658</v>
      </c>
      <c r="F835" s="2" t="s">
        <v>4161</v>
      </c>
      <c r="G835" s="2">
        <v>40</v>
      </c>
      <c r="H835" s="2">
        <v>1</v>
      </c>
      <c r="I835" s="2" t="s">
        <v>5712</v>
      </c>
      <c r="J835" s="2" t="s">
        <v>4163</v>
      </c>
      <c r="K835" s="2" t="s">
        <v>772</v>
      </c>
      <c r="L835" s="2" t="s">
        <v>5713</v>
      </c>
      <c r="M835" s="2" t="s">
        <v>3416</v>
      </c>
      <c r="N835" s="2" t="s">
        <v>4165</v>
      </c>
      <c r="O835" s="2" t="s">
        <v>5237</v>
      </c>
      <c r="P835" s="2" t="s">
        <v>5714</v>
      </c>
      <c r="Q835" s="2" t="s">
        <v>33</v>
      </c>
      <c r="R835" s="2" t="s">
        <v>5715</v>
      </c>
      <c r="S835" s="2" t="s">
        <v>5240</v>
      </c>
      <c r="T835" s="2" t="s">
        <v>5716</v>
      </c>
      <c r="U835" s="2" t="s">
        <v>5717</v>
      </c>
      <c r="V835" s="2" t="s">
        <v>80</v>
      </c>
    </row>
    <row r="836" spans="1:22">
      <c r="A836" s="2" t="s">
        <v>128</v>
      </c>
      <c r="B836" s="2" t="s">
        <v>5718</v>
      </c>
      <c r="C836" s="2" t="s">
        <v>5719</v>
      </c>
      <c r="D836" s="2">
        <v>2024</v>
      </c>
      <c r="E836" s="3">
        <v>45292</v>
      </c>
      <c r="F836" s="2" t="s">
        <v>1812</v>
      </c>
      <c r="G836" s="2" t="s">
        <v>43</v>
      </c>
      <c r="H836" s="2" t="s">
        <v>43</v>
      </c>
      <c r="I836" s="2" t="s">
        <v>5720</v>
      </c>
      <c r="J836" s="2" t="s">
        <v>43</v>
      </c>
      <c r="K836" s="2" t="s">
        <v>1814</v>
      </c>
      <c r="L836" s="2" t="s">
        <v>29</v>
      </c>
      <c r="M836" s="2" t="s">
        <v>43</v>
      </c>
      <c r="N836" s="2" t="s">
        <v>43</v>
      </c>
      <c r="O836" s="2" t="s">
        <v>43</v>
      </c>
      <c r="P836" s="2" t="s">
        <v>5721</v>
      </c>
      <c r="Q836" s="2" t="s">
        <v>1125</v>
      </c>
      <c r="R836" s="2" t="s">
        <v>5722</v>
      </c>
      <c r="S836" s="2" t="s">
        <v>79</v>
      </c>
      <c r="T836" s="2" t="s">
        <v>3785</v>
      </c>
      <c r="U836" s="2" t="s">
        <v>3786</v>
      </c>
      <c r="V836" s="2" t="s">
        <v>141</v>
      </c>
    </row>
    <row r="837" spans="1:22" ht="72">
      <c r="A837" s="2" t="s">
        <v>560</v>
      </c>
      <c r="B837" s="2" t="s">
        <v>5723</v>
      </c>
      <c r="C837" s="2" t="s">
        <v>5724</v>
      </c>
      <c r="D837" s="2">
        <v>2025</v>
      </c>
      <c r="E837" s="3">
        <v>45748</v>
      </c>
      <c r="F837" s="2" t="s">
        <v>5725</v>
      </c>
      <c r="G837" s="2">
        <v>5</v>
      </c>
      <c r="H837" s="2">
        <v>2</v>
      </c>
      <c r="I837" s="2" t="s">
        <v>5726</v>
      </c>
      <c r="J837" s="2" t="s">
        <v>5727</v>
      </c>
      <c r="K837" s="2" t="s">
        <v>5728</v>
      </c>
      <c r="L837" s="2" t="s">
        <v>29</v>
      </c>
      <c r="M837" s="2" t="s">
        <v>2558</v>
      </c>
      <c r="N837" s="2" t="s">
        <v>234</v>
      </c>
      <c r="O837" s="4">
        <v>1235</v>
      </c>
      <c r="P837" s="2" t="s">
        <v>5729</v>
      </c>
      <c r="Q837" s="2" t="s">
        <v>33</v>
      </c>
      <c r="R837" s="2" t="s">
        <v>5730</v>
      </c>
      <c r="S837" s="2" t="s">
        <v>5731</v>
      </c>
      <c r="T837" s="2" t="s">
        <v>5732</v>
      </c>
      <c r="U837" s="2" t="s">
        <v>5733</v>
      </c>
      <c r="V837" s="2" t="s">
        <v>4715</v>
      </c>
    </row>
    <row r="838" spans="1:22">
      <c r="A838" s="2" t="s">
        <v>5734</v>
      </c>
      <c r="B838" s="2" t="s">
        <v>5735</v>
      </c>
      <c r="C838" s="2" t="s">
        <v>5736</v>
      </c>
      <c r="D838" s="2">
        <v>2025</v>
      </c>
      <c r="E838" s="3">
        <v>45809</v>
      </c>
      <c r="F838" s="2" t="s">
        <v>167</v>
      </c>
      <c r="G838" s="2">
        <v>-2025</v>
      </c>
      <c r="H838" s="2">
        <v>36</v>
      </c>
      <c r="I838" s="2" t="s">
        <v>43</v>
      </c>
      <c r="J838" s="2" t="s">
        <v>5737</v>
      </c>
      <c r="K838" s="2" t="s">
        <v>5738</v>
      </c>
      <c r="L838" s="2" t="s">
        <v>1867</v>
      </c>
      <c r="M838" s="2" t="s">
        <v>2203</v>
      </c>
      <c r="N838" s="2" t="s">
        <v>1520</v>
      </c>
      <c r="O838" s="2" t="s">
        <v>5739</v>
      </c>
      <c r="P838" s="2" t="s">
        <v>5740</v>
      </c>
      <c r="Q838" s="2" t="s">
        <v>33</v>
      </c>
      <c r="R838" s="2" t="s">
        <v>5741</v>
      </c>
      <c r="S838" s="2" t="s">
        <v>79</v>
      </c>
      <c r="T838" s="5">
        <v>601053680000000</v>
      </c>
      <c r="U838" s="2" t="s">
        <v>79</v>
      </c>
      <c r="V838" s="2" t="s">
        <v>80</v>
      </c>
    </row>
    <row r="839" spans="1:22">
      <c r="A839" s="2" t="s">
        <v>5742</v>
      </c>
      <c r="B839" s="2" t="s">
        <v>5743</v>
      </c>
      <c r="C839" s="2" t="s">
        <v>5744</v>
      </c>
      <c r="D839" s="2">
        <v>2025</v>
      </c>
      <c r="E839" s="3">
        <v>45962</v>
      </c>
      <c r="F839" s="2" t="s">
        <v>5745</v>
      </c>
      <c r="G839" s="2">
        <v>70</v>
      </c>
      <c r="H839" s="2" t="s">
        <v>43</v>
      </c>
      <c r="I839" s="2" t="s">
        <v>43</v>
      </c>
      <c r="J839" s="2" t="s">
        <v>5746</v>
      </c>
      <c r="K839" s="2" t="s">
        <v>5747</v>
      </c>
      <c r="L839" s="2" t="s">
        <v>29</v>
      </c>
      <c r="M839" s="2" t="s">
        <v>774</v>
      </c>
      <c r="N839" s="2" t="s">
        <v>2797</v>
      </c>
      <c r="O839" s="2" t="s">
        <v>3600</v>
      </c>
      <c r="P839" s="2" t="s">
        <v>5748</v>
      </c>
      <c r="Q839" s="2" t="s">
        <v>49</v>
      </c>
      <c r="R839" s="2" t="s">
        <v>5749</v>
      </c>
      <c r="S839" s="2" t="s">
        <v>511</v>
      </c>
      <c r="T839" s="2" t="s">
        <v>512</v>
      </c>
      <c r="U839" s="2" t="s">
        <v>511</v>
      </c>
      <c r="V839" s="2" t="s">
        <v>80</v>
      </c>
    </row>
    <row r="840" spans="1:22">
      <c r="A840" s="2" t="s">
        <v>5750</v>
      </c>
      <c r="B840" s="2" t="s">
        <v>5751</v>
      </c>
      <c r="C840" s="2" t="s">
        <v>5752</v>
      </c>
      <c r="D840" s="2">
        <v>2025</v>
      </c>
      <c r="E840" s="3">
        <v>45782</v>
      </c>
      <c r="F840" s="2" t="s">
        <v>5753</v>
      </c>
      <c r="G840" s="2">
        <v>14</v>
      </c>
      <c r="H840" s="2">
        <v>1</v>
      </c>
      <c r="I840" s="2" t="s">
        <v>5754</v>
      </c>
      <c r="J840" s="2" t="s">
        <v>5755</v>
      </c>
      <c r="K840" s="2" t="s">
        <v>4795</v>
      </c>
      <c r="L840" s="2" t="s">
        <v>29</v>
      </c>
      <c r="M840" s="2" t="s">
        <v>3357</v>
      </c>
      <c r="N840" s="2" t="s">
        <v>5756</v>
      </c>
      <c r="O840" s="2" t="s">
        <v>5139</v>
      </c>
      <c r="P840" s="2" t="s">
        <v>5757</v>
      </c>
      <c r="Q840" s="2" t="s">
        <v>33</v>
      </c>
      <c r="R840" s="2" t="s">
        <v>5758</v>
      </c>
      <c r="S840" s="2" t="s">
        <v>79</v>
      </c>
      <c r="T840" s="2" t="s">
        <v>5759</v>
      </c>
      <c r="U840" s="2" t="s">
        <v>5760</v>
      </c>
      <c r="V840" s="2" t="s">
        <v>80</v>
      </c>
    </row>
    <row r="841" spans="1:22">
      <c r="A841" s="2" t="s">
        <v>5761</v>
      </c>
      <c r="B841" s="2" t="s">
        <v>5751</v>
      </c>
      <c r="C841" s="2" t="s">
        <v>5752</v>
      </c>
      <c r="D841" s="2">
        <v>2025</v>
      </c>
      <c r="E841" s="3">
        <v>45782</v>
      </c>
      <c r="F841" s="2" t="s">
        <v>5753</v>
      </c>
      <c r="G841" s="2">
        <v>14</v>
      </c>
      <c r="H841" s="2">
        <v>1</v>
      </c>
      <c r="I841" s="2" t="s">
        <v>5754</v>
      </c>
      <c r="J841" s="2" t="s">
        <v>5755</v>
      </c>
      <c r="K841" s="2" t="s">
        <v>4795</v>
      </c>
      <c r="L841" s="2" t="s">
        <v>29</v>
      </c>
      <c r="M841" s="2" t="s">
        <v>3357</v>
      </c>
      <c r="N841" s="2" t="s">
        <v>5756</v>
      </c>
      <c r="O841" s="2" t="s">
        <v>5139</v>
      </c>
      <c r="P841" s="2" t="s">
        <v>5757</v>
      </c>
      <c r="Q841" s="2" t="s">
        <v>33</v>
      </c>
      <c r="R841" s="2" t="s">
        <v>5758</v>
      </c>
      <c r="S841" s="2" t="s">
        <v>79</v>
      </c>
      <c r="T841" s="2" t="s">
        <v>5759</v>
      </c>
      <c r="U841" s="2" t="s">
        <v>5760</v>
      </c>
      <c r="V841" s="2" t="s">
        <v>80</v>
      </c>
    </row>
    <row r="842" spans="1:22">
      <c r="A842" s="2" t="s">
        <v>5762</v>
      </c>
      <c r="B842" s="2" t="s">
        <v>5751</v>
      </c>
      <c r="C842" s="2" t="s">
        <v>5752</v>
      </c>
      <c r="D842" s="2">
        <v>2025</v>
      </c>
      <c r="E842" s="3">
        <v>45782</v>
      </c>
      <c r="F842" s="2" t="s">
        <v>5753</v>
      </c>
      <c r="G842" s="2">
        <v>14</v>
      </c>
      <c r="H842" s="2">
        <v>1</v>
      </c>
      <c r="I842" s="2" t="s">
        <v>5754</v>
      </c>
      <c r="J842" s="2" t="s">
        <v>5755</v>
      </c>
      <c r="K842" s="2" t="s">
        <v>4795</v>
      </c>
      <c r="L842" s="2" t="s">
        <v>29</v>
      </c>
      <c r="M842" s="2" t="s">
        <v>3357</v>
      </c>
      <c r="N842" s="2" t="s">
        <v>5756</v>
      </c>
      <c r="O842" s="2" t="s">
        <v>5139</v>
      </c>
      <c r="P842" s="2" t="s">
        <v>5757</v>
      </c>
      <c r="Q842" s="2" t="s">
        <v>33</v>
      </c>
      <c r="R842" s="2" t="s">
        <v>5758</v>
      </c>
      <c r="S842" s="2" t="s">
        <v>79</v>
      </c>
      <c r="T842" s="2" t="s">
        <v>5759</v>
      </c>
      <c r="U842" s="2" t="s">
        <v>5760</v>
      </c>
      <c r="V842" s="2" t="s">
        <v>80</v>
      </c>
    </row>
    <row r="843" spans="1:22">
      <c r="A843" s="2" t="s">
        <v>3181</v>
      </c>
      <c r="B843" s="2" t="s">
        <v>5751</v>
      </c>
      <c r="C843" s="2" t="s">
        <v>5752</v>
      </c>
      <c r="D843" s="2">
        <v>2025</v>
      </c>
      <c r="E843" s="3">
        <v>45782</v>
      </c>
      <c r="F843" s="2" t="s">
        <v>5753</v>
      </c>
      <c r="G843" s="2">
        <v>14</v>
      </c>
      <c r="H843" s="2">
        <v>1</v>
      </c>
      <c r="I843" s="2" t="s">
        <v>5754</v>
      </c>
      <c r="J843" s="2" t="s">
        <v>5755</v>
      </c>
      <c r="K843" s="2" t="s">
        <v>4795</v>
      </c>
      <c r="L843" s="2" t="s">
        <v>29</v>
      </c>
      <c r="M843" s="2" t="s">
        <v>3357</v>
      </c>
      <c r="N843" s="2" t="s">
        <v>5756</v>
      </c>
      <c r="O843" s="2" t="s">
        <v>5139</v>
      </c>
      <c r="P843" s="2" t="s">
        <v>5757</v>
      </c>
      <c r="Q843" s="2" t="s">
        <v>33</v>
      </c>
      <c r="R843" s="2" t="s">
        <v>5758</v>
      </c>
      <c r="S843" s="2" t="s">
        <v>79</v>
      </c>
      <c r="T843" s="2" t="s">
        <v>5759</v>
      </c>
      <c r="U843" s="2" t="s">
        <v>5760</v>
      </c>
      <c r="V843" s="2" t="s">
        <v>80</v>
      </c>
    </row>
    <row r="844" spans="1:22">
      <c r="A844" s="2" t="s">
        <v>3141</v>
      </c>
      <c r="B844" s="2" t="s">
        <v>5763</v>
      </c>
      <c r="C844" s="2" t="s">
        <v>5764</v>
      </c>
      <c r="D844" s="2">
        <v>2025</v>
      </c>
      <c r="E844" s="3">
        <v>45931</v>
      </c>
      <c r="F844" s="2" t="s">
        <v>2912</v>
      </c>
      <c r="G844" s="2">
        <v>52</v>
      </c>
      <c r="H844" s="2">
        <v>5</v>
      </c>
      <c r="I844" s="2" t="s">
        <v>5765</v>
      </c>
      <c r="J844" s="2" t="s">
        <v>2914</v>
      </c>
      <c r="K844" s="2" t="s">
        <v>2915</v>
      </c>
      <c r="L844" s="2" t="s">
        <v>1867</v>
      </c>
      <c r="M844" s="2" t="s">
        <v>47</v>
      </c>
      <c r="N844" s="2" t="s">
        <v>2916</v>
      </c>
      <c r="O844" s="2" t="s">
        <v>2917</v>
      </c>
      <c r="P844" s="2" t="s">
        <v>5766</v>
      </c>
      <c r="Q844" s="2" t="s">
        <v>33</v>
      </c>
      <c r="R844" s="2" t="s">
        <v>5767</v>
      </c>
      <c r="S844" s="2" t="s">
        <v>5768</v>
      </c>
      <c r="T844" s="2" t="s">
        <v>5769</v>
      </c>
      <c r="U844" s="2" t="s">
        <v>5770</v>
      </c>
      <c r="V844" s="2" t="s">
        <v>559</v>
      </c>
    </row>
    <row r="845" spans="1:22" ht="28.8">
      <c r="A845" s="2" t="s">
        <v>276</v>
      </c>
      <c r="B845" s="2" t="s">
        <v>5771</v>
      </c>
      <c r="C845" s="2" t="s">
        <v>5772</v>
      </c>
      <c r="D845" s="2">
        <v>2025</v>
      </c>
      <c r="E845" s="3">
        <v>45901</v>
      </c>
      <c r="F845" s="2" t="s">
        <v>1470</v>
      </c>
      <c r="G845" s="2">
        <v>15</v>
      </c>
      <c r="H845" s="2">
        <v>17</v>
      </c>
      <c r="I845" s="2" t="s">
        <v>43</v>
      </c>
      <c r="J845" s="2" t="s">
        <v>1471</v>
      </c>
      <c r="K845" s="2" t="s">
        <v>61</v>
      </c>
      <c r="L845" s="2" t="s">
        <v>29</v>
      </c>
      <c r="M845" s="2" t="s">
        <v>246</v>
      </c>
      <c r="N845" s="2" t="s">
        <v>1581</v>
      </c>
      <c r="O845" s="2" t="s">
        <v>2336</v>
      </c>
      <c r="P845" s="2" t="s">
        <v>5773</v>
      </c>
      <c r="Q845" s="2" t="s">
        <v>49</v>
      </c>
      <c r="R845" s="2" t="s">
        <v>5774</v>
      </c>
      <c r="S845" s="2" t="s">
        <v>5775</v>
      </c>
      <c r="T845" s="2" t="s">
        <v>5776</v>
      </c>
      <c r="U845" s="2" t="s">
        <v>5777</v>
      </c>
      <c r="V845" s="2" t="s">
        <v>2996</v>
      </c>
    </row>
    <row r="846" spans="1:22" ht="28.8">
      <c r="A846" s="2" t="s">
        <v>5778</v>
      </c>
      <c r="B846" s="2" t="s">
        <v>5771</v>
      </c>
      <c r="C846" s="2" t="s">
        <v>5772</v>
      </c>
      <c r="D846" s="2">
        <v>2025</v>
      </c>
      <c r="E846" s="3">
        <v>45901</v>
      </c>
      <c r="F846" s="2" t="s">
        <v>1470</v>
      </c>
      <c r="G846" s="2">
        <v>15</v>
      </c>
      <c r="H846" s="2">
        <v>17</v>
      </c>
      <c r="I846" s="2" t="s">
        <v>43</v>
      </c>
      <c r="J846" s="2" t="s">
        <v>1471</v>
      </c>
      <c r="K846" s="2" t="s">
        <v>61</v>
      </c>
      <c r="L846" s="2" t="s">
        <v>29</v>
      </c>
      <c r="M846" s="2" t="s">
        <v>246</v>
      </c>
      <c r="N846" s="2" t="s">
        <v>1581</v>
      </c>
      <c r="O846" s="2" t="s">
        <v>2336</v>
      </c>
      <c r="P846" s="2" t="s">
        <v>5773</v>
      </c>
      <c r="Q846" s="2" t="s">
        <v>49</v>
      </c>
      <c r="R846" s="2" t="s">
        <v>5774</v>
      </c>
      <c r="S846" s="2" t="s">
        <v>5775</v>
      </c>
      <c r="T846" s="2" t="s">
        <v>5776</v>
      </c>
      <c r="U846" s="2" t="s">
        <v>5777</v>
      </c>
      <c r="V846" s="2" t="s">
        <v>2996</v>
      </c>
    </row>
    <row r="847" spans="1:22" ht="28.8">
      <c r="A847" s="2" t="s">
        <v>5779</v>
      </c>
      <c r="B847" s="2" t="s">
        <v>5771</v>
      </c>
      <c r="C847" s="2" t="s">
        <v>5772</v>
      </c>
      <c r="D847" s="2">
        <v>2025</v>
      </c>
      <c r="E847" s="3">
        <v>45901</v>
      </c>
      <c r="F847" s="2" t="s">
        <v>1470</v>
      </c>
      <c r="G847" s="2">
        <v>15</v>
      </c>
      <c r="H847" s="2">
        <v>17</v>
      </c>
      <c r="I847" s="2" t="s">
        <v>43</v>
      </c>
      <c r="J847" s="2" t="s">
        <v>1471</v>
      </c>
      <c r="K847" s="2" t="s">
        <v>61</v>
      </c>
      <c r="L847" s="2" t="s">
        <v>29</v>
      </c>
      <c r="M847" s="2" t="s">
        <v>246</v>
      </c>
      <c r="N847" s="2" t="s">
        <v>1581</v>
      </c>
      <c r="O847" s="2" t="s">
        <v>2336</v>
      </c>
      <c r="P847" s="2" t="s">
        <v>5773</v>
      </c>
      <c r="Q847" s="2" t="s">
        <v>49</v>
      </c>
      <c r="R847" s="2" t="s">
        <v>5774</v>
      </c>
      <c r="S847" s="2" t="s">
        <v>5775</v>
      </c>
      <c r="T847" s="2" t="s">
        <v>5776</v>
      </c>
      <c r="U847" s="2" t="s">
        <v>5777</v>
      </c>
      <c r="V847" s="2" t="s">
        <v>2996</v>
      </c>
    </row>
    <row r="848" spans="1:22" ht="28.8">
      <c r="A848" s="2" t="s">
        <v>5780</v>
      </c>
      <c r="B848" s="2" t="s">
        <v>5771</v>
      </c>
      <c r="C848" s="2" t="s">
        <v>5772</v>
      </c>
      <c r="D848" s="2">
        <v>2025</v>
      </c>
      <c r="E848" s="3">
        <v>45901</v>
      </c>
      <c r="F848" s="2" t="s">
        <v>1470</v>
      </c>
      <c r="G848" s="2">
        <v>15</v>
      </c>
      <c r="H848" s="2">
        <v>17</v>
      </c>
      <c r="I848" s="2" t="s">
        <v>43</v>
      </c>
      <c r="J848" s="2" t="s">
        <v>1471</v>
      </c>
      <c r="K848" s="2" t="s">
        <v>61</v>
      </c>
      <c r="L848" s="2" t="s">
        <v>29</v>
      </c>
      <c r="M848" s="2" t="s">
        <v>246</v>
      </c>
      <c r="N848" s="2" t="s">
        <v>1581</v>
      </c>
      <c r="O848" s="2" t="s">
        <v>2336</v>
      </c>
      <c r="P848" s="2" t="s">
        <v>5773</v>
      </c>
      <c r="Q848" s="2" t="s">
        <v>49</v>
      </c>
      <c r="R848" s="2" t="s">
        <v>5774</v>
      </c>
      <c r="S848" s="2" t="s">
        <v>5775</v>
      </c>
      <c r="T848" s="2" t="s">
        <v>5776</v>
      </c>
      <c r="U848" s="2" t="s">
        <v>5777</v>
      </c>
      <c r="V848" s="2" t="s">
        <v>2996</v>
      </c>
    </row>
    <row r="849" spans="1:22" ht="28.8">
      <c r="A849" s="2" t="s">
        <v>5781</v>
      </c>
      <c r="B849" s="2" t="s">
        <v>5771</v>
      </c>
      <c r="C849" s="2" t="s">
        <v>5772</v>
      </c>
      <c r="D849" s="2">
        <v>2025</v>
      </c>
      <c r="E849" s="3">
        <v>45901</v>
      </c>
      <c r="F849" s="2" t="s">
        <v>1470</v>
      </c>
      <c r="G849" s="2">
        <v>15</v>
      </c>
      <c r="H849" s="2">
        <v>17</v>
      </c>
      <c r="I849" s="2" t="s">
        <v>43</v>
      </c>
      <c r="J849" s="2" t="s">
        <v>1471</v>
      </c>
      <c r="K849" s="2" t="s">
        <v>61</v>
      </c>
      <c r="L849" s="2" t="s">
        <v>29</v>
      </c>
      <c r="M849" s="2" t="s">
        <v>246</v>
      </c>
      <c r="N849" s="2" t="s">
        <v>1581</v>
      </c>
      <c r="O849" s="2" t="s">
        <v>2336</v>
      </c>
      <c r="P849" s="2" t="s">
        <v>5773</v>
      </c>
      <c r="Q849" s="2" t="s">
        <v>49</v>
      </c>
      <c r="R849" s="2" t="s">
        <v>5774</v>
      </c>
      <c r="S849" s="2" t="s">
        <v>5775</v>
      </c>
      <c r="T849" s="2" t="s">
        <v>5776</v>
      </c>
      <c r="U849" s="2" t="s">
        <v>5777</v>
      </c>
      <c r="V849" s="2" t="s">
        <v>2996</v>
      </c>
    </row>
    <row r="850" spans="1:22" ht="28.8">
      <c r="A850" s="2" t="s">
        <v>5782</v>
      </c>
      <c r="B850" s="2" t="s">
        <v>5771</v>
      </c>
      <c r="C850" s="2" t="s">
        <v>5772</v>
      </c>
      <c r="D850" s="2">
        <v>2025</v>
      </c>
      <c r="E850" s="3">
        <v>45901</v>
      </c>
      <c r="F850" s="2" t="s">
        <v>1470</v>
      </c>
      <c r="G850" s="2">
        <v>15</v>
      </c>
      <c r="H850" s="2">
        <v>17</v>
      </c>
      <c r="I850" s="2" t="s">
        <v>43</v>
      </c>
      <c r="J850" s="2" t="s">
        <v>1471</v>
      </c>
      <c r="K850" s="2" t="s">
        <v>61</v>
      </c>
      <c r="L850" s="2" t="s">
        <v>29</v>
      </c>
      <c r="M850" s="2" t="s">
        <v>246</v>
      </c>
      <c r="N850" s="2" t="s">
        <v>1581</v>
      </c>
      <c r="O850" s="2" t="s">
        <v>2336</v>
      </c>
      <c r="P850" s="2" t="s">
        <v>5773</v>
      </c>
      <c r="Q850" s="2" t="s">
        <v>49</v>
      </c>
      <c r="R850" s="2" t="s">
        <v>5774</v>
      </c>
      <c r="S850" s="2" t="s">
        <v>5775</v>
      </c>
      <c r="T850" s="2" t="s">
        <v>5776</v>
      </c>
      <c r="U850" s="2" t="s">
        <v>5777</v>
      </c>
      <c r="V850" s="2" t="s">
        <v>2996</v>
      </c>
    </row>
    <row r="851" spans="1:22">
      <c r="A851" s="2" t="s">
        <v>5304</v>
      </c>
      <c r="B851" s="2" t="s">
        <v>5783</v>
      </c>
      <c r="C851" s="2" t="s">
        <v>5784</v>
      </c>
      <c r="D851" s="2">
        <v>2025</v>
      </c>
      <c r="E851" s="3">
        <v>45658</v>
      </c>
      <c r="F851" s="2" t="s">
        <v>5785</v>
      </c>
      <c r="G851" s="2">
        <v>25</v>
      </c>
      <c r="H851" s="2" t="s">
        <v>43</v>
      </c>
      <c r="I851" s="6">
        <v>46241</v>
      </c>
      <c r="J851" s="2" t="s">
        <v>5786</v>
      </c>
      <c r="K851" s="2" t="s">
        <v>5787</v>
      </c>
      <c r="L851" s="2" t="s">
        <v>1867</v>
      </c>
      <c r="M851" s="2" t="s">
        <v>3810</v>
      </c>
      <c r="N851" s="2" t="s">
        <v>5042</v>
      </c>
      <c r="O851" s="2" t="s">
        <v>5788</v>
      </c>
      <c r="P851" s="2" t="s">
        <v>43</v>
      </c>
      <c r="Q851" s="2" t="s">
        <v>2904</v>
      </c>
      <c r="R851" s="2" t="s">
        <v>5789</v>
      </c>
      <c r="S851" s="2" t="s">
        <v>79</v>
      </c>
      <c r="T851" s="5">
        <v>601053680000000</v>
      </c>
      <c r="U851" s="2" t="s">
        <v>79</v>
      </c>
      <c r="V851" s="2" t="s">
        <v>80</v>
      </c>
    </row>
    <row r="852" spans="1:22">
      <c r="A852" s="2" t="s">
        <v>5790</v>
      </c>
      <c r="B852" s="2" t="s">
        <v>5791</v>
      </c>
      <c r="C852" s="2" t="s">
        <v>5792</v>
      </c>
      <c r="D852" s="2">
        <v>2025</v>
      </c>
      <c r="E852" s="3">
        <v>45658</v>
      </c>
      <c r="F852" s="2" t="s">
        <v>5793</v>
      </c>
      <c r="G852" s="2">
        <v>25</v>
      </c>
      <c r="H852" s="2">
        <v>1</v>
      </c>
      <c r="I852" s="2" t="s">
        <v>43</v>
      </c>
      <c r="J852" s="2" t="s">
        <v>5794</v>
      </c>
      <c r="K852" s="2" t="s">
        <v>5795</v>
      </c>
      <c r="L852" s="2" t="s">
        <v>29</v>
      </c>
      <c r="M852" s="2" t="s">
        <v>2735</v>
      </c>
      <c r="N852" s="2" t="s">
        <v>2484</v>
      </c>
      <c r="O852" s="2" t="s">
        <v>5796</v>
      </c>
      <c r="P852" s="2" t="s">
        <v>5797</v>
      </c>
      <c r="Q852" s="2" t="s">
        <v>33</v>
      </c>
      <c r="R852" s="2" t="s">
        <v>5798</v>
      </c>
      <c r="S852" s="2" t="s">
        <v>5799</v>
      </c>
      <c r="T852" s="2" t="s">
        <v>5800</v>
      </c>
      <c r="U852" s="2" t="s">
        <v>5801</v>
      </c>
      <c r="V852" s="2" t="s">
        <v>80</v>
      </c>
    </row>
    <row r="853" spans="1:22">
      <c r="A853" s="2" t="s">
        <v>5802</v>
      </c>
      <c r="B853" s="2" t="s">
        <v>5791</v>
      </c>
      <c r="C853" s="2" t="s">
        <v>5792</v>
      </c>
      <c r="D853" s="2">
        <v>2025</v>
      </c>
      <c r="E853" s="3">
        <v>45658</v>
      </c>
      <c r="F853" s="2" t="s">
        <v>5793</v>
      </c>
      <c r="G853" s="2">
        <v>25</v>
      </c>
      <c r="H853" s="2">
        <v>1</v>
      </c>
      <c r="I853" s="2" t="s">
        <v>43</v>
      </c>
      <c r="J853" s="2" t="s">
        <v>5794</v>
      </c>
      <c r="K853" s="2" t="s">
        <v>5795</v>
      </c>
      <c r="L853" s="2" t="s">
        <v>29</v>
      </c>
      <c r="M853" s="2" t="s">
        <v>2735</v>
      </c>
      <c r="N853" s="2" t="s">
        <v>2484</v>
      </c>
      <c r="O853" s="2" t="s">
        <v>5796</v>
      </c>
      <c r="P853" s="2" t="s">
        <v>5797</v>
      </c>
      <c r="Q853" s="2" t="s">
        <v>33</v>
      </c>
      <c r="R853" s="2" t="s">
        <v>5798</v>
      </c>
      <c r="S853" s="2" t="s">
        <v>5799</v>
      </c>
      <c r="T853" s="2" t="s">
        <v>5800</v>
      </c>
      <c r="U853" s="2" t="s">
        <v>5801</v>
      </c>
      <c r="V853" s="2" t="s">
        <v>80</v>
      </c>
    </row>
    <row r="854" spans="1:22">
      <c r="A854" s="2" t="s">
        <v>5803</v>
      </c>
      <c r="B854" s="2" t="s">
        <v>5791</v>
      </c>
      <c r="C854" s="2" t="s">
        <v>5792</v>
      </c>
      <c r="D854" s="2">
        <v>2025</v>
      </c>
      <c r="E854" s="3">
        <v>45658</v>
      </c>
      <c r="F854" s="2" t="s">
        <v>5793</v>
      </c>
      <c r="G854" s="2">
        <v>25</v>
      </c>
      <c r="H854" s="2">
        <v>1</v>
      </c>
      <c r="I854" s="2" t="s">
        <v>43</v>
      </c>
      <c r="J854" s="2" t="s">
        <v>5794</v>
      </c>
      <c r="K854" s="2" t="s">
        <v>5795</v>
      </c>
      <c r="L854" s="2" t="s">
        <v>29</v>
      </c>
      <c r="M854" s="2" t="s">
        <v>2735</v>
      </c>
      <c r="N854" s="2" t="s">
        <v>2484</v>
      </c>
      <c r="O854" s="2" t="s">
        <v>5796</v>
      </c>
      <c r="P854" s="2" t="s">
        <v>5797</v>
      </c>
      <c r="Q854" s="2" t="s">
        <v>33</v>
      </c>
      <c r="R854" s="2" t="s">
        <v>5798</v>
      </c>
      <c r="S854" s="2" t="s">
        <v>5799</v>
      </c>
      <c r="T854" s="2" t="s">
        <v>5800</v>
      </c>
      <c r="U854" s="2" t="s">
        <v>5801</v>
      </c>
      <c r="V854" s="2" t="s">
        <v>80</v>
      </c>
    </row>
    <row r="855" spans="1:22">
      <c r="A855" s="2" t="s">
        <v>5804</v>
      </c>
      <c r="B855" s="2" t="s">
        <v>5791</v>
      </c>
      <c r="C855" s="2" t="s">
        <v>5792</v>
      </c>
      <c r="D855" s="2">
        <v>2025</v>
      </c>
      <c r="E855" s="3">
        <v>45658</v>
      </c>
      <c r="F855" s="2" t="s">
        <v>5793</v>
      </c>
      <c r="G855" s="2">
        <v>25</v>
      </c>
      <c r="H855" s="2">
        <v>1</v>
      </c>
      <c r="I855" s="2" t="s">
        <v>43</v>
      </c>
      <c r="J855" s="2" t="s">
        <v>5794</v>
      </c>
      <c r="K855" s="2" t="s">
        <v>5795</v>
      </c>
      <c r="L855" s="2" t="s">
        <v>29</v>
      </c>
      <c r="M855" s="2" t="s">
        <v>2735</v>
      </c>
      <c r="N855" s="2" t="s">
        <v>2484</v>
      </c>
      <c r="O855" s="2" t="s">
        <v>5796</v>
      </c>
      <c r="P855" s="2" t="s">
        <v>5797</v>
      </c>
      <c r="Q855" s="2" t="s">
        <v>33</v>
      </c>
      <c r="R855" s="2" t="s">
        <v>5798</v>
      </c>
      <c r="S855" s="2" t="s">
        <v>5799</v>
      </c>
      <c r="T855" s="2" t="s">
        <v>5800</v>
      </c>
      <c r="U855" s="2" t="s">
        <v>5801</v>
      </c>
      <c r="V855" s="2" t="s">
        <v>80</v>
      </c>
    </row>
    <row r="856" spans="1:22">
      <c r="A856" s="2" t="s">
        <v>5805</v>
      </c>
      <c r="B856" s="2" t="s">
        <v>5791</v>
      </c>
      <c r="C856" s="2" t="s">
        <v>5792</v>
      </c>
      <c r="D856" s="2">
        <v>2025</v>
      </c>
      <c r="E856" s="3">
        <v>45658</v>
      </c>
      <c r="F856" s="2" t="s">
        <v>5793</v>
      </c>
      <c r="G856" s="2">
        <v>25</v>
      </c>
      <c r="H856" s="2">
        <v>1</v>
      </c>
      <c r="I856" s="2" t="s">
        <v>43</v>
      </c>
      <c r="J856" s="2" t="s">
        <v>5794</v>
      </c>
      <c r="K856" s="2" t="s">
        <v>5795</v>
      </c>
      <c r="L856" s="2" t="s">
        <v>29</v>
      </c>
      <c r="M856" s="2" t="s">
        <v>2735</v>
      </c>
      <c r="N856" s="2" t="s">
        <v>2484</v>
      </c>
      <c r="O856" s="2" t="s">
        <v>5796</v>
      </c>
      <c r="P856" s="2" t="s">
        <v>5797</v>
      </c>
      <c r="Q856" s="2" t="s">
        <v>33</v>
      </c>
      <c r="R856" s="2" t="s">
        <v>5798</v>
      </c>
      <c r="S856" s="2" t="s">
        <v>5799</v>
      </c>
      <c r="T856" s="2" t="s">
        <v>5800</v>
      </c>
      <c r="U856" s="2" t="s">
        <v>5801</v>
      </c>
      <c r="V856" s="2" t="s">
        <v>80</v>
      </c>
    </row>
    <row r="857" spans="1:22" ht="28.8">
      <c r="A857" s="2" t="s">
        <v>276</v>
      </c>
      <c r="B857" s="2" t="s">
        <v>5806</v>
      </c>
      <c r="C857" s="2" t="s">
        <v>5807</v>
      </c>
      <c r="D857" s="2">
        <v>2025</v>
      </c>
      <c r="E857" s="3">
        <v>45992</v>
      </c>
      <c r="F857" s="2" t="s">
        <v>1470</v>
      </c>
      <c r="G857" s="2">
        <v>15</v>
      </c>
      <c r="H857" s="2">
        <v>23</v>
      </c>
      <c r="I857" s="2" t="s">
        <v>43</v>
      </c>
      <c r="J857" s="2" t="s">
        <v>1471</v>
      </c>
      <c r="K857" s="2" t="s">
        <v>61</v>
      </c>
      <c r="L857" s="2" t="s">
        <v>29</v>
      </c>
      <c r="M857" s="2" t="s">
        <v>246</v>
      </c>
      <c r="N857" s="2" t="s">
        <v>1581</v>
      </c>
      <c r="O857" s="2" t="s">
        <v>2336</v>
      </c>
      <c r="P857" s="2" t="s">
        <v>5808</v>
      </c>
      <c r="Q857" s="2" t="s">
        <v>49</v>
      </c>
      <c r="R857" s="2" t="s">
        <v>5809</v>
      </c>
      <c r="S857" s="2" t="s">
        <v>5810</v>
      </c>
      <c r="T857" s="2" t="s">
        <v>5811</v>
      </c>
      <c r="U857" s="2" t="s">
        <v>5812</v>
      </c>
      <c r="V857" s="2" t="s">
        <v>1602</v>
      </c>
    </row>
    <row r="858" spans="1:22">
      <c r="A858" s="2" t="s">
        <v>5813</v>
      </c>
      <c r="B858" s="2" t="s">
        <v>5814</v>
      </c>
      <c r="C858" s="2" t="s">
        <v>5815</v>
      </c>
      <c r="D858" s="2">
        <v>2024</v>
      </c>
      <c r="E858" s="3">
        <v>45597</v>
      </c>
      <c r="F858" s="2" t="s">
        <v>5816</v>
      </c>
      <c r="G858" s="2">
        <v>25</v>
      </c>
      <c r="H858" s="2">
        <v>3</v>
      </c>
      <c r="I858" s="2" t="s">
        <v>5817</v>
      </c>
      <c r="J858" s="2" t="s">
        <v>5818</v>
      </c>
      <c r="K858" s="2" t="s">
        <v>5819</v>
      </c>
      <c r="L858" s="2" t="s">
        <v>29</v>
      </c>
      <c r="M858" s="2" t="s">
        <v>2203</v>
      </c>
      <c r="N858" s="2" t="s">
        <v>3050</v>
      </c>
      <c r="O858" s="2" t="s">
        <v>5820</v>
      </c>
      <c r="P858" s="2" t="s">
        <v>5821</v>
      </c>
      <c r="Q858" s="2" t="s">
        <v>644</v>
      </c>
      <c r="R858" s="2" t="s">
        <v>5822</v>
      </c>
      <c r="S858" s="2" t="s">
        <v>5823</v>
      </c>
      <c r="T858" s="2" t="s">
        <v>5824</v>
      </c>
      <c r="U858" s="2" t="s">
        <v>5825</v>
      </c>
      <c r="V858" s="2" t="s">
        <v>5826</v>
      </c>
    </row>
    <row r="859" spans="1:22">
      <c r="A859" s="2" t="s">
        <v>5827</v>
      </c>
      <c r="B859" s="2" t="s">
        <v>5828</v>
      </c>
      <c r="C859" s="2" t="s">
        <v>5829</v>
      </c>
      <c r="D859" s="2">
        <v>2024</v>
      </c>
      <c r="E859" s="3">
        <v>45292</v>
      </c>
      <c r="F859" s="2" t="s">
        <v>5830</v>
      </c>
      <c r="G859" s="2" t="s">
        <v>43</v>
      </c>
      <c r="H859" s="2">
        <v>32</v>
      </c>
      <c r="I859" s="2" t="s">
        <v>5831</v>
      </c>
      <c r="J859" s="2" t="s">
        <v>5832</v>
      </c>
      <c r="K859" s="2" t="s">
        <v>5833</v>
      </c>
      <c r="L859" s="2" t="s">
        <v>1867</v>
      </c>
      <c r="M859" s="2" t="s">
        <v>3357</v>
      </c>
      <c r="N859" s="2" t="s">
        <v>451</v>
      </c>
      <c r="O859" s="2" t="s">
        <v>5834</v>
      </c>
      <c r="P859" s="2" t="s">
        <v>5835</v>
      </c>
      <c r="Q859" s="2" t="s">
        <v>33</v>
      </c>
      <c r="R859" s="2" t="s">
        <v>5836</v>
      </c>
      <c r="S859" s="2" t="s">
        <v>821</v>
      </c>
      <c r="T859" s="2" t="s">
        <v>5837</v>
      </c>
      <c r="U859" s="2" t="s">
        <v>819</v>
      </c>
      <c r="V859" s="2" t="s">
        <v>80</v>
      </c>
    </row>
    <row r="860" spans="1:22">
      <c r="A860" s="2" t="s">
        <v>3229</v>
      </c>
      <c r="B860" s="2" t="s">
        <v>5838</v>
      </c>
      <c r="C860" s="2" t="s">
        <v>5839</v>
      </c>
      <c r="D860" s="2">
        <v>2024</v>
      </c>
      <c r="E860" s="3">
        <v>45505</v>
      </c>
      <c r="F860" s="2" t="s">
        <v>5840</v>
      </c>
      <c r="G860" s="2">
        <v>16</v>
      </c>
      <c r="H860" s="2">
        <v>3</v>
      </c>
      <c r="I860" s="2" t="s">
        <v>5841</v>
      </c>
      <c r="J860" s="2" t="s">
        <v>5842</v>
      </c>
      <c r="K860" s="2" t="s">
        <v>5843</v>
      </c>
      <c r="L860" s="2" t="s">
        <v>1867</v>
      </c>
      <c r="M860" s="2" t="s">
        <v>3203</v>
      </c>
      <c r="N860" s="2" t="s">
        <v>3235</v>
      </c>
      <c r="O860" s="2" t="s">
        <v>5844</v>
      </c>
      <c r="P860" s="2" t="s">
        <v>5845</v>
      </c>
      <c r="Q860" s="2" t="s">
        <v>33</v>
      </c>
      <c r="R860" s="2" t="s">
        <v>5846</v>
      </c>
      <c r="S860" s="2" t="s">
        <v>5847</v>
      </c>
      <c r="T860" s="2" t="s">
        <v>5848</v>
      </c>
      <c r="U860" s="2" t="s">
        <v>5849</v>
      </c>
      <c r="V860" s="2" t="s">
        <v>80</v>
      </c>
    </row>
    <row r="861" spans="1:22">
      <c r="A861" s="2" t="s">
        <v>5850</v>
      </c>
      <c r="B861" s="2" t="s">
        <v>5851</v>
      </c>
      <c r="C861" s="2" t="s">
        <v>5852</v>
      </c>
      <c r="D861" s="2">
        <v>2024</v>
      </c>
      <c r="E861" s="3">
        <v>45292</v>
      </c>
      <c r="F861" s="2" t="s">
        <v>5853</v>
      </c>
      <c r="G861" s="2">
        <v>61</v>
      </c>
      <c r="H861" s="2" t="s">
        <v>43</v>
      </c>
      <c r="I861" s="2" t="s">
        <v>5854</v>
      </c>
      <c r="J861" s="2" t="s">
        <v>5855</v>
      </c>
      <c r="K861" s="2" t="s">
        <v>5856</v>
      </c>
      <c r="L861" s="2" t="s">
        <v>1867</v>
      </c>
      <c r="M861" s="2" t="s">
        <v>3416</v>
      </c>
      <c r="N861" s="2" t="s">
        <v>3358</v>
      </c>
      <c r="O861" s="2" t="s">
        <v>5857</v>
      </c>
      <c r="P861" s="2" t="s">
        <v>5858</v>
      </c>
      <c r="Q861" s="2" t="s">
        <v>33</v>
      </c>
      <c r="R861" s="2" t="s">
        <v>5859</v>
      </c>
      <c r="S861" s="2" t="s">
        <v>79</v>
      </c>
      <c r="T861" s="5">
        <v>601053680000000</v>
      </c>
      <c r="U861" s="2" t="s">
        <v>79</v>
      </c>
      <c r="V861" s="2" t="s">
        <v>80</v>
      </c>
    </row>
    <row r="862" spans="1:22">
      <c r="A862" s="2" t="s">
        <v>834</v>
      </c>
      <c r="B862" s="2" t="s">
        <v>5860</v>
      </c>
      <c r="C862" s="2" t="s">
        <v>5861</v>
      </c>
      <c r="D862" s="2">
        <v>2025</v>
      </c>
      <c r="E862" s="3">
        <v>45717</v>
      </c>
      <c r="F862" s="2" t="s">
        <v>389</v>
      </c>
      <c r="G862" s="2">
        <v>100</v>
      </c>
      <c r="H862" s="2">
        <v>2</v>
      </c>
      <c r="I862" s="2" t="s">
        <v>5862</v>
      </c>
      <c r="J862" s="2" t="s">
        <v>391</v>
      </c>
      <c r="K862" s="2" t="s">
        <v>392</v>
      </c>
      <c r="L862" s="2" t="s">
        <v>29</v>
      </c>
      <c r="M862" s="2" t="s">
        <v>1135</v>
      </c>
      <c r="N862" s="2" t="s">
        <v>196</v>
      </c>
      <c r="O862" s="2" t="s">
        <v>5610</v>
      </c>
      <c r="P862" s="2" t="s">
        <v>5863</v>
      </c>
      <c r="Q862" s="2" t="s">
        <v>33</v>
      </c>
      <c r="R862" s="2" t="s">
        <v>5864</v>
      </c>
      <c r="S862" s="2" t="s">
        <v>5613</v>
      </c>
      <c r="T862" s="2" t="s">
        <v>5865</v>
      </c>
      <c r="U862" s="2" t="s">
        <v>5866</v>
      </c>
      <c r="V862" s="2" t="s">
        <v>80</v>
      </c>
    </row>
    <row r="863" spans="1:22">
      <c r="A863" s="2" t="s">
        <v>3503</v>
      </c>
      <c r="B863" s="2" t="s">
        <v>5867</v>
      </c>
      <c r="C863" s="2" t="s">
        <v>5868</v>
      </c>
      <c r="D863" s="2">
        <v>2025</v>
      </c>
      <c r="E863" s="3">
        <v>45658</v>
      </c>
      <c r="F863" s="2" t="s">
        <v>4357</v>
      </c>
      <c r="G863" s="2" t="s">
        <v>43</v>
      </c>
      <c r="H863" s="2" t="s">
        <v>43</v>
      </c>
      <c r="I863" s="2" t="s">
        <v>43</v>
      </c>
      <c r="J863" s="2" t="s">
        <v>4358</v>
      </c>
      <c r="K863" s="2" t="s">
        <v>2893</v>
      </c>
      <c r="L863" s="2" t="s">
        <v>29</v>
      </c>
      <c r="M863" s="2" t="s">
        <v>43</v>
      </c>
      <c r="N863" s="2" t="s">
        <v>43</v>
      </c>
      <c r="O863" s="2" t="s">
        <v>43</v>
      </c>
      <c r="P863" s="2" t="s">
        <v>5869</v>
      </c>
      <c r="Q863" s="2" t="s">
        <v>2112</v>
      </c>
      <c r="R863" s="2" t="s">
        <v>5870</v>
      </c>
      <c r="S863" s="2" t="s">
        <v>3709</v>
      </c>
      <c r="T863" s="2" t="s">
        <v>5871</v>
      </c>
      <c r="U863" s="2" t="s">
        <v>5872</v>
      </c>
      <c r="V863" s="2" t="s">
        <v>80</v>
      </c>
    </row>
  </sheetData>
  <dataConsolidate/>
  <pageMargins left="0.75" right="0.75" top="1" bottom="1" header="0.5" footer="0.5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63"/>
  <sheetViews>
    <sheetView zoomScale="80" zoomScaleNormal="80" zoomScaleSheetLayoutView="40" workbookViewId="0">
      <selection sqref="A1:XFD1048576"/>
    </sheetView>
  </sheetViews>
  <sheetFormatPr baseColWidth="10" defaultColWidth="200.77734375" defaultRowHeight="14.4"/>
  <cols>
    <col min="1" max="16384" width="200.77734375" style="2"/>
  </cols>
  <sheetData>
    <row r="1" spans="1:2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00.8">
      <c r="A2" s="2" t="s">
        <v>22</v>
      </c>
      <c r="B2" s="2" t="s">
        <v>23</v>
      </c>
      <c r="C2" s="2" t="s">
        <v>24</v>
      </c>
      <c r="D2" s="2">
        <v>2024</v>
      </c>
      <c r="E2" s="3">
        <v>45292</v>
      </c>
      <c r="F2" s="2" t="s">
        <v>25</v>
      </c>
      <c r="G2" s="2">
        <v>42</v>
      </c>
      <c r="H2" s="2">
        <v>2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4">
        <v>1645</v>
      </c>
      <c r="P2" s="2" t="s">
        <v>32</v>
      </c>
      <c r="Q2" s="2" t="s">
        <v>33</v>
      </c>
      <c r="R2" s="2" t="s">
        <v>34</v>
      </c>
      <c r="S2" s="2" t="s">
        <v>35</v>
      </c>
      <c r="T2" s="2" t="s">
        <v>36</v>
      </c>
      <c r="U2" s="2" t="s">
        <v>37</v>
      </c>
      <c r="V2" s="2" t="s">
        <v>38</v>
      </c>
    </row>
    <row r="3" spans="1:22" ht="28.8">
      <c r="A3" s="2" t="s">
        <v>39</v>
      </c>
      <c r="B3" s="2" t="s">
        <v>40</v>
      </c>
      <c r="C3" s="2" t="s">
        <v>41</v>
      </c>
      <c r="D3" s="2">
        <v>2024</v>
      </c>
      <c r="E3" s="3">
        <v>45444</v>
      </c>
      <c r="F3" s="2" t="s">
        <v>42</v>
      </c>
      <c r="G3" s="2">
        <v>97</v>
      </c>
      <c r="H3" s="2" t="s">
        <v>43</v>
      </c>
      <c r="I3" s="2" t="s">
        <v>43</v>
      </c>
      <c r="J3" s="2" t="s">
        <v>44</v>
      </c>
      <c r="K3" s="2" t="s">
        <v>45</v>
      </c>
      <c r="L3" s="2" t="s">
        <v>29</v>
      </c>
      <c r="M3" s="2" t="s">
        <v>46</v>
      </c>
      <c r="N3" s="2" t="s">
        <v>47</v>
      </c>
      <c r="O3" s="4">
        <v>2947</v>
      </c>
      <c r="P3" s="2" t="s">
        <v>48</v>
      </c>
      <c r="Q3" s="2" t="s">
        <v>49</v>
      </c>
      <c r="R3" s="2" t="s">
        <v>50</v>
      </c>
      <c r="S3" s="2" t="s">
        <v>51</v>
      </c>
      <c r="T3" s="2" t="s">
        <v>52</v>
      </c>
      <c r="U3" s="2" t="s">
        <v>53</v>
      </c>
      <c r="V3" s="2" t="s">
        <v>54</v>
      </c>
    </row>
    <row r="4" spans="1:22" ht="28.8">
      <c r="A4" s="2" t="s">
        <v>55</v>
      </c>
      <c r="B4" s="2" t="s">
        <v>40</v>
      </c>
      <c r="C4" s="2" t="s">
        <v>41</v>
      </c>
      <c r="D4" s="2">
        <v>2024</v>
      </c>
      <c r="E4" s="3">
        <v>45444</v>
      </c>
      <c r="F4" s="2" t="s">
        <v>42</v>
      </c>
      <c r="G4" s="2">
        <v>97</v>
      </c>
      <c r="H4" s="2" t="s">
        <v>43</v>
      </c>
      <c r="I4" s="2" t="s">
        <v>43</v>
      </c>
      <c r="J4" s="2" t="s">
        <v>44</v>
      </c>
      <c r="K4" s="2" t="s">
        <v>45</v>
      </c>
      <c r="L4" s="2" t="s">
        <v>29</v>
      </c>
      <c r="M4" s="2" t="s">
        <v>46</v>
      </c>
      <c r="N4" s="2" t="s">
        <v>47</v>
      </c>
      <c r="O4" s="4">
        <v>2947</v>
      </c>
      <c r="P4" s="2" t="s">
        <v>48</v>
      </c>
      <c r="Q4" s="2" t="s">
        <v>49</v>
      </c>
      <c r="R4" s="2" t="s">
        <v>50</v>
      </c>
      <c r="S4" s="2" t="s">
        <v>51</v>
      </c>
      <c r="T4" s="2" t="s">
        <v>52</v>
      </c>
      <c r="U4" s="2" t="s">
        <v>53</v>
      </c>
      <c r="V4" s="2" t="s">
        <v>54</v>
      </c>
    </row>
    <row r="5" spans="1:22">
      <c r="A5" s="2" t="s">
        <v>56</v>
      </c>
      <c r="B5" s="2" t="s">
        <v>57</v>
      </c>
      <c r="C5" s="2" t="s">
        <v>58</v>
      </c>
      <c r="D5" s="2">
        <v>2024</v>
      </c>
      <c r="E5" s="3">
        <v>45536</v>
      </c>
      <c r="F5" s="2" t="s">
        <v>59</v>
      </c>
      <c r="G5" s="2">
        <v>16</v>
      </c>
      <c r="H5" s="2">
        <v>17</v>
      </c>
      <c r="I5" s="2" t="s">
        <v>43</v>
      </c>
      <c r="J5" s="2" t="s">
        <v>60</v>
      </c>
      <c r="K5" s="2" t="s">
        <v>61</v>
      </c>
      <c r="L5" s="2" t="s">
        <v>29</v>
      </c>
      <c r="M5" s="2" t="s">
        <v>62</v>
      </c>
      <c r="N5" s="2" t="s">
        <v>63</v>
      </c>
      <c r="O5" s="4">
        <v>1462</v>
      </c>
      <c r="P5" s="2" t="s">
        <v>64</v>
      </c>
      <c r="Q5" s="2" t="s">
        <v>49</v>
      </c>
      <c r="R5" s="2" t="s">
        <v>65</v>
      </c>
      <c r="S5" s="2" t="s">
        <v>66</v>
      </c>
      <c r="T5" s="2" t="s">
        <v>67</v>
      </c>
      <c r="U5" s="2" t="s">
        <v>68</v>
      </c>
      <c r="V5" s="2" t="s">
        <v>69</v>
      </c>
    </row>
    <row r="6" spans="1:22">
      <c r="A6" s="2" t="s">
        <v>70</v>
      </c>
      <c r="B6" s="2" t="s">
        <v>71</v>
      </c>
      <c r="C6" s="2" t="s">
        <v>72</v>
      </c>
      <c r="D6" s="2">
        <v>2024</v>
      </c>
      <c r="E6" s="3">
        <v>45597</v>
      </c>
      <c r="F6" s="2" t="s">
        <v>73</v>
      </c>
      <c r="G6" s="2">
        <v>25</v>
      </c>
      <c r="H6" s="2">
        <v>21</v>
      </c>
      <c r="I6" s="2" t="s">
        <v>43</v>
      </c>
      <c r="J6" s="2" t="s">
        <v>74</v>
      </c>
      <c r="K6" s="2" t="s">
        <v>61</v>
      </c>
      <c r="L6" s="2" t="s">
        <v>29</v>
      </c>
      <c r="M6" s="2" t="s">
        <v>75</v>
      </c>
      <c r="N6" s="2" t="s">
        <v>76</v>
      </c>
      <c r="O6" s="4">
        <v>1273</v>
      </c>
      <c r="P6" s="2" t="s">
        <v>77</v>
      </c>
      <c r="Q6" s="2" t="s">
        <v>49</v>
      </c>
      <c r="R6" s="2" t="s">
        <v>78</v>
      </c>
      <c r="S6" s="2" t="s">
        <v>79</v>
      </c>
      <c r="T6" s="5">
        <v>601053680000000</v>
      </c>
      <c r="U6" s="2" t="s">
        <v>79</v>
      </c>
      <c r="V6" s="2" t="s">
        <v>80</v>
      </c>
    </row>
    <row r="7" spans="1:22">
      <c r="A7" s="2" t="s">
        <v>81</v>
      </c>
      <c r="B7" s="2" t="s">
        <v>71</v>
      </c>
      <c r="C7" s="2" t="s">
        <v>72</v>
      </c>
      <c r="D7" s="2">
        <v>2024</v>
      </c>
      <c r="E7" s="3">
        <v>45597</v>
      </c>
      <c r="F7" s="2" t="s">
        <v>73</v>
      </c>
      <c r="G7" s="2">
        <v>25</v>
      </c>
      <c r="H7" s="2">
        <v>21</v>
      </c>
      <c r="I7" s="2" t="s">
        <v>43</v>
      </c>
      <c r="J7" s="2" t="s">
        <v>74</v>
      </c>
      <c r="K7" s="2" t="s">
        <v>61</v>
      </c>
      <c r="L7" s="2" t="s">
        <v>29</v>
      </c>
      <c r="M7" s="2" t="s">
        <v>75</v>
      </c>
      <c r="N7" s="2" t="s">
        <v>76</v>
      </c>
      <c r="O7" s="4">
        <v>1273</v>
      </c>
      <c r="P7" s="2" t="s">
        <v>77</v>
      </c>
      <c r="Q7" s="2" t="s">
        <v>49</v>
      </c>
      <c r="R7" s="2" t="s">
        <v>78</v>
      </c>
      <c r="S7" s="2" t="s">
        <v>79</v>
      </c>
      <c r="T7" s="5">
        <v>601053680000000</v>
      </c>
      <c r="U7" s="2" t="s">
        <v>79</v>
      </c>
      <c r="V7" s="2" t="s">
        <v>80</v>
      </c>
    </row>
    <row r="8" spans="1:22">
      <c r="A8" s="2" t="s">
        <v>82</v>
      </c>
      <c r="B8" s="2" t="s">
        <v>71</v>
      </c>
      <c r="C8" s="2" t="s">
        <v>72</v>
      </c>
      <c r="D8" s="2">
        <v>2024</v>
      </c>
      <c r="E8" s="3">
        <v>45597</v>
      </c>
      <c r="F8" s="2" t="s">
        <v>73</v>
      </c>
      <c r="G8" s="2">
        <v>25</v>
      </c>
      <c r="H8" s="2">
        <v>21</v>
      </c>
      <c r="I8" s="2" t="s">
        <v>43</v>
      </c>
      <c r="J8" s="2" t="s">
        <v>74</v>
      </c>
      <c r="K8" s="2" t="s">
        <v>61</v>
      </c>
      <c r="L8" s="2" t="s">
        <v>29</v>
      </c>
      <c r="M8" s="2" t="s">
        <v>75</v>
      </c>
      <c r="N8" s="2" t="s">
        <v>76</v>
      </c>
      <c r="O8" s="4">
        <v>1273</v>
      </c>
      <c r="P8" s="2" t="s">
        <v>77</v>
      </c>
      <c r="Q8" s="2" t="s">
        <v>49</v>
      </c>
      <c r="R8" s="2" t="s">
        <v>78</v>
      </c>
      <c r="S8" s="2" t="s">
        <v>79</v>
      </c>
      <c r="T8" s="5">
        <v>601053680000000</v>
      </c>
      <c r="U8" s="2" t="s">
        <v>79</v>
      </c>
      <c r="V8" s="2" t="s">
        <v>80</v>
      </c>
    </row>
    <row r="9" spans="1:22">
      <c r="A9" s="2" t="s">
        <v>83</v>
      </c>
      <c r="B9" s="2" t="s">
        <v>71</v>
      </c>
      <c r="C9" s="2" t="s">
        <v>72</v>
      </c>
      <c r="D9" s="2">
        <v>2024</v>
      </c>
      <c r="E9" s="3">
        <v>45597</v>
      </c>
      <c r="F9" s="2" t="s">
        <v>73</v>
      </c>
      <c r="G9" s="2">
        <v>25</v>
      </c>
      <c r="H9" s="2">
        <v>21</v>
      </c>
      <c r="I9" s="2" t="s">
        <v>43</v>
      </c>
      <c r="J9" s="2" t="s">
        <v>74</v>
      </c>
      <c r="K9" s="2" t="s">
        <v>61</v>
      </c>
      <c r="L9" s="2" t="s">
        <v>29</v>
      </c>
      <c r="M9" s="2" t="s">
        <v>75</v>
      </c>
      <c r="N9" s="2" t="s">
        <v>76</v>
      </c>
      <c r="O9" s="4">
        <v>1273</v>
      </c>
      <c r="P9" s="2" t="s">
        <v>77</v>
      </c>
      <c r="Q9" s="2" t="s">
        <v>49</v>
      </c>
      <c r="R9" s="2" t="s">
        <v>78</v>
      </c>
      <c r="S9" s="2" t="s">
        <v>79</v>
      </c>
      <c r="T9" s="5">
        <v>601053680000000</v>
      </c>
      <c r="U9" s="2" t="s">
        <v>79</v>
      </c>
      <c r="V9" s="2" t="s">
        <v>80</v>
      </c>
    </row>
    <row r="10" spans="1:22" ht="43.2">
      <c r="A10" s="2" t="s">
        <v>84</v>
      </c>
      <c r="B10" s="2" t="s">
        <v>85</v>
      </c>
      <c r="C10" s="2" t="s">
        <v>86</v>
      </c>
      <c r="D10" s="2">
        <v>2025</v>
      </c>
      <c r="E10" s="3">
        <v>45778</v>
      </c>
      <c r="F10" s="2" t="s">
        <v>87</v>
      </c>
      <c r="G10" s="2">
        <v>10</v>
      </c>
      <c r="H10" s="2">
        <v>5</v>
      </c>
      <c r="I10" s="2" t="s">
        <v>88</v>
      </c>
      <c r="J10" s="2" t="s">
        <v>89</v>
      </c>
      <c r="K10" s="2" t="s">
        <v>45</v>
      </c>
      <c r="L10" s="2" t="s">
        <v>29</v>
      </c>
      <c r="M10" s="2" t="s">
        <v>90</v>
      </c>
      <c r="N10" s="2" t="s">
        <v>47</v>
      </c>
      <c r="O10" s="4">
        <v>13113</v>
      </c>
      <c r="P10" s="2" t="s">
        <v>91</v>
      </c>
      <c r="Q10" s="2" t="s">
        <v>49</v>
      </c>
      <c r="R10" s="2" t="s">
        <v>92</v>
      </c>
      <c r="S10" s="2" t="s">
        <v>93</v>
      </c>
      <c r="T10" s="2" t="s">
        <v>94</v>
      </c>
      <c r="U10" s="2" t="s">
        <v>95</v>
      </c>
      <c r="V10" s="2" t="s">
        <v>96</v>
      </c>
    </row>
    <row r="11" spans="1:22">
      <c r="A11" s="2" t="s">
        <v>97</v>
      </c>
      <c r="B11" s="2" t="s">
        <v>98</v>
      </c>
      <c r="C11" s="2" t="s">
        <v>99</v>
      </c>
      <c r="D11" s="2">
        <v>2024</v>
      </c>
      <c r="E11" s="3">
        <v>45444</v>
      </c>
      <c r="F11" s="2" t="s">
        <v>100</v>
      </c>
      <c r="G11" s="2">
        <v>370</v>
      </c>
      <c r="H11" s="2" t="s">
        <v>43</v>
      </c>
      <c r="I11" s="2" t="s">
        <v>101</v>
      </c>
      <c r="J11" s="2" t="s">
        <v>102</v>
      </c>
      <c r="K11" s="2" t="s">
        <v>103</v>
      </c>
      <c r="L11" s="2" t="s">
        <v>29</v>
      </c>
      <c r="M11" s="2" t="s">
        <v>104</v>
      </c>
      <c r="N11" s="2" t="s">
        <v>105</v>
      </c>
      <c r="O11" s="2" t="s">
        <v>106</v>
      </c>
      <c r="P11" s="2" t="s">
        <v>107</v>
      </c>
      <c r="Q11" s="2" t="s">
        <v>33</v>
      </c>
      <c r="R11" s="2" t="s">
        <v>108</v>
      </c>
      <c r="S11" s="2" t="s">
        <v>109</v>
      </c>
      <c r="T11" s="2" t="s">
        <v>110</v>
      </c>
      <c r="U11" s="2" t="s">
        <v>111</v>
      </c>
      <c r="V11" s="2" t="s">
        <v>112</v>
      </c>
    </row>
    <row r="12" spans="1:22" ht="28.8">
      <c r="A12" s="2" t="s">
        <v>113</v>
      </c>
      <c r="B12" s="2" t="s">
        <v>114</v>
      </c>
      <c r="C12" s="2" t="s">
        <v>115</v>
      </c>
      <c r="D12" s="2">
        <v>2024</v>
      </c>
      <c r="E12" s="3">
        <v>45444</v>
      </c>
      <c r="F12" s="2" t="s">
        <v>116</v>
      </c>
      <c r="G12" s="2">
        <v>26</v>
      </c>
      <c r="H12" s="2">
        <v>3</v>
      </c>
      <c r="I12" s="2" t="s">
        <v>117</v>
      </c>
      <c r="J12" s="2" t="s">
        <v>118</v>
      </c>
      <c r="K12" s="2" t="s">
        <v>119</v>
      </c>
      <c r="L12" s="2" t="s">
        <v>29</v>
      </c>
      <c r="M12" s="2" t="s">
        <v>120</v>
      </c>
      <c r="N12" s="2" t="s">
        <v>121</v>
      </c>
      <c r="O12" s="4">
        <v>1315</v>
      </c>
      <c r="P12" s="2" t="s">
        <v>122</v>
      </c>
      <c r="Q12" s="2" t="s">
        <v>33</v>
      </c>
      <c r="R12" s="2" t="s">
        <v>123</v>
      </c>
      <c r="S12" s="2" t="s">
        <v>124</v>
      </c>
      <c r="T12" s="2" t="s">
        <v>125</v>
      </c>
      <c r="U12" s="2" t="s">
        <v>126</v>
      </c>
      <c r="V12" s="2" t="s">
        <v>127</v>
      </c>
    </row>
    <row r="13" spans="1:22">
      <c r="A13" s="2" t="s">
        <v>128</v>
      </c>
      <c r="B13" s="2" t="s">
        <v>129</v>
      </c>
      <c r="C13" s="2" t="s">
        <v>130</v>
      </c>
      <c r="D13" s="2">
        <v>2025</v>
      </c>
      <c r="E13" s="3">
        <v>45839</v>
      </c>
      <c r="F13" s="2" t="s">
        <v>131</v>
      </c>
      <c r="G13" s="2">
        <v>7</v>
      </c>
      <c r="H13" s="2" t="s">
        <v>43</v>
      </c>
      <c r="I13" s="2" t="s">
        <v>43</v>
      </c>
      <c r="J13" s="2" t="s">
        <v>132</v>
      </c>
      <c r="K13" s="2" t="s">
        <v>133</v>
      </c>
      <c r="L13" s="2" t="s">
        <v>29</v>
      </c>
      <c r="M13" s="2" t="s">
        <v>120</v>
      </c>
      <c r="N13" s="2" t="s">
        <v>134</v>
      </c>
      <c r="O13" s="2" t="s">
        <v>135</v>
      </c>
      <c r="P13" s="2" t="s">
        <v>136</v>
      </c>
      <c r="Q13" s="2" t="s">
        <v>49</v>
      </c>
      <c r="R13" s="2" t="s">
        <v>137</v>
      </c>
      <c r="S13" s="2" t="s">
        <v>138</v>
      </c>
      <c r="T13" s="2" t="s">
        <v>139</v>
      </c>
      <c r="U13" s="2" t="s">
        <v>140</v>
      </c>
      <c r="V13" s="2" t="s">
        <v>141</v>
      </c>
    </row>
    <row r="14" spans="1:22">
      <c r="A14" s="2" t="s">
        <v>128</v>
      </c>
      <c r="B14" s="2" t="s">
        <v>142</v>
      </c>
      <c r="C14" s="2" t="s">
        <v>143</v>
      </c>
      <c r="D14" s="2">
        <v>2024</v>
      </c>
      <c r="E14" s="3">
        <v>45292</v>
      </c>
      <c r="F14" s="2" t="s">
        <v>131</v>
      </c>
      <c r="G14" s="2">
        <v>4</v>
      </c>
      <c r="H14" s="2" t="s">
        <v>43</v>
      </c>
      <c r="I14" s="2" t="s">
        <v>43</v>
      </c>
      <c r="J14" s="2" t="s">
        <v>132</v>
      </c>
      <c r="K14" s="2" t="s">
        <v>133</v>
      </c>
      <c r="L14" s="2" t="s">
        <v>29</v>
      </c>
      <c r="M14" s="2" t="s">
        <v>144</v>
      </c>
      <c r="N14" s="2" t="s">
        <v>145</v>
      </c>
      <c r="O14" s="2" t="s">
        <v>146</v>
      </c>
      <c r="P14" s="2" t="s">
        <v>147</v>
      </c>
      <c r="Q14" s="2" t="s">
        <v>33</v>
      </c>
      <c r="R14" s="2" t="s">
        <v>148</v>
      </c>
      <c r="S14" s="2" t="s">
        <v>138</v>
      </c>
      <c r="T14" s="2" t="s">
        <v>149</v>
      </c>
      <c r="U14" s="2" t="s">
        <v>150</v>
      </c>
      <c r="V14" s="2" t="s">
        <v>141</v>
      </c>
    </row>
    <row r="15" spans="1:22" ht="28.8">
      <c r="A15" s="2" t="s">
        <v>39</v>
      </c>
      <c r="B15" s="2" t="s">
        <v>151</v>
      </c>
      <c r="C15" s="2" t="s">
        <v>152</v>
      </c>
      <c r="D15" s="2">
        <v>2024</v>
      </c>
      <c r="E15" s="3">
        <v>45533</v>
      </c>
      <c r="F15" s="2" t="s">
        <v>153</v>
      </c>
      <c r="G15" s="2">
        <v>44</v>
      </c>
      <c r="H15" s="2">
        <v>1</v>
      </c>
      <c r="I15" s="2" t="s">
        <v>154</v>
      </c>
      <c r="J15" s="2" t="s">
        <v>155</v>
      </c>
      <c r="K15" s="2" t="s">
        <v>156</v>
      </c>
      <c r="L15" s="2" t="s">
        <v>29</v>
      </c>
      <c r="M15" s="2" t="s">
        <v>157</v>
      </c>
      <c r="N15" s="2" t="s">
        <v>47</v>
      </c>
      <c r="O15" s="4">
        <v>4435</v>
      </c>
      <c r="P15" s="2" t="s">
        <v>158</v>
      </c>
      <c r="Q15" s="2" t="s">
        <v>49</v>
      </c>
      <c r="R15" s="2" t="s">
        <v>159</v>
      </c>
      <c r="S15" s="2" t="s">
        <v>160</v>
      </c>
      <c r="T15" s="2" t="s">
        <v>161</v>
      </c>
      <c r="U15" s="2" t="s">
        <v>162</v>
      </c>
      <c r="V15" s="2" t="s">
        <v>163</v>
      </c>
    </row>
    <row r="16" spans="1:22">
      <c r="A16" s="2" t="s">
        <v>164</v>
      </c>
      <c r="B16" s="2" t="s">
        <v>165</v>
      </c>
      <c r="C16" s="2" t="s">
        <v>166</v>
      </c>
      <c r="D16" s="2">
        <v>2024</v>
      </c>
      <c r="E16" s="3">
        <v>45597</v>
      </c>
      <c r="F16" s="2" t="s">
        <v>167</v>
      </c>
      <c r="G16" s="2">
        <v>10</v>
      </c>
      <c r="H16" s="2">
        <v>44</v>
      </c>
      <c r="I16" s="2" t="s">
        <v>43</v>
      </c>
      <c r="J16" s="2" t="s">
        <v>168</v>
      </c>
      <c r="K16" s="2" t="s">
        <v>169</v>
      </c>
      <c r="L16" s="2" t="s">
        <v>29</v>
      </c>
      <c r="M16" s="2" t="s">
        <v>170</v>
      </c>
      <c r="N16" s="2" t="s">
        <v>171</v>
      </c>
      <c r="O16" s="4">
        <v>4324</v>
      </c>
      <c r="P16" s="2" t="s">
        <v>172</v>
      </c>
      <c r="Q16" s="2" t="s">
        <v>33</v>
      </c>
      <c r="R16" s="2" t="s">
        <v>173</v>
      </c>
      <c r="S16" s="2" t="s">
        <v>174</v>
      </c>
      <c r="T16" s="2" t="s">
        <v>175</v>
      </c>
      <c r="U16" s="2" t="s">
        <v>176</v>
      </c>
      <c r="V16" s="2" t="s">
        <v>177</v>
      </c>
    </row>
    <row r="17" spans="1:22">
      <c r="A17" s="2" t="s">
        <v>178</v>
      </c>
      <c r="B17" s="2" t="s">
        <v>179</v>
      </c>
      <c r="C17" s="2" t="s">
        <v>180</v>
      </c>
      <c r="D17" s="2">
        <v>2024</v>
      </c>
      <c r="E17" s="3">
        <v>45292</v>
      </c>
      <c r="F17" s="2" t="s">
        <v>181</v>
      </c>
      <c r="G17" s="2">
        <v>9</v>
      </c>
      <c r="H17" s="2" t="s">
        <v>43</v>
      </c>
      <c r="I17" s="2" t="s">
        <v>43</v>
      </c>
      <c r="J17" s="2" t="s">
        <v>182</v>
      </c>
      <c r="K17" s="2" t="s">
        <v>183</v>
      </c>
      <c r="L17" s="2" t="s">
        <v>29</v>
      </c>
      <c r="M17" s="2" t="s">
        <v>184</v>
      </c>
      <c r="N17" s="2" t="s">
        <v>145</v>
      </c>
      <c r="O17" s="2" t="s">
        <v>185</v>
      </c>
      <c r="P17" s="2" t="s">
        <v>186</v>
      </c>
      <c r="Q17" s="2" t="s">
        <v>49</v>
      </c>
      <c r="R17" s="2" t="s">
        <v>187</v>
      </c>
      <c r="S17" s="2" t="s">
        <v>188</v>
      </c>
      <c r="T17" s="2" t="s">
        <v>189</v>
      </c>
      <c r="U17" s="2" t="s">
        <v>190</v>
      </c>
      <c r="V17" s="2" t="s">
        <v>80</v>
      </c>
    </row>
    <row r="18" spans="1:22">
      <c r="A18" s="2" t="s">
        <v>128</v>
      </c>
      <c r="B18" s="2" t="s">
        <v>191</v>
      </c>
      <c r="C18" s="2" t="s">
        <v>130</v>
      </c>
      <c r="D18" s="2">
        <v>2024</v>
      </c>
      <c r="E18" s="3">
        <v>45292</v>
      </c>
      <c r="F18" s="2" t="s">
        <v>192</v>
      </c>
      <c r="G18" s="2">
        <v>11</v>
      </c>
      <c r="H18" s="2">
        <v>1</v>
      </c>
      <c r="I18" s="2" t="s">
        <v>43</v>
      </c>
      <c r="J18" s="2" t="s">
        <v>193</v>
      </c>
      <c r="K18" s="2" t="s">
        <v>194</v>
      </c>
      <c r="L18" s="2" t="s">
        <v>29</v>
      </c>
      <c r="M18" s="2" t="s">
        <v>195</v>
      </c>
      <c r="N18" s="2" t="s">
        <v>196</v>
      </c>
      <c r="O18" s="2" t="s">
        <v>197</v>
      </c>
      <c r="P18" s="2" t="s">
        <v>198</v>
      </c>
      <c r="Q18" s="2" t="s">
        <v>33</v>
      </c>
      <c r="R18" s="2" t="s">
        <v>199</v>
      </c>
      <c r="S18" s="2" t="s">
        <v>138</v>
      </c>
      <c r="T18" s="2" t="s">
        <v>149</v>
      </c>
      <c r="U18" s="2" t="s">
        <v>150</v>
      </c>
      <c r="V18" s="2" t="s">
        <v>141</v>
      </c>
    </row>
    <row r="19" spans="1:22">
      <c r="A19" s="2" t="s">
        <v>200</v>
      </c>
      <c r="B19" s="2" t="s">
        <v>201</v>
      </c>
      <c r="C19" s="2" t="s">
        <v>202</v>
      </c>
      <c r="D19" s="2">
        <v>2024</v>
      </c>
      <c r="E19" s="3">
        <v>45292</v>
      </c>
      <c r="F19" s="2" t="s">
        <v>203</v>
      </c>
      <c r="G19" s="2">
        <v>15</v>
      </c>
      <c r="H19" s="2" t="s">
        <v>43</v>
      </c>
      <c r="I19" s="2" t="s">
        <v>43</v>
      </c>
      <c r="J19" s="2" t="s">
        <v>204</v>
      </c>
      <c r="K19" s="2" t="s">
        <v>183</v>
      </c>
      <c r="L19" s="2" t="s">
        <v>29</v>
      </c>
      <c r="M19" s="2" t="s">
        <v>205</v>
      </c>
      <c r="N19" s="2" t="s">
        <v>63</v>
      </c>
      <c r="O19" s="2" t="s">
        <v>206</v>
      </c>
      <c r="P19" s="2" t="s">
        <v>207</v>
      </c>
      <c r="Q19" s="2" t="s">
        <v>208</v>
      </c>
      <c r="R19" s="2" t="s">
        <v>209</v>
      </c>
      <c r="S19" s="2" t="s">
        <v>210</v>
      </c>
      <c r="T19" s="2" t="s">
        <v>211</v>
      </c>
      <c r="U19" s="2" t="s">
        <v>212</v>
      </c>
      <c r="V19" s="2" t="s">
        <v>213</v>
      </c>
    </row>
    <row r="20" spans="1:22" ht="43.2">
      <c r="A20" s="2" t="s">
        <v>214</v>
      </c>
      <c r="B20" s="2" t="s">
        <v>215</v>
      </c>
      <c r="C20" s="2" t="s">
        <v>216</v>
      </c>
      <c r="D20" s="2">
        <v>2025</v>
      </c>
      <c r="E20" s="3">
        <v>45687</v>
      </c>
      <c r="F20" s="2" t="s">
        <v>217</v>
      </c>
      <c r="G20" s="2">
        <v>637</v>
      </c>
      <c r="H20" s="2">
        <v>8048</v>
      </c>
      <c r="I20" s="2" t="s">
        <v>218</v>
      </c>
      <c r="J20" s="2" t="s">
        <v>219</v>
      </c>
      <c r="K20" s="2" t="s">
        <v>220</v>
      </c>
      <c r="L20" s="2" t="s">
        <v>29</v>
      </c>
      <c r="M20" s="2" t="s">
        <v>221</v>
      </c>
      <c r="N20" s="2" t="s">
        <v>47</v>
      </c>
      <c r="O20" s="4">
        <v>19713</v>
      </c>
      <c r="P20" s="2" t="s">
        <v>222</v>
      </c>
      <c r="Q20" s="2" t="s">
        <v>33</v>
      </c>
      <c r="R20" s="2" t="s">
        <v>223</v>
      </c>
      <c r="S20" s="2" t="s">
        <v>224</v>
      </c>
      <c r="T20" s="2" t="s">
        <v>225</v>
      </c>
      <c r="U20" s="2" t="s">
        <v>226</v>
      </c>
      <c r="V20" s="2" t="s">
        <v>227</v>
      </c>
    </row>
    <row r="21" spans="1:22" ht="28.8">
      <c r="A21" s="2" t="s">
        <v>228</v>
      </c>
      <c r="B21" s="2" t="s">
        <v>229</v>
      </c>
      <c r="C21" s="2" t="s">
        <v>230</v>
      </c>
      <c r="D21" s="2">
        <v>2025</v>
      </c>
      <c r="E21" s="3">
        <v>45992</v>
      </c>
      <c r="F21" s="2" t="s">
        <v>231</v>
      </c>
      <c r="G21" s="2">
        <v>29</v>
      </c>
      <c r="H21" s="2">
        <v>1</v>
      </c>
      <c r="I21" s="2" t="s">
        <v>43</v>
      </c>
      <c r="J21" s="2" t="s">
        <v>232</v>
      </c>
      <c r="K21" s="2" t="s">
        <v>233</v>
      </c>
      <c r="L21" s="2" t="s">
        <v>29</v>
      </c>
      <c r="M21" s="2" t="s">
        <v>234</v>
      </c>
      <c r="N21" s="2" t="s">
        <v>31</v>
      </c>
      <c r="O21" s="4">
        <v>3002</v>
      </c>
      <c r="P21" s="2" t="s">
        <v>235</v>
      </c>
      <c r="Q21" s="2" t="s">
        <v>49</v>
      </c>
      <c r="R21" s="2" t="s">
        <v>236</v>
      </c>
      <c r="S21" s="2" t="s">
        <v>237</v>
      </c>
      <c r="T21" s="2" t="s">
        <v>238</v>
      </c>
      <c r="U21" s="2" t="s">
        <v>239</v>
      </c>
      <c r="V21" s="2" t="s">
        <v>240</v>
      </c>
    </row>
    <row r="22" spans="1:22" ht="28.8">
      <c r="A22" s="2" t="s">
        <v>22</v>
      </c>
      <c r="B22" s="2" t="s">
        <v>241</v>
      </c>
      <c r="C22" s="2" t="s">
        <v>242</v>
      </c>
      <c r="D22" s="2">
        <v>2024</v>
      </c>
      <c r="E22" s="3">
        <v>45444</v>
      </c>
      <c r="F22" s="2" t="s">
        <v>243</v>
      </c>
      <c r="G22" s="2">
        <v>27</v>
      </c>
      <c r="H22" s="2">
        <v>6</v>
      </c>
      <c r="I22" s="2" t="s">
        <v>244</v>
      </c>
      <c r="J22" s="2" t="s">
        <v>245</v>
      </c>
      <c r="K22" s="2" t="s">
        <v>45</v>
      </c>
      <c r="L22" s="2" t="s">
        <v>29</v>
      </c>
      <c r="M22" s="2" t="s">
        <v>246</v>
      </c>
      <c r="N22" s="2" t="s">
        <v>247</v>
      </c>
      <c r="O22" s="4">
        <v>1319</v>
      </c>
      <c r="P22" s="2" t="s">
        <v>248</v>
      </c>
      <c r="Q22" s="2" t="s">
        <v>33</v>
      </c>
      <c r="R22" s="2" t="s">
        <v>249</v>
      </c>
      <c r="S22" s="2" t="s">
        <v>250</v>
      </c>
      <c r="T22" s="2" t="s">
        <v>251</v>
      </c>
      <c r="U22" s="2" t="s">
        <v>252</v>
      </c>
      <c r="V22" s="2" t="s">
        <v>253</v>
      </c>
    </row>
    <row r="23" spans="1:22" ht="28.8">
      <c r="A23" s="2" t="s">
        <v>254</v>
      </c>
      <c r="B23" s="2" t="s">
        <v>255</v>
      </c>
      <c r="C23" s="2" t="s">
        <v>256</v>
      </c>
      <c r="D23" s="2">
        <v>2025</v>
      </c>
      <c r="E23" s="3">
        <v>45778</v>
      </c>
      <c r="F23" s="2" t="s">
        <v>257</v>
      </c>
      <c r="G23" s="2">
        <v>45</v>
      </c>
      <c r="H23" s="2">
        <v>5</v>
      </c>
      <c r="I23" s="2" t="s">
        <v>43</v>
      </c>
      <c r="J23" s="2" t="s">
        <v>258</v>
      </c>
      <c r="K23" s="2" t="s">
        <v>119</v>
      </c>
      <c r="L23" s="2" t="s">
        <v>29</v>
      </c>
      <c r="M23" s="2" t="s">
        <v>259</v>
      </c>
      <c r="N23" s="2" t="s">
        <v>234</v>
      </c>
      <c r="O23" s="4">
        <v>2218</v>
      </c>
      <c r="P23" s="2" t="s">
        <v>260</v>
      </c>
      <c r="Q23" s="2" t="s">
        <v>49</v>
      </c>
      <c r="R23" s="2" t="s">
        <v>261</v>
      </c>
      <c r="S23" s="2" t="s">
        <v>262</v>
      </c>
      <c r="T23" s="2" t="s">
        <v>263</v>
      </c>
      <c r="U23" s="2" t="s">
        <v>264</v>
      </c>
      <c r="V23" s="2" t="s">
        <v>163</v>
      </c>
    </row>
    <row r="24" spans="1:22">
      <c r="A24" s="2" t="s">
        <v>265</v>
      </c>
      <c r="B24" s="2" t="s">
        <v>266</v>
      </c>
      <c r="C24" s="2" t="s">
        <v>267</v>
      </c>
      <c r="D24" s="2">
        <v>2024</v>
      </c>
      <c r="E24" s="3">
        <v>45292</v>
      </c>
      <c r="F24" s="2" t="s">
        <v>268</v>
      </c>
      <c r="G24" s="2">
        <v>13</v>
      </c>
      <c r="H24" s="2">
        <v>2</v>
      </c>
      <c r="I24" s="2" t="s">
        <v>43</v>
      </c>
      <c r="J24" s="2" t="s">
        <v>269</v>
      </c>
      <c r="K24" s="2" t="s">
        <v>61</v>
      </c>
      <c r="L24" s="2" t="s">
        <v>29</v>
      </c>
      <c r="M24" s="2" t="s">
        <v>270</v>
      </c>
      <c r="N24" s="2" t="s">
        <v>47</v>
      </c>
      <c r="O24" s="4">
        <v>1021</v>
      </c>
      <c r="P24" s="2" t="s">
        <v>271</v>
      </c>
      <c r="Q24" s="2" t="s">
        <v>33</v>
      </c>
      <c r="R24" s="2" t="s">
        <v>272</v>
      </c>
      <c r="S24" s="2" t="s">
        <v>273</v>
      </c>
      <c r="T24" s="2" t="s">
        <v>274</v>
      </c>
      <c r="U24" s="2" t="s">
        <v>273</v>
      </c>
      <c r="V24" s="2" t="s">
        <v>275</v>
      </c>
    </row>
    <row r="25" spans="1:22">
      <c r="A25" s="2" t="s">
        <v>276</v>
      </c>
      <c r="B25" s="2" t="s">
        <v>277</v>
      </c>
      <c r="C25" s="2" t="s">
        <v>278</v>
      </c>
      <c r="D25" s="2">
        <v>2024</v>
      </c>
      <c r="E25" s="3">
        <v>45536</v>
      </c>
      <c r="F25" s="2" t="s">
        <v>167</v>
      </c>
      <c r="G25" s="2">
        <v>16</v>
      </c>
      <c r="H25" s="2">
        <v>18</v>
      </c>
      <c r="I25" s="2" t="s">
        <v>43</v>
      </c>
      <c r="J25" s="2" t="s">
        <v>279</v>
      </c>
      <c r="K25" s="2" t="s">
        <v>61</v>
      </c>
      <c r="L25" s="2" t="s">
        <v>29</v>
      </c>
      <c r="M25" s="2" t="s">
        <v>280</v>
      </c>
      <c r="N25" s="2" t="s">
        <v>281</v>
      </c>
      <c r="O25" s="4">
        <v>1473</v>
      </c>
      <c r="P25" s="2" t="s">
        <v>282</v>
      </c>
      <c r="Q25" s="2" t="s">
        <v>49</v>
      </c>
      <c r="R25" s="2" t="s">
        <v>283</v>
      </c>
      <c r="S25" s="2" t="s">
        <v>284</v>
      </c>
      <c r="T25" s="2" t="s">
        <v>285</v>
      </c>
      <c r="U25" s="2" t="s">
        <v>286</v>
      </c>
      <c r="V25" s="2" t="s">
        <v>287</v>
      </c>
    </row>
    <row r="26" spans="1:22">
      <c r="A26" s="2" t="s">
        <v>128</v>
      </c>
      <c r="B26" s="2" t="s">
        <v>288</v>
      </c>
      <c r="C26" s="2" t="s">
        <v>130</v>
      </c>
      <c r="D26" s="2">
        <v>2024</v>
      </c>
      <c r="E26" s="3">
        <v>45627</v>
      </c>
      <c r="F26" s="2" t="s">
        <v>289</v>
      </c>
      <c r="G26" s="2">
        <v>12</v>
      </c>
      <c r="H26" s="2" t="s">
        <v>43</v>
      </c>
      <c r="I26" s="2" t="s">
        <v>290</v>
      </c>
      <c r="J26" s="2" t="s">
        <v>291</v>
      </c>
      <c r="K26" s="2" t="s">
        <v>45</v>
      </c>
      <c r="L26" s="2" t="s">
        <v>29</v>
      </c>
      <c r="M26" s="2" t="s">
        <v>292</v>
      </c>
      <c r="N26" s="2" t="s">
        <v>293</v>
      </c>
      <c r="O26" s="4">
        <v>1172</v>
      </c>
      <c r="P26" s="2" t="s">
        <v>294</v>
      </c>
      <c r="Q26" s="2" t="s">
        <v>33</v>
      </c>
      <c r="R26" s="2" t="s">
        <v>295</v>
      </c>
      <c r="S26" s="2" t="s">
        <v>138</v>
      </c>
      <c r="T26" s="2" t="s">
        <v>139</v>
      </c>
      <c r="U26" s="2" t="s">
        <v>140</v>
      </c>
      <c r="V26" s="2" t="s">
        <v>141</v>
      </c>
    </row>
    <row r="27" spans="1:22">
      <c r="A27" s="2" t="s">
        <v>296</v>
      </c>
      <c r="B27" s="2" t="s">
        <v>297</v>
      </c>
      <c r="C27" s="2" t="s">
        <v>298</v>
      </c>
      <c r="D27" s="2">
        <v>2024</v>
      </c>
      <c r="E27" s="3">
        <v>45292</v>
      </c>
      <c r="F27" s="2" t="s">
        <v>299</v>
      </c>
      <c r="G27" s="2">
        <v>26</v>
      </c>
      <c r="H27" s="2">
        <v>1</v>
      </c>
      <c r="I27" s="2" t="s">
        <v>300</v>
      </c>
      <c r="J27" s="2" t="s">
        <v>301</v>
      </c>
      <c r="K27" s="2" t="s">
        <v>302</v>
      </c>
      <c r="L27" s="2" t="s">
        <v>29</v>
      </c>
      <c r="M27" s="2" t="s">
        <v>303</v>
      </c>
      <c r="N27" s="2" t="s">
        <v>47</v>
      </c>
      <c r="O27" s="2" t="s">
        <v>304</v>
      </c>
      <c r="P27" s="2" t="s">
        <v>305</v>
      </c>
      <c r="Q27" s="2" t="s">
        <v>33</v>
      </c>
      <c r="R27" s="2" t="s">
        <v>306</v>
      </c>
      <c r="S27" s="2" t="s">
        <v>307</v>
      </c>
      <c r="T27" s="2" t="s">
        <v>308</v>
      </c>
      <c r="U27" s="2" t="s">
        <v>309</v>
      </c>
      <c r="V27" s="2" t="s">
        <v>310</v>
      </c>
    </row>
    <row r="28" spans="1:22" ht="28.8">
      <c r="A28" s="2" t="s">
        <v>311</v>
      </c>
      <c r="B28" s="2" t="s">
        <v>312</v>
      </c>
      <c r="C28" s="2" t="s">
        <v>313</v>
      </c>
      <c r="D28" s="2">
        <v>2025</v>
      </c>
      <c r="E28" s="3">
        <v>45839</v>
      </c>
      <c r="F28" s="2" t="s">
        <v>314</v>
      </c>
      <c r="G28" s="2">
        <v>37</v>
      </c>
      <c r="H28" s="2">
        <v>7</v>
      </c>
      <c r="I28" s="2" t="s">
        <v>315</v>
      </c>
      <c r="J28" s="2" t="s">
        <v>316</v>
      </c>
      <c r="K28" s="2" t="s">
        <v>317</v>
      </c>
      <c r="L28" s="2" t="s">
        <v>29</v>
      </c>
      <c r="M28" s="2" t="s">
        <v>318</v>
      </c>
      <c r="N28" s="2" t="s">
        <v>47</v>
      </c>
      <c r="O28" s="4">
        <v>15978</v>
      </c>
      <c r="P28" s="2" t="s">
        <v>319</v>
      </c>
      <c r="Q28" s="2" t="s">
        <v>33</v>
      </c>
      <c r="R28" s="2" t="s">
        <v>320</v>
      </c>
      <c r="S28" s="2" t="s">
        <v>321</v>
      </c>
      <c r="T28" s="2" t="s">
        <v>322</v>
      </c>
      <c r="U28" s="2" t="s">
        <v>323</v>
      </c>
      <c r="V28" s="2" t="s">
        <v>324</v>
      </c>
    </row>
    <row r="29" spans="1:22">
      <c r="A29" s="2" t="s">
        <v>325</v>
      </c>
      <c r="B29" s="2" t="s">
        <v>326</v>
      </c>
      <c r="C29" s="2" t="s">
        <v>327</v>
      </c>
      <c r="D29" s="2">
        <v>2024</v>
      </c>
      <c r="E29" s="3">
        <v>45352</v>
      </c>
      <c r="F29" s="2" t="s">
        <v>328</v>
      </c>
      <c r="G29" s="2">
        <v>12</v>
      </c>
      <c r="H29" s="2">
        <v>3</v>
      </c>
      <c r="I29" s="2" t="s">
        <v>43</v>
      </c>
      <c r="J29" s="2" t="s">
        <v>329</v>
      </c>
      <c r="K29" s="2" t="s">
        <v>61</v>
      </c>
      <c r="L29" s="2" t="s">
        <v>29</v>
      </c>
      <c r="M29" s="2" t="s">
        <v>330</v>
      </c>
      <c r="N29" s="2" t="s">
        <v>331</v>
      </c>
      <c r="O29" s="4">
        <v>1009</v>
      </c>
      <c r="P29" s="2" t="s">
        <v>332</v>
      </c>
      <c r="Q29" s="2" t="s">
        <v>33</v>
      </c>
      <c r="R29" s="2" t="s">
        <v>333</v>
      </c>
      <c r="S29" s="2" t="s">
        <v>334</v>
      </c>
      <c r="T29" s="2" t="s">
        <v>335</v>
      </c>
      <c r="U29" s="2" t="s">
        <v>336</v>
      </c>
      <c r="V29" s="2" t="s">
        <v>80</v>
      </c>
    </row>
    <row r="30" spans="1:22">
      <c r="A30" s="2" t="s">
        <v>128</v>
      </c>
      <c r="B30" s="2" t="s">
        <v>337</v>
      </c>
      <c r="C30" s="2" t="s">
        <v>130</v>
      </c>
      <c r="D30" s="2">
        <v>2025</v>
      </c>
      <c r="E30" s="3">
        <v>45748</v>
      </c>
      <c r="F30" s="2" t="s">
        <v>131</v>
      </c>
      <c r="G30" s="2">
        <v>6</v>
      </c>
      <c r="H30" s="2" t="s">
        <v>43</v>
      </c>
      <c r="I30" s="2" t="s">
        <v>43</v>
      </c>
      <c r="J30" s="2" t="s">
        <v>132</v>
      </c>
      <c r="K30" s="2" t="s">
        <v>133</v>
      </c>
      <c r="L30" s="2" t="s">
        <v>29</v>
      </c>
      <c r="M30" s="2" t="s">
        <v>120</v>
      </c>
      <c r="N30" s="2" t="s">
        <v>134</v>
      </c>
      <c r="O30" s="2" t="s">
        <v>135</v>
      </c>
      <c r="P30" s="2" t="s">
        <v>338</v>
      </c>
      <c r="Q30" s="2" t="s">
        <v>33</v>
      </c>
      <c r="R30" s="2" t="s">
        <v>339</v>
      </c>
      <c r="S30" s="2" t="s">
        <v>138</v>
      </c>
      <c r="T30" s="2" t="s">
        <v>340</v>
      </c>
      <c r="U30" s="2" t="s">
        <v>341</v>
      </c>
      <c r="V30" s="2" t="s">
        <v>141</v>
      </c>
    </row>
    <row r="31" spans="1:22">
      <c r="A31" s="2" t="s">
        <v>342</v>
      </c>
      <c r="B31" s="2" t="s">
        <v>343</v>
      </c>
      <c r="C31" s="2" t="s">
        <v>344</v>
      </c>
      <c r="D31" s="2">
        <v>2024</v>
      </c>
      <c r="E31" s="3">
        <v>45566</v>
      </c>
      <c r="F31" s="2" t="s">
        <v>345</v>
      </c>
      <c r="G31" s="2">
        <v>29</v>
      </c>
      <c r="H31" s="2">
        <v>19</v>
      </c>
      <c r="I31" s="2" t="s">
        <v>43</v>
      </c>
      <c r="J31" s="2" t="s">
        <v>346</v>
      </c>
      <c r="K31" s="2" t="s">
        <v>61</v>
      </c>
      <c r="L31" s="2" t="s">
        <v>29</v>
      </c>
      <c r="M31" s="2" t="s">
        <v>347</v>
      </c>
      <c r="N31" s="2" t="s">
        <v>348</v>
      </c>
      <c r="O31" s="2" t="s">
        <v>349</v>
      </c>
      <c r="P31" s="2" t="s">
        <v>350</v>
      </c>
      <c r="Q31" s="2" t="s">
        <v>33</v>
      </c>
      <c r="R31" s="2" t="s">
        <v>351</v>
      </c>
      <c r="S31" s="2" t="s">
        <v>352</v>
      </c>
      <c r="T31" s="2" t="s">
        <v>353</v>
      </c>
      <c r="U31" s="2" t="s">
        <v>354</v>
      </c>
      <c r="V31" s="2" t="s">
        <v>80</v>
      </c>
    </row>
    <row r="32" spans="1:22" ht="43.2">
      <c r="A32" s="2" t="s">
        <v>22</v>
      </c>
      <c r="B32" s="2" t="s">
        <v>355</v>
      </c>
      <c r="C32" s="2" t="s">
        <v>356</v>
      </c>
      <c r="D32" s="2">
        <v>2025</v>
      </c>
      <c r="E32" s="3">
        <v>45962</v>
      </c>
      <c r="F32" s="2" t="s">
        <v>357</v>
      </c>
      <c r="G32" s="2">
        <v>20</v>
      </c>
      <c r="H32" s="2">
        <v>11</v>
      </c>
      <c r="I32" s="2" t="s">
        <v>358</v>
      </c>
      <c r="J32" s="2" t="s">
        <v>359</v>
      </c>
      <c r="K32" s="2" t="s">
        <v>360</v>
      </c>
      <c r="L32" s="2" t="s">
        <v>29</v>
      </c>
      <c r="M32" s="2" t="s">
        <v>361</v>
      </c>
      <c r="N32" s="2" t="s">
        <v>121</v>
      </c>
      <c r="O32" s="4">
        <v>1833</v>
      </c>
      <c r="P32" s="2" t="s">
        <v>362</v>
      </c>
      <c r="Q32" s="2" t="s">
        <v>33</v>
      </c>
      <c r="R32" s="2" t="s">
        <v>363</v>
      </c>
      <c r="S32" s="2" t="s">
        <v>364</v>
      </c>
      <c r="T32" s="2" t="s">
        <v>365</v>
      </c>
      <c r="U32" s="2" t="s">
        <v>366</v>
      </c>
      <c r="V32" s="2" t="s">
        <v>367</v>
      </c>
    </row>
    <row r="33" spans="1:22" ht="28.8">
      <c r="A33" s="2" t="s">
        <v>368</v>
      </c>
      <c r="B33" s="2" t="s">
        <v>369</v>
      </c>
      <c r="C33" s="2" t="s">
        <v>370</v>
      </c>
      <c r="D33" s="2">
        <v>2024</v>
      </c>
      <c r="E33" s="3">
        <v>45536</v>
      </c>
      <c r="F33" s="2" t="s">
        <v>371</v>
      </c>
      <c r="G33" s="2">
        <v>240</v>
      </c>
      <c r="H33" s="2">
        <v>9</v>
      </c>
      <c r="I33" s="2" t="s">
        <v>43</v>
      </c>
      <c r="J33" s="2" t="s">
        <v>372</v>
      </c>
      <c r="K33" s="2" t="s">
        <v>119</v>
      </c>
      <c r="L33" s="2" t="s">
        <v>29</v>
      </c>
      <c r="M33" s="2" t="s">
        <v>373</v>
      </c>
      <c r="N33" s="2" t="s">
        <v>374</v>
      </c>
      <c r="O33" s="4">
        <v>1528</v>
      </c>
      <c r="P33" s="2" t="s">
        <v>375</v>
      </c>
      <c r="Q33" s="2" t="s">
        <v>33</v>
      </c>
      <c r="R33" s="2" t="s">
        <v>376</v>
      </c>
      <c r="S33" s="2" t="s">
        <v>377</v>
      </c>
      <c r="T33" s="2" t="s">
        <v>378</v>
      </c>
      <c r="U33" s="2" t="s">
        <v>379</v>
      </c>
      <c r="V33" s="2" t="s">
        <v>380</v>
      </c>
    </row>
    <row r="34" spans="1:22" ht="28.8">
      <c r="A34" s="2" t="s">
        <v>55</v>
      </c>
      <c r="B34" s="2" t="s">
        <v>369</v>
      </c>
      <c r="C34" s="2" t="s">
        <v>370</v>
      </c>
      <c r="D34" s="2">
        <v>2024</v>
      </c>
      <c r="E34" s="3">
        <v>45536</v>
      </c>
      <c r="F34" s="2" t="s">
        <v>371</v>
      </c>
      <c r="G34" s="2">
        <v>240</v>
      </c>
      <c r="H34" s="2">
        <v>9</v>
      </c>
      <c r="I34" s="2" t="s">
        <v>43</v>
      </c>
      <c r="J34" s="2" t="s">
        <v>372</v>
      </c>
      <c r="K34" s="2" t="s">
        <v>119</v>
      </c>
      <c r="L34" s="2" t="s">
        <v>29</v>
      </c>
      <c r="M34" s="2" t="s">
        <v>373</v>
      </c>
      <c r="N34" s="2" t="s">
        <v>374</v>
      </c>
      <c r="O34" s="4">
        <v>1528</v>
      </c>
      <c r="P34" s="2" t="s">
        <v>375</v>
      </c>
      <c r="Q34" s="2" t="s">
        <v>33</v>
      </c>
      <c r="R34" s="2" t="s">
        <v>376</v>
      </c>
      <c r="S34" s="2" t="s">
        <v>377</v>
      </c>
      <c r="T34" s="2" t="s">
        <v>378</v>
      </c>
      <c r="U34" s="2" t="s">
        <v>379</v>
      </c>
      <c r="V34" s="2" t="s">
        <v>380</v>
      </c>
    </row>
    <row r="35" spans="1:22" ht="28.8">
      <c r="A35" s="2" t="s">
        <v>381</v>
      </c>
      <c r="B35" s="2" t="s">
        <v>369</v>
      </c>
      <c r="C35" s="2" t="s">
        <v>370</v>
      </c>
      <c r="D35" s="2">
        <v>2024</v>
      </c>
      <c r="E35" s="3">
        <v>45536</v>
      </c>
      <c r="F35" s="2" t="s">
        <v>371</v>
      </c>
      <c r="G35" s="2">
        <v>240</v>
      </c>
      <c r="H35" s="2">
        <v>9</v>
      </c>
      <c r="I35" s="2" t="s">
        <v>43</v>
      </c>
      <c r="J35" s="2" t="s">
        <v>372</v>
      </c>
      <c r="K35" s="2" t="s">
        <v>119</v>
      </c>
      <c r="L35" s="2" t="s">
        <v>29</v>
      </c>
      <c r="M35" s="2" t="s">
        <v>373</v>
      </c>
      <c r="N35" s="2" t="s">
        <v>374</v>
      </c>
      <c r="O35" s="4">
        <v>1528</v>
      </c>
      <c r="P35" s="2" t="s">
        <v>375</v>
      </c>
      <c r="Q35" s="2" t="s">
        <v>33</v>
      </c>
      <c r="R35" s="2" t="s">
        <v>376</v>
      </c>
      <c r="S35" s="2" t="s">
        <v>377</v>
      </c>
      <c r="T35" s="2" t="s">
        <v>378</v>
      </c>
      <c r="U35" s="2" t="s">
        <v>379</v>
      </c>
      <c r="V35" s="2" t="s">
        <v>380</v>
      </c>
    </row>
    <row r="36" spans="1:22" ht="28.8">
      <c r="A36" s="2" t="s">
        <v>382</v>
      </c>
      <c r="B36" s="2" t="s">
        <v>369</v>
      </c>
      <c r="C36" s="2" t="s">
        <v>370</v>
      </c>
      <c r="D36" s="2">
        <v>2024</v>
      </c>
      <c r="E36" s="3">
        <v>45536</v>
      </c>
      <c r="F36" s="2" t="s">
        <v>371</v>
      </c>
      <c r="G36" s="2">
        <v>240</v>
      </c>
      <c r="H36" s="2">
        <v>9</v>
      </c>
      <c r="I36" s="2" t="s">
        <v>43</v>
      </c>
      <c r="J36" s="2" t="s">
        <v>372</v>
      </c>
      <c r="K36" s="2" t="s">
        <v>119</v>
      </c>
      <c r="L36" s="2" t="s">
        <v>29</v>
      </c>
      <c r="M36" s="2" t="s">
        <v>373</v>
      </c>
      <c r="N36" s="2" t="s">
        <v>374</v>
      </c>
      <c r="O36" s="4">
        <v>1528</v>
      </c>
      <c r="P36" s="2" t="s">
        <v>375</v>
      </c>
      <c r="Q36" s="2" t="s">
        <v>33</v>
      </c>
      <c r="R36" s="2" t="s">
        <v>376</v>
      </c>
      <c r="S36" s="2" t="s">
        <v>377</v>
      </c>
      <c r="T36" s="2" t="s">
        <v>378</v>
      </c>
      <c r="U36" s="2" t="s">
        <v>379</v>
      </c>
      <c r="V36" s="2" t="s">
        <v>380</v>
      </c>
    </row>
    <row r="37" spans="1:22" ht="28.8">
      <c r="A37" s="2" t="s">
        <v>383</v>
      </c>
      <c r="B37" s="2" t="s">
        <v>369</v>
      </c>
      <c r="C37" s="2" t="s">
        <v>370</v>
      </c>
      <c r="D37" s="2">
        <v>2024</v>
      </c>
      <c r="E37" s="3">
        <v>45536</v>
      </c>
      <c r="F37" s="2" t="s">
        <v>371</v>
      </c>
      <c r="G37" s="2">
        <v>240</v>
      </c>
      <c r="H37" s="2">
        <v>9</v>
      </c>
      <c r="I37" s="2" t="s">
        <v>43</v>
      </c>
      <c r="J37" s="2" t="s">
        <v>372</v>
      </c>
      <c r="K37" s="2" t="s">
        <v>119</v>
      </c>
      <c r="L37" s="2" t="s">
        <v>29</v>
      </c>
      <c r="M37" s="2" t="s">
        <v>373</v>
      </c>
      <c r="N37" s="2" t="s">
        <v>374</v>
      </c>
      <c r="O37" s="4">
        <v>1528</v>
      </c>
      <c r="P37" s="2" t="s">
        <v>375</v>
      </c>
      <c r="Q37" s="2" t="s">
        <v>33</v>
      </c>
      <c r="R37" s="2" t="s">
        <v>376</v>
      </c>
      <c r="S37" s="2" t="s">
        <v>377</v>
      </c>
      <c r="T37" s="2" t="s">
        <v>378</v>
      </c>
      <c r="U37" s="2" t="s">
        <v>379</v>
      </c>
      <c r="V37" s="2" t="s">
        <v>380</v>
      </c>
    </row>
    <row r="38" spans="1:22" ht="28.8">
      <c r="A38" s="2" t="s">
        <v>384</v>
      </c>
      <c r="B38" s="2" t="s">
        <v>369</v>
      </c>
      <c r="C38" s="2" t="s">
        <v>370</v>
      </c>
      <c r="D38" s="2">
        <v>2024</v>
      </c>
      <c r="E38" s="3">
        <v>45536</v>
      </c>
      <c r="F38" s="2" t="s">
        <v>371</v>
      </c>
      <c r="G38" s="2">
        <v>240</v>
      </c>
      <c r="H38" s="2">
        <v>9</v>
      </c>
      <c r="I38" s="2" t="s">
        <v>43</v>
      </c>
      <c r="J38" s="2" t="s">
        <v>372</v>
      </c>
      <c r="K38" s="2" t="s">
        <v>119</v>
      </c>
      <c r="L38" s="2" t="s">
        <v>29</v>
      </c>
      <c r="M38" s="2" t="s">
        <v>373</v>
      </c>
      <c r="N38" s="2" t="s">
        <v>374</v>
      </c>
      <c r="O38" s="4">
        <v>1528</v>
      </c>
      <c r="P38" s="2" t="s">
        <v>375</v>
      </c>
      <c r="Q38" s="2" t="s">
        <v>33</v>
      </c>
      <c r="R38" s="2" t="s">
        <v>376</v>
      </c>
      <c r="S38" s="2" t="s">
        <v>377</v>
      </c>
      <c r="T38" s="2" t="s">
        <v>378</v>
      </c>
      <c r="U38" s="2" t="s">
        <v>379</v>
      </c>
      <c r="V38" s="2" t="s">
        <v>380</v>
      </c>
    </row>
    <row r="39" spans="1:22" ht="28.8">
      <c r="A39" s="2" t="s">
        <v>164</v>
      </c>
      <c r="B39" s="2" t="s">
        <v>369</v>
      </c>
      <c r="C39" s="2" t="s">
        <v>370</v>
      </c>
      <c r="D39" s="2">
        <v>2024</v>
      </c>
      <c r="E39" s="3">
        <v>45536</v>
      </c>
      <c r="F39" s="2" t="s">
        <v>371</v>
      </c>
      <c r="G39" s="2">
        <v>240</v>
      </c>
      <c r="H39" s="2">
        <v>9</v>
      </c>
      <c r="I39" s="2" t="s">
        <v>43</v>
      </c>
      <c r="J39" s="2" t="s">
        <v>372</v>
      </c>
      <c r="K39" s="2" t="s">
        <v>119</v>
      </c>
      <c r="L39" s="2" t="s">
        <v>29</v>
      </c>
      <c r="M39" s="2" t="s">
        <v>373</v>
      </c>
      <c r="N39" s="2" t="s">
        <v>374</v>
      </c>
      <c r="O39" s="4">
        <v>1528</v>
      </c>
      <c r="P39" s="2" t="s">
        <v>375</v>
      </c>
      <c r="Q39" s="2" t="s">
        <v>33</v>
      </c>
      <c r="R39" s="2" t="s">
        <v>376</v>
      </c>
      <c r="S39" s="2" t="s">
        <v>377</v>
      </c>
      <c r="T39" s="2" t="s">
        <v>378</v>
      </c>
      <c r="U39" s="2" t="s">
        <v>379</v>
      </c>
      <c r="V39" s="2" t="s">
        <v>380</v>
      </c>
    </row>
    <row r="40" spans="1:22" ht="28.8">
      <c r="A40" s="2" t="s">
        <v>385</v>
      </c>
      <c r="B40" s="2" t="s">
        <v>369</v>
      </c>
      <c r="C40" s="2" t="s">
        <v>370</v>
      </c>
      <c r="D40" s="2">
        <v>2024</v>
      </c>
      <c r="E40" s="3">
        <v>45536</v>
      </c>
      <c r="F40" s="2" t="s">
        <v>371</v>
      </c>
      <c r="G40" s="2">
        <v>240</v>
      </c>
      <c r="H40" s="2">
        <v>9</v>
      </c>
      <c r="I40" s="2" t="s">
        <v>43</v>
      </c>
      <c r="J40" s="2" t="s">
        <v>372</v>
      </c>
      <c r="K40" s="2" t="s">
        <v>119</v>
      </c>
      <c r="L40" s="2" t="s">
        <v>29</v>
      </c>
      <c r="M40" s="2" t="s">
        <v>373</v>
      </c>
      <c r="N40" s="2" t="s">
        <v>374</v>
      </c>
      <c r="O40" s="4">
        <v>1528</v>
      </c>
      <c r="P40" s="2" t="s">
        <v>375</v>
      </c>
      <c r="Q40" s="2" t="s">
        <v>33</v>
      </c>
      <c r="R40" s="2" t="s">
        <v>376</v>
      </c>
      <c r="S40" s="2" t="s">
        <v>377</v>
      </c>
      <c r="T40" s="2" t="s">
        <v>378</v>
      </c>
      <c r="U40" s="2" t="s">
        <v>379</v>
      </c>
      <c r="V40" s="2" t="s">
        <v>380</v>
      </c>
    </row>
    <row r="41" spans="1:22">
      <c r="A41" s="2" t="s">
        <v>386</v>
      </c>
      <c r="B41" s="2" t="s">
        <v>387</v>
      </c>
      <c r="C41" s="2" t="s">
        <v>388</v>
      </c>
      <c r="D41" s="2">
        <v>2024</v>
      </c>
      <c r="E41" s="3">
        <v>45597</v>
      </c>
      <c r="F41" s="2" t="s">
        <v>389</v>
      </c>
      <c r="G41" s="2">
        <v>99</v>
      </c>
      <c r="H41" s="2">
        <v>6</v>
      </c>
      <c r="I41" s="2" t="s">
        <v>390</v>
      </c>
      <c r="J41" s="2" t="s">
        <v>391</v>
      </c>
      <c r="K41" s="2" t="s">
        <v>392</v>
      </c>
      <c r="L41" s="2" t="s">
        <v>29</v>
      </c>
      <c r="M41" s="2" t="s">
        <v>393</v>
      </c>
      <c r="N41" s="2" t="s">
        <v>394</v>
      </c>
      <c r="O41" s="2" t="s">
        <v>395</v>
      </c>
      <c r="P41" s="2" t="s">
        <v>396</v>
      </c>
      <c r="Q41" s="2" t="s">
        <v>49</v>
      </c>
      <c r="R41" s="2" t="s">
        <v>397</v>
      </c>
      <c r="S41" s="2" t="s">
        <v>398</v>
      </c>
      <c r="T41" s="2" t="s">
        <v>399</v>
      </c>
      <c r="U41" s="2" t="s">
        <v>400</v>
      </c>
      <c r="V41" s="2" t="s">
        <v>80</v>
      </c>
    </row>
    <row r="42" spans="1:22">
      <c r="A42" s="2" t="s">
        <v>325</v>
      </c>
      <c r="B42" s="2" t="s">
        <v>401</v>
      </c>
      <c r="C42" s="2" t="s">
        <v>402</v>
      </c>
      <c r="D42" s="2">
        <v>2024</v>
      </c>
      <c r="E42" s="3">
        <v>45383</v>
      </c>
      <c r="F42" s="2" t="s">
        <v>403</v>
      </c>
      <c r="G42" s="2">
        <v>57</v>
      </c>
      <c r="H42" s="2">
        <v>4</v>
      </c>
      <c r="I42" s="2" t="s">
        <v>404</v>
      </c>
      <c r="J42" s="2" t="s">
        <v>405</v>
      </c>
      <c r="K42" s="2" t="s">
        <v>119</v>
      </c>
      <c r="L42" s="2" t="s">
        <v>29</v>
      </c>
      <c r="M42" s="2" t="s">
        <v>406</v>
      </c>
      <c r="N42" s="2" t="s">
        <v>105</v>
      </c>
      <c r="O42" s="4">
        <v>2335</v>
      </c>
      <c r="P42" s="2" t="s">
        <v>407</v>
      </c>
      <c r="Q42" s="2" t="s">
        <v>33</v>
      </c>
      <c r="R42" s="2" t="s">
        <v>408</v>
      </c>
      <c r="S42" s="2" t="s">
        <v>409</v>
      </c>
      <c r="T42" s="2" t="s">
        <v>410</v>
      </c>
      <c r="U42" s="2" t="s">
        <v>411</v>
      </c>
      <c r="V42" s="2" t="s">
        <v>80</v>
      </c>
    </row>
    <row r="43" spans="1:22" ht="43.2">
      <c r="A43" s="2" t="s">
        <v>311</v>
      </c>
      <c r="B43" s="2" t="s">
        <v>412</v>
      </c>
      <c r="C43" s="2" t="s">
        <v>413</v>
      </c>
      <c r="D43" s="2">
        <v>2024</v>
      </c>
      <c r="E43" s="3">
        <v>45627</v>
      </c>
      <c r="F43" s="2" t="s">
        <v>167</v>
      </c>
      <c r="G43" s="2">
        <v>15</v>
      </c>
      <c r="H43" s="2">
        <v>1</v>
      </c>
      <c r="I43" s="2" t="s">
        <v>43</v>
      </c>
      <c r="J43" s="2" t="s">
        <v>414</v>
      </c>
      <c r="K43" s="2" t="s">
        <v>220</v>
      </c>
      <c r="L43" s="2" t="s">
        <v>29</v>
      </c>
      <c r="M43" s="2" t="s">
        <v>415</v>
      </c>
      <c r="N43" s="2" t="s">
        <v>31</v>
      </c>
      <c r="O43" s="4">
        <v>4761</v>
      </c>
      <c r="P43" s="2" t="s">
        <v>416</v>
      </c>
      <c r="Q43" s="2" t="s">
        <v>33</v>
      </c>
      <c r="R43" s="2" t="s">
        <v>417</v>
      </c>
      <c r="S43" s="2" t="s">
        <v>418</v>
      </c>
      <c r="T43" s="2" t="s">
        <v>419</v>
      </c>
      <c r="U43" s="2" t="s">
        <v>420</v>
      </c>
      <c r="V43" s="2" t="s">
        <v>421</v>
      </c>
    </row>
    <row r="44" spans="1:22">
      <c r="A44" s="2" t="s">
        <v>422</v>
      </c>
      <c r="B44" s="2" t="s">
        <v>423</v>
      </c>
      <c r="C44" s="2" t="s">
        <v>424</v>
      </c>
      <c r="D44" s="2">
        <v>2024</v>
      </c>
      <c r="E44" s="3">
        <v>45292</v>
      </c>
      <c r="F44" s="2" t="s">
        <v>425</v>
      </c>
      <c r="G44" s="2">
        <v>26</v>
      </c>
      <c r="H44" s="2">
        <v>1</v>
      </c>
      <c r="I44" s="2" t="s">
        <v>426</v>
      </c>
      <c r="J44" s="2" t="s">
        <v>427</v>
      </c>
      <c r="K44" s="2" t="s">
        <v>194</v>
      </c>
      <c r="L44" s="2" t="s">
        <v>29</v>
      </c>
      <c r="M44" s="2" t="s">
        <v>304</v>
      </c>
      <c r="N44" s="2" t="s">
        <v>428</v>
      </c>
      <c r="O44" s="2" t="s">
        <v>197</v>
      </c>
      <c r="P44" s="2" t="s">
        <v>429</v>
      </c>
      <c r="Q44" s="2" t="s">
        <v>49</v>
      </c>
      <c r="R44" s="2" t="s">
        <v>430</v>
      </c>
      <c r="S44" s="2" t="s">
        <v>79</v>
      </c>
      <c r="T44" s="2" t="s">
        <v>431</v>
      </c>
      <c r="U44" s="2" t="s">
        <v>432</v>
      </c>
      <c r="V44" s="2" t="s">
        <v>80</v>
      </c>
    </row>
    <row r="45" spans="1:22" ht="43.2">
      <c r="A45" s="2" t="s">
        <v>433</v>
      </c>
      <c r="B45" s="2" t="s">
        <v>434</v>
      </c>
      <c r="C45" s="2" t="s">
        <v>435</v>
      </c>
      <c r="D45" s="2">
        <v>2024</v>
      </c>
      <c r="E45" s="3">
        <v>45400</v>
      </c>
      <c r="F45" s="2" t="s">
        <v>436</v>
      </c>
      <c r="G45" s="2">
        <v>11</v>
      </c>
      <c r="H45" s="2">
        <v>1</v>
      </c>
      <c r="I45" s="2" t="s">
        <v>43</v>
      </c>
      <c r="J45" s="2" t="s">
        <v>437</v>
      </c>
      <c r="K45" s="2" t="s">
        <v>438</v>
      </c>
      <c r="L45" s="2" t="s">
        <v>29</v>
      </c>
      <c r="M45" s="2" t="s">
        <v>439</v>
      </c>
      <c r="N45" s="2" t="s">
        <v>440</v>
      </c>
      <c r="O45" s="4">
        <v>1106</v>
      </c>
      <c r="P45" s="2" t="s">
        <v>441</v>
      </c>
      <c r="Q45" s="2" t="s">
        <v>33</v>
      </c>
      <c r="R45" s="2" t="s">
        <v>442</v>
      </c>
      <c r="S45" s="2" t="s">
        <v>443</v>
      </c>
      <c r="T45" s="2" t="s">
        <v>444</v>
      </c>
      <c r="U45" s="2" t="s">
        <v>445</v>
      </c>
      <c r="V45" s="2" t="s">
        <v>446</v>
      </c>
    </row>
    <row r="46" spans="1:22">
      <c r="A46" s="2" t="s">
        <v>113</v>
      </c>
      <c r="B46" s="2" t="s">
        <v>447</v>
      </c>
      <c r="C46" s="2" t="s">
        <v>448</v>
      </c>
      <c r="D46" s="2">
        <v>2024</v>
      </c>
      <c r="E46" s="3">
        <v>45505</v>
      </c>
      <c r="F46" s="2" t="s">
        <v>449</v>
      </c>
      <c r="G46" s="2">
        <v>10</v>
      </c>
      <c r="H46" s="2">
        <v>4</v>
      </c>
      <c r="I46" s="2" t="s">
        <v>43</v>
      </c>
      <c r="J46" s="2" t="s">
        <v>450</v>
      </c>
      <c r="K46" s="2" t="s">
        <v>119</v>
      </c>
      <c r="L46" s="2" t="s">
        <v>29</v>
      </c>
      <c r="M46" s="2" t="s">
        <v>195</v>
      </c>
      <c r="N46" s="2" t="s">
        <v>451</v>
      </c>
      <c r="O46" s="2" t="s">
        <v>452</v>
      </c>
      <c r="P46" s="2" t="s">
        <v>453</v>
      </c>
      <c r="Q46" s="2" t="s">
        <v>33</v>
      </c>
      <c r="R46" s="2" t="s">
        <v>454</v>
      </c>
      <c r="S46" s="2" t="s">
        <v>455</v>
      </c>
      <c r="T46" s="2" t="s">
        <v>456</v>
      </c>
      <c r="U46" s="2" t="s">
        <v>457</v>
      </c>
      <c r="V46" s="2" t="s">
        <v>458</v>
      </c>
    </row>
    <row r="47" spans="1:22">
      <c r="A47" s="2" t="s">
        <v>97</v>
      </c>
      <c r="B47" s="2" t="s">
        <v>459</v>
      </c>
      <c r="C47" s="2" t="s">
        <v>460</v>
      </c>
      <c r="D47" s="2">
        <v>2024</v>
      </c>
      <c r="E47" s="3">
        <v>45444</v>
      </c>
      <c r="F47" s="2" t="s">
        <v>461</v>
      </c>
      <c r="G47" s="2">
        <v>12</v>
      </c>
      <c r="H47" s="2">
        <v>3</v>
      </c>
      <c r="I47" s="2" t="s">
        <v>43</v>
      </c>
      <c r="J47" s="2" t="s">
        <v>462</v>
      </c>
      <c r="K47" s="2" t="s">
        <v>45</v>
      </c>
      <c r="L47" s="2" t="s">
        <v>29</v>
      </c>
      <c r="M47" s="2" t="s">
        <v>463</v>
      </c>
      <c r="N47" s="2" t="s">
        <v>464</v>
      </c>
      <c r="O47" s="4">
        <v>1454</v>
      </c>
      <c r="P47" s="2" t="s">
        <v>465</v>
      </c>
      <c r="Q47" s="2" t="s">
        <v>33</v>
      </c>
      <c r="R47" s="2" t="s">
        <v>466</v>
      </c>
      <c r="S47" s="2" t="s">
        <v>467</v>
      </c>
      <c r="T47" s="2" t="s">
        <v>468</v>
      </c>
      <c r="U47" s="2" t="s">
        <v>469</v>
      </c>
      <c r="V47" s="2" t="s">
        <v>80</v>
      </c>
    </row>
    <row r="48" spans="1:22">
      <c r="A48" s="2" t="s">
        <v>470</v>
      </c>
      <c r="B48" s="2" t="s">
        <v>471</v>
      </c>
      <c r="C48" s="2" t="s">
        <v>472</v>
      </c>
      <c r="D48" s="2">
        <v>2025</v>
      </c>
      <c r="E48" s="3">
        <v>45658</v>
      </c>
      <c r="F48" s="2" t="s">
        <v>473</v>
      </c>
      <c r="G48" s="2">
        <v>16</v>
      </c>
      <c r="H48" s="2" t="s">
        <v>43</v>
      </c>
      <c r="I48" s="2" t="s">
        <v>43</v>
      </c>
      <c r="J48" s="2" t="s">
        <v>474</v>
      </c>
      <c r="K48" s="2" t="s">
        <v>183</v>
      </c>
      <c r="L48" s="2" t="s">
        <v>29</v>
      </c>
      <c r="M48" s="2" t="s">
        <v>475</v>
      </c>
      <c r="N48" s="2" t="s">
        <v>476</v>
      </c>
      <c r="O48" s="4">
        <v>1964</v>
      </c>
      <c r="P48" s="2" t="s">
        <v>477</v>
      </c>
      <c r="Q48" s="2" t="s">
        <v>208</v>
      </c>
      <c r="R48" s="2" t="s">
        <v>478</v>
      </c>
      <c r="S48" s="2" t="s">
        <v>479</v>
      </c>
      <c r="T48" s="2" t="s">
        <v>480</v>
      </c>
      <c r="U48" s="2" t="s">
        <v>481</v>
      </c>
      <c r="V48" s="2" t="s">
        <v>80</v>
      </c>
    </row>
    <row r="49" spans="1:22" ht="28.8">
      <c r="A49" s="2" t="s">
        <v>22</v>
      </c>
      <c r="B49" s="2" t="s">
        <v>482</v>
      </c>
      <c r="C49" s="2" t="s">
        <v>483</v>
      </c>
      <c r="D49" s="2">
        <v>2024</v>
      </c>
      <c r="E49" s="3">
        <v>45444</v>
      </c>
      <c r="F49" s="2" t="s">
        <v>357</v>
      </c>
      <c r="G49" s="2">
        <v>19</v>
      </c>
      <c r="H49" s="2">
        <v>6</v>
      </c>
      <c r="I49" s="2" t="s">
        <v>484</v>
      </c>
      <c r="J49" s="2" t="s">
        <v>359</v>
      </c>
      <c r="K49" s="2" t="s">
        <v>360</v>
      </c>
      <c r="L49" s="2" t="s">
        <v>29</v>
      </c>
      <c r="M49" s="2" t="s">
        <v>485</v>
      </c>
      <c r="N49" s="2" t="s">
        <v>76</v>
      </c>
      <c r="O49" s="2" t="s">
        <v>486</v>
      </c>
      <c r="P49" s="2" t="s">
        <v>487</v>
      </c>
      <c r="Q49" s="2" t="s">
        <v>33</v>
      </c>
      <c r="R49" s="2" t="s">
        <v>488</v>
      </c>
      <c r="S49" s="2" t="s">
        <v>489</v>
      </c>
      <c r="T49" s="2" t="s">
        <v>490</v>
      </c>
      <c r="U49" s="2" t="s">
        <v>491</v>
      </c>
      <c r="V49" s="2" t="s">
        <v>492</v>
      </c>
    </row>
    <row r="50" spans="1:22" ht="43.2">
      <c r="A50" s="2" t="s">
        <v>493</v>
      </c>
      <c r="B50" s="2" t="s">
        <v>494</v>
      </c>
      <c r="C50" s="2" t="s">
        <v>495</v>
      </c>
      <c r="D50" s="2">
        <v>2024</v>
      </c>
      <c r="E50" s="3">
        <v>45627</v>
      </c>
      <c r="F50" s="2" t="s">
        <v>496</v>
      </c>
      <c r="G50" s="2">
        <v>10</v>
      </c>
      <c r="H50" s="2">
        <v>1</v>
      </c>
      <c r="I50" s="2" t="s">
        <v>43</v>
      </c>
      <c r="J50" s="2" t="s">
        <v>497</v>
      </c>
      <c r="K50" s="2" t="s">
        <v>220</v>
      </c>
      <c r="L50" s="2" t="s">
        <v>29</v>
      </c>
      <c r="M50" s="2" t="s">
        <v>475</v>
      </c>
      <c r="N50" s="2" t="s">
        <v>498</v>
      </c>
      <c r="O50" s="4">
        <v>2914</v>
      </c>
      <c r="P50" s="2" t="s">
        <v>499</v>
      </c>
      <c r="Q50" s="2" t="s">
        <v>33</v>
      </c>
      <c r="R50" s="2" t="s">
        <v>500</v>
      </c>
      <c r="S50" s="2" t="s">
        <v>501</v>
      </c>
      <c r="T50" s="2" t="s">
        <v>502</v>
      </c>
      <c r="U50" s="2" t="s">
        <v>503</v>
      </c>
      <c r="V50" s="2" t="s">
        <v>504</v>
      </c>
    </row>
    <row r="51" spans="1:22">
      <c r="A51" s="2" t="s">
        <v>505</v>
      </c>
      <c r="B51" s="2" t="s">
        <v>506</v>
      </c>
      <c r="C51" s="2" t="s">
        <v>507</v>
      </c>
      <c r="D51" s="2">
        <v>2024</v>
      </c>
      <c r="E51" s="3">
        <v>45474</v>
      </c>
      <c r="F51" s="2" t="s">
        <v>508</v>
      </c>
      <c r="G51" s="2">
        <v>16</v>
      </c>
      <c r="H51" s="2">
        <v>13</v>
      </c>
      <c r="I51" s="2" t="s">
        <v>43</v>
      </c>
      <c r="J51" s="2" t="s">
        <v>279</v>
      </c>
      <c r="K51" s="2" t="s">
        <v>61</v>
      </c>
      <c r="L51" s="2" t="s">
        <v>29</v>
      </c>
      <c r="M51" s="2" t="s">
        <v>280</v>
      </c>
      <c r="N51" s="2" t="s">
        <v>281</v>
      </c>
      <c r="O51" s="4">
        <v>1473</v>
      </c>
      <c r="P51" s="2" t="s">
        <v>509</v>
      </c>
      <c r="Q51" s="2" t="s">
        <v>49</v>
      </c>
      <c r="R51" s="2" t="s">
        <v>510</v>
      </c>
      <c r="S51" s="2" t="s">
        <v>511</v>
      </c>
      <c r="T51" s="2" t="s">
        <v>512</v>
      </c>
      <c r="U51" s="2" t="s">
        <v>511</v>
      </c>
      <c r="V51" s="2" t="s">
        <v>80</v>
      </c>
    </row>
    <row r="52" spans="1:22">
      <c r="A52" s="2" t="s">
        <v>513</v>
      </c>
      <c r="B52" s="2" t="s">
        <v>506</v>
      </c>
      <c r="C52" s="2" t="s">
        <v>507</v>
      </c>
      <c r="D52" s="2">
        <v>2024</v>
      </c>
      <c r="E52" s="3">
        <v>45474</v>
      </c>
      <c r="F52" s="2" t="s">
        <v>508</v>
      </c>
      <c r="G52" s="2">
        <v>16</v>
      </c>
      <c r="H52" s="2">
        <v>13</v>
      </c>
      <c r="I52" s="2" t="s">
        <v>43</v>
      </c>
      <c r="J52" s="2" t="s">
        <v>279</v>
      </c>
      <c r="K52" s="2" t="s">
        <v>61</v>
      </c>
      <c r="L52" s="2" t="s">
        <v>29</v>
      </c>
      <c r="M52" s="2" t="s">
        <v>280</v>
      </c>
      <c r="N52" s="2" t="s">
        <v>281</v>
      </c>
      <c r="O52" s="4">
        <v>1473</v>
      </c>
      <c r="P52" s="2" t="s">
        <v>509</v>
      </c>
      <c r="Q52" s="2" t="s">
        <v>49</v>
      </c>
      <c r="R52" s="2" t="s">
        <v>510</v>
      </c>
      <c r="S52" s="2" t="s">
        <v>511</v>
      </c>
      <c r="T52" s="2" t="s">
        <v>512</v>
      </c>
      <c r="U52" s="2" t="s">
        <v>511</v>
      </c>
      <c r="V52" s="2" t="s">
        <v>80</v>
      </c>
    </row>
    <row r="53" spans="1:22">
      <c r="A53" s="2" t="s">
        <v>82</v>
      </c>
      <c r="B53" s="2" t="s">
        <v>506</v>
      </c>
      <c r="C53" s="2" t="s">
        <v>507</v>
      </c>
      <c r="D53" s="2">
        <v>2024</v>
      </c>
      <c r="E53" s="3">
        <v>45474</v>
      </c>
      <c r="F53" s="2" t="s">
        <v>508</v>
      </c>
      <c r="G53" s="2">
        <v>16</v>
      </c>
      <c r="H53" s="2">
        <v>13</v>
      </c>
      <c r="I53" s="2" t="s">
        <v>43</v>
      </c>
      <c r="J53" s="2" t="s">
        <v>279</v>
      </c>
      <c r="K53" s="2" t="s">
        <v>61</v>
      </c>
      <c r="L53" s="2" t="s">
        <v>29</v>
      </c>
      <c r="M53" s="2" t="s">
        <v>280</v>
      </c>
      <c r="N53" s="2" t="s">
        <v>281</v>
      </c>
      <c r="O53" s="4">
        <v>1473</v>
      </c>
      <c r="P53" s="2" t="s">
        <v>509</v>
      </c>
      <c r="Q53" s="2" t="s">
        <v>49</v>
      </c>
      <c r="R53" s="2" t="s">
        <v>510</v>
      </c>
      <c r="S53" s="2" t="s">
        <v>511</v>
      </c>
      <c r="T53" s="2" t="s">
        <v>512</v>
      </c>
      <c r="U53" s="2" t="s">
        <v>511</v>
      </c>
      <c r="V53" s="2" t="s">
        <v>80</v>
      </c>
    </row>
    <row r="54" spans="1:22">
      <c r="A54" s="2" t="s">
        <v>83</v>
      </c>
      <c r="B54" s="2" t="s">
        <v>506</v>
      </c>
      <c r="C54" s="2" t="s">
        <v>507</v>
      </c>
      <c r="D54" s="2">
        <v>2024</v>
      </c>
      <c r="E54" s="3">
        <v>45474</v>
      </c>
      <c r="F54" s="2" t="s">
        <v>508</v>
      </c>
      <c r="G54" s="2">
        <v>16</v>
      </c>
      <c r="H54" s="2">
        <v>13</v>
      </c>
      <c r="I54" s="2" t="s">
        <v>43</v>
      </c>
      <c r="J54" s="2" t="s">
        <v>279</v>
      </c>
      <c r="K54" s="2" t="s">
        <v>61</v>
      </c>
      <c r="L54" s="2" t="s">
        <v>29</v>
      </c>
      <c r="M54" s="2" t="s">
        <v>280</v>
      </c>
      <c r="N54" s="2" t="s">
        <v>281</v>
      </c>
      <c r="O54" s="4">
        <v>1473</v>
      </c>
      <c r="P54" s="2" t="s">
        <v>509</v>
      </c>
      <c r="Q54" s="2" t="s">
        <v>49</v>
      </c>
      <c r="R54" s="2" t="s">
        <v>510</v>
      </c>
      <c r="S54" s="2" t="s">
        <v>511</v>
      </c>
      <c r="T54" s="2" t="s">
        <v>512</v>
      </c>
      <c r="U54" s="2" t="s">
        <v>511</v>
      </c>
      <c r="V54" s="2" t="s">
        <v>80</v>
      </c>
    </row>
    <row r="55" spans="1:22">
      <c r="A55" s="2" t="s">
        <v>514</v>
      </c>
      <c r="B55" s="2" t="s">
        <v>515</v>
      </c>
      <c r="C55" s="2" t="s">
        <v>516</v>
      </c>
      <c r="D55" s="2">
        <v>2024</v>
      </c>
      <c r="E55" s="3">
        <v>45627</v>
      </c>
      <c r="F55" s="2" t="s">
        <v>517</v>
      </c>
      <c r="G55" s="2">
        <v>15</v>
      </c>
      <c r="H55" s="2">
        <v>1</v>
      </c>
      <c r="I55" s="2" t="s">
        <v>43</v>
      </c>
      <c r="J55" s="2" t="s">
        <v>414</v>
      </c>
      <c r="K55" s="2" t="s">
        <v>220</v>
      </c>
      <c r="L55" s="2" t="s">
        <v>29</v>
      </c>
      <c r="M55" s="2" t="s">
        <v>415</v>
      </c>
      <c r="N55" s="2" t="s">
        <v>31</v>
      </c>
      <c r="O55" s="4">
        <v>4761</v>
      </c>
      <c r="P55" s="2" t="s">
        <v>518</v>
      </c>
      <c r="Q55" s="2" t="s">
        <v>33</v>
      </c>
      <c r="R55" s="2" t="s">
        <v>519</v>
      </c>
      <c r="S55" s="2" t="s">
        <v>520</v>
      </c>
      <c r="T55" s="2" t="s">
        <v>521</v>
      </c>
      <c r="U55" s="2" t="s">
        <v>522</v>
      </c>
      <c r="V55" s="2" t="s">
        <v>523</v>
      </c>
    </row>
    <row r="56" spans="1:22">
      <c r="A56" s="2" t="s">
        <v>178</v>
      </c>
      <c r="B56" s="2" t="s">
        <v>524</v>
      </c>
      <c r="C56" s="2" t="s">
        <v>180</v>
      </c>
      <c r="D56" s="2">
        <v>2025</v>
      </c>
      <c r="E56" s="3">
        <v>45768</v>
      </c>
      <c r="F56" s="2" t="s">
        <v>525</v>
      </c>
      <c r="G56" s="2">
        <v>26</v>
      </c>
      <c r="H56" s="2">
        <v>4</v>
      </c>
      <c r="I56" s="2" t="s">
        <v>526</v>
      </c>
      <c r="J56" s="2" t="s">
        <v>527</v>
      </c>
      <c r="K56" s="2" t="s">
        <v>528</v>
      </c>
      <c r="L56" s="2" t="s">
        <v>29</v>
      </c>
      <c r="M56" s="2" t="s">
        <v>529</v>
      </c>
      <c r="N56" s="2" t="s">
        <v>464</v>
      </c>
      <c r="O56" s="4">
        <v>1014</v>
      </c>
      <c r="P56" s="2" t="s">
        <v>530</v>
      </c>
      <c r="Q56" s="2" t="s">
        <v>33</v>
      </c>
      <c r="R56" s="2" t="s">
        <v>531</v>
      </c>
      <c r="S56" s="2" t="s">
        <v>532</v>
      </c>
      <c r="T56" s="2" t="s">
        <v>533</v>
      </c>
      <c r="U56" s="2" t="s">
        <v>534</v>
      </c>
      <c r="V56" s="2" t="s">
        <v>80</v>
      </c>
    </row>
    <row r="57" spans="1:22" ht="28.8">
      <c r="A57" s="2" t="s">
        <v>113</v>
      </c>
      <c r="B57" s="2" t="s">
        <v>535</v>
      </c>
      <c r="C57" s="2" t="s">
        <v>536</v>
      </c>
      <c r="D57" s="2">
        <v>2024</v>
      </c>
      <c r="E57" s="3">
        <v>45383</v>
      </c>
      <c r="F57" s="2" t="s">
        <v>116</v>
      </c>
      <c r="G57" s="2">
        <v>26</v>
      </c>
      <c r="H57" s="2">
        <v>2</v>
      </c>
      <c r="I57" s="2" t="s">
        <v>537</v>
      </c>
      <c r="J57" s="2" t="s">
        <v>118</v>
      </c>
      <c r="K57" s="2" t="s">
        <v>119</v>
      </c>
      <c r="L57" s="2" t="s">
        <v>29</v>
      </c>
      <c r="M57" s="2" t="s">
        <v>120</v>
      </c>
      <c r="N57" s="2" t="s">
        <v>121</v>
      </c>
      <c r="O57" s="4">
        <v>1315</v>
      </c>
      <c r="P57" s="2" t="s">
        <v>538</v>
      </c>
      <c r="Q57" s="2" t="s">
        <v>33</v>
      </c>
      <c r="R57" s="2" t="s">
        <v>539</v>
      </c>
      <c r="S57" s="2" t="s">
        <v>540</v>
      </c>
      <c r="T57" s="2" t="s">
        <v>541</v>
      </c>
      <c r="U57" s="2" t="s">
        <v>542</v>
      </c>
      <c r="V57" s="2" t="s">
        <v>543</v>
      </c>
    </row>
    <row r="58" spans="1:22" ht="28.8">
      <c r="B58" s="2" t="s">
        <v>544</v>
      </c>
      <c r="C58" s="2" t="s">
        <v>545</v>
      </c>
      <c r="D58" s="2">
        <v>2024</v>
      </c>
      <c r="E58" s="3">
        <v>45292</v>
      </c>
      <c r="F58" s="2" t="s">
        <v>203</v>
      </c>
      <c r="G58" s="2">
        <v>15</v>
      </c>
      <c r="H58" s="2" t="s">
        <v>43</v>
      </c>
      <c r="I58" s="2" t="s">
        <v>43</v>
      </c>
      <c r="J58" s="2" t="s">
        <v>204</v>
      </c>
      <c r="K58" s="2" t="s">
        <v>183</v>
      </c>
      <c r="L58" s="2" t="s">
        <v>29</v>
      </c>
      <c r="M58" s="2" t="s">
        <v>205</v>
      </c>
      <c r="N58" s="2" t="s">
        <v>63</v>
      </c>
      <c r="O58" s="2" t="s">
        <v>206</v>
      </c>
      <c r="P58" s="2" t="s">
        <v>546</v>
      </c>
      <c r="Q58" s="2" t="s">
        <v>33</v>
      </c>
      <c r="R58" s="2" t="s">
        <v>547</v>
      </c>
      <c r="S58" s="2" t="s">
        <v>548</v>
      </c>
      <c r="T58" s="2" t="s">
        <v>549</v>
      </c>
      <c r="U58" s="2" t="s">
        <v>550</v>
      </c>
      <c r="V58" s="2" t="s">
        <v>551</v>
      </c>
    </row>
    <row r="59" spans="1:22" ht="28.8">
      <c r="A59" s="2" t="s">
        <v>276</v>
      </c>
      <c r="B59" s="2" t="s">
        <v>552</v>
      </c>
      <c r="C59" s="2" t="s">
        <v>553</v>
      </c>
      <c r="D59" s="2">
        <v>2025</v>
      </c>
      <c r="E59" s="3">
        <v>45809</v>
      </c>
      <c r="F59" s="2" t="s">
        <v>73</v>
      </c>
      <c r="G59" s="2">
        <v>26</v>
      </c>
      <c r="H59" s="2">
        <v>12</v>
      </c>
      <c r="I59" s="2" t="s">
        <v>43</v>
      </c>
      <c r="J59" s="2" t="s">
        <v>74</v>
      </c>
      <c r="K59" s="2" t="s">
        <v>61</v>
      </c>
      <c r="L59" s="2" t="s">
        <v>29</v>
      </c>
      <c r="M59" s="2" t="s">
        <v>76</v>
      </c>
      <c r="N59" s="2" t="s">
        <v>76</v>
      </c>
      <c r="O59" s="4">
        <v>1316</v>
      </c>
      <c r="P59" s="2" t="s">
        <v>554</v>
      </c>
      <c r="Q59" s="2" t="s">
        <v>49</v>
      </c>
      <c r="R59" s="2" t="s">
        <v>555</v>
      </c>
      <c r="S59" s="2" t="s">
        <v>556</v>
      </c>
      <c r="T59" s="2" t="s">
        <v>557</v>
      </c>
      <c r="U59" s="2" t="s">
        <v>558</v>
      </c>
      <c r="V59" s="2" t="s">
        <v>559</v>
      </c>
    </row>
    <row r="60" spans="1:22" ht="115.2">
      <c r="A60" s="2" t="s">
        <v>560</v>
      </c>
      <c r="B60" s="2" t="s">
        <v>561</v>
      </c>
      <c r="C60" s="2" t="s">
        <v>562</v>
      </c>
      <c r="D60" s="2">
        <v>2024</v>
      </c>
      <c r="E60" s="3">
        <v>45474</v>
      </c>
      <c r="F60" s="2" t="s">
        <v>563</v>
      </c>
      <c r="G60" s="2">
        <v>25</v>
      </c>
      <c r="H60" s="2">
        <v>7</v>
      </c>
      <c r="I60" s="2" t="s">
        <v>564</v>
      </c>
      <c r="J60" s="2" t="s">
        <v>565</v>
      </c>
      <c r="K60" s="2" t="s">
        <v>566</v>
      </c>
      <c r="L60" s="2" t="s">
        <v>29</v>
      </c>
      <c r="M60" s="2" t="s">
        <v>567</v>
      </c>
      <c r="N60" s="2" t="s">
        <v>498</v>
      </c>
      <c r="O60" s="4">
        <v>1028</v>
      </c>
      <c r="P60" s="2" t="s">
        <v>568</v>
      </c>
      <c r="Q60" s="2" t="s">
        <v>33</v>
      </c>
      <c r="R60" s="2" t="s">
        <v>569</v>
      </c>
      <c r="S60" s="2" t="s">
        <v>570</v>
      </c>
      <c r="T60" s="2" t="s">
        <v>571</v>
      </c>
      <c r="U60" s="2" t="s">
        <v>572</v>
      </c>
      <c r="V60" s="2" t="s">
        <v>573</v>
      </c>
    </row>
    <row r="61" spans="1:22">
      <c r="A61" s="2" t="s">
        <v>113</v>
      </c>
      <c r="B61" s="2" t="s">
        <v>574</v>
      </c>
      <c r="C61" s="2" t="s">
        <v>575</v>
      </c>
      <c r="D61" s="2">
        <v>2024</v>
      </c>
      <c r="E61" s="3">
        <v>45597</v>
      </c>
      <c r="F61" s="2" t="s">
        <v>576</v>
      </c>
      <c r="G61" s="2">
        <v>35</v>
      </c>
      <c r="H61" s="2">
        <v>11</v>
      </c>
      <c r="I61" s="2" t="s">
        <v>577</v>
      </c>
      <c r="J61" s="2" t="s">
        <v>578</v>
      </c>
      <c r="K61" s="2" t="s">
        <v>119</v>
      </c>
      <c r="L61" s="2" t="s">
        <v>29</v>
      </c>
      <c r="M61" s="2" t="s">
        <v>579</v>
      </c>
      <c r="N61" s="2" t="s">
        <v>47</v>
      </c>
      <c r="O61" s="4">
        <v>1839</v>
      </c>
      <c r="P61" s="2" t="s">
        <v>580</v>
      </c>
      <c r="Q61" s="2" t="s">
        <v>33</v>
      </c>
      <c r="R61" s="2" t="s">
        <v>581</v>
      </c>
      <c r="S61" s="2" t="s">
        <v>582</v>
      </c>
      <c r="T61" s="2" t="s">
        <v>583</v>
      </c>
      <c r="U61" s="2" t="s">
        <v>584</v>
      </c>
      <c r="V61" s="2" t="s">
        <v>585</v>
      </c>
    </row>
    <row r="62" spans="1:22">
      <c r="A62" s="2" t="s">
        <v>586</v>
      </c>
      <c r="B62" s="2" t="s">
        <v>587</v>
      </c>
      <c r="C62" s="2" t="s">
        <v>588</v>
      </c>
      <c r="D62" s="2">
        <v>2025</v>
      </c>
      <c r="E62" s="3">
        <v>45717</v>
      </c>
      <c r="F62" s="2" t="s">
        <v>59</v>
      </c>
      <c r="G62" s="2">
        <v>17</v>
      </c>
      <c r="H62" s="2">
        <v>6</v>
      </c>
      <c r="I62" s="2" t="s">
        <v>43</v>
      </c>
      <c r="J62" s="2" t="s">
        <v>60</v>
      </c>
      <c r="K62" s="2" t="s">
        <v>61</v>
      </c>
      <c r="L62" s="2" t="s">
        <v>29</v>
      </c>
      <c r="M62" s="2" t="s">
        <v>75</v>
      </c>
      <c r="N62" s="2" t="s">
        <v>234</v>
      </c>
      <c r="O62" s="2" t="s">
        <v>589</v>
      </c>
      <c r="P62" s="2" t="s">
        <v>590</v>
      </c>
      <c r="Q62" s="2" t="s">
        <v>49</v>
      </c>
      <c r="R62" s="2" t="s">
        <v>591</v>
      </c>
      <c r="S62" s="2" t="s">
        <v>79</v>
      </c>
      <c r="T62" s="2" t="s">
        <v>592</v>
      </c>
      <c r="U62" s="2" t="s">
        <v>593</v>
      </c>
      <c r="V62" s="2" t="s">
        <v>594</v>
      </c>
    </row>
    <row r="63" spans="1:22" ht="43.2">
      <c r="B63" s="2" t="s">
        <v>595</v>
      </c>
      <c r="C63" s="2" t="s">
        <v>596</v>
      </c>
      <c r="D63" s="2">
        <v>2024</v>
      </c>
      <c r="E63" s="3">
        <v>45597</v>
      </c>
      <c r="F63" s="2" t="s">
        <v>597</v>
      </c>
      <c r="G63" s="2">
        <v>31</v>
      </c>
      <c r="H63" s="2">
        <v>11</v>
      </c>
      <c r="I63" s="2" t="s">
        <v>598</v>
      </c>
      <c r="J63" s="2" t="s">
        <v>599</v>
      </c>
      <c r="K63" s="2" t="s">
        <v>600</v>
      </c>
      <c r="L63" s="2" t="s">
        <v>29</v>
      </c>
      <c r="M63" s="2" t="s">
        <v>601</v>
      </c>
      <c r="N63" s="2" t="s">
        <v>63</v>
      </c>
      <c r="O63" s="4">
        <v>1139</v>
      </c>
      <c r="P63" s="2" t="s">
        <v>602</v>
      </c>
      <c r="Q63" s="2" t="s">
        <v>33</v>
      </c>
      <c r="R63" s="2" t="s">
        <v>603</v>
      </c>
      <c r="S63" s="2" t="s">
        <v>604</v>
      </c>
      <c r="T63" s="2" t="s">
        <v>605</v>
      </c>
      <c r="U63" s="2" t="s">
        <v>606</v>
      </c>
      <c r="V63" s="2" t="s">
        <v>607</v>
      </c>
    </row>
    <row r="64" spans="1:22">
      <c r="A64" s="2" t="s">
        <v>39</v>
      </c>
      <c r="B64" s="2" t="s">
        <v>608</v>
      </c>
      <c r="C64" s="2" t="s">
        <v>609</v>
      </c>
      <c r="D64" s="2">
        <v>2024</v>
      </c>
      <c r="E64" s="3">
        <v>45336</v>
      </c>
      <c r="F64" s="2" t="s">
        <v>610</v>
      </c>
      <c r="G64" s="2">
        <v>131</v>
      </c>
      <c r="H64" s="2">
        <v>3</v>
      </c>
      <c r="I64" s="2" t="s">
        <v>611</v>
      </c>
      <c r="J64" s="2" t="s">
        <v>612</v>
      </c>
      <c r="K64" s="2" t="s">
        <v>613</v>
      </c>
      <c r="L64" s="2" t="s">
        <v>29</v>
      </c>
      <c r="M64" s="2" t="s">
        <v>614</v>
      </c>
      <c r="N64" s="2" t="s">
        <v>63</v>
      </c>
      <c r="O64" s="2" t="s">
        <v>615</v>
      </c>
      <c r="P64" s="2" t="s">
        <v>616</v>
      </c>
      <c r="Q64" s="2" t="s">
        <v>33</v>
      </c>
      <c r="R64" s="2" t="s">
        <v>617</v>
      </c>
      <c r="S64" s="2" t="s">
        <v>618</v>
      </c>
      <c r="T64" s="2" t="s">
        <v>619</v>
      </c>
      <c r="U64" s="2" t="s">
        <v>620</v>
      </c>
      <c r="V64" s="2" t="s">
        <v>621</v>
      </c>
    </row>
    <row r="65" spans="1:22">
      <c r="A65" s="2" t="s">
        <v>622</v>
      </c>
      <c r="B65" s="2" t="s">
        <v>623</v>
      </c>
      <c r="C65" s="2" t="s">
        <v>624</v>
      </c>
      <c r="D65" s="2">
        <v>2024</v>
      </c>
      <c r="E65" s="3">
        <v>45292</v>
      </c>
      <c r="F65" s="2" t="s">
        <v>625</v>
      </c>
      <c r="G65" s="2">
        <v>11</v>
      </c>
      <c r="H65" s="2">
        <v>2</v>
      </c>
      <c r="I65" s="2" t="s">
        <v>626</v>
      </c>
      <c r="J65" s="2" t="s">
        <v>627</v>
      </c>
      <c r="K65" s="2" t="s">
        <v>628</v>
      </c>
      <c r="L65" s="2" t="s">
        <v>29</v>
      </c>
      <c r="M65" s="2" t="s">
        <v>144</v>
      </c>
      <c r="N65" s="2" t="s">
        <v>134</v>
      </c>
      <c r="O65" s="2" t="s">
        <v>629</v>
      </c>
      <c r="P65" s="2" t="s">
        <v>630</v>
      </c>
      <c r="Q65" s="2" t="s">
        <v>49</v>
      </c>
      <c r="R65" s="2" t="s">
        <v>631</v>
      </c>
      <c r="S65" s="2" t="s">
        <v>632</v>
      </c>
      <c r="T65" s="2" t="s">
        <v>633</v>
      </c>
      <c r="U65" s="2" t="s">
        <v>634</v>
      </c>
      <c r="V65" s="2" t="s">
        <v>80</v>
      </c>
    </row>
    <row r="66" spans="1:22">
      <c r="A66" s="2" t="s">
        <v>635</v>
      </c>
      <c r="B66" s="2" t="s">
        <v>636</v>
      </c>
      <c r="C66" s="2" t="s">
        <v>637</v>
      </c>
      <c r="D66" s="2">
        <v>2024</v>
      </c>
      <c r="E66" s="3">
        <v>45397</v>
      </c>
      <c r="F66" s="2" t="s">
        <v>638</v>
      </c>
      <c r="G66" s="2">
        <v>209</v>
      </c>
      <c r="H66" s="2">
        <v>8</v>
      </c>
      <c r="I66" s="2" t="s">
        <v>639</v>
      </c>
      <c r="J66" s="2" t="s">
        <v>640</v>
      </c>
      <c r="K66" s="2" t="s">
        <v>641</v>
      </c>
      <c r="L66" s="2" t="s">
        <v>29</v>
      </c>
      <c r="M66" s="2" t="s">
        <v>642</v>
      </c>
      <c r="N66" s="2" t="s">
        <v>105</v>
      </c>
      <c r="O66" s="4">
        <v>5076</v>
      </c>
      <c r="P66" s="2" t="s">
        <v>643</v>
      </c>
      <c r="Q66" s="2" t="s">
        <v>644</v>
      </c>
      <c r="R66" s="2" t="s">
        <v>645</v>
      </c>
      <c r="S66" s="2" t="s">
        <v>646</v>
      </c>
      <c r="T66" s="2" t="s">
        <v>647</v>
      </c>
      <c r="U66" s="2" t="s">
        <v>648</v>
      </c>
      <c r="V66" s="2" t="s">
        <v>80</v>
      </c>
    </row>
    <row r="67" spans="1:22" ht="28.8">
      <c r="A67" s="2" t="s">
        <v>276</v>
      </c>
      <c r="B67" s="2" t="s">
        <v>649</v>
      </c>
      <c r="C67" s="2" t="s">
        <v>650</v>
      </c>
      <c r="D67" s="2">
        <v>2024</v>
      </c>
      <c r="E67" s="3">
        <v>45444</v>
      </c>
      <c r="F67" s="2" t="s">
        <v>651</v>
      </c>
      <c r="G67" s="2">
        <v>13</v>
      </c>
      <c r="H67" s="2">
        <v>12</v>
      </c>
      <c r="I67" s="2" t="s">
        <v>43</v>
      </c>
      <c r="J67" s="2" t="s">
        <v>652</v>
      </c>
      <c r="K67" s="2" t="s">
        <v>61</v>
      </c>
      <c r="L67" s="2" t="s">
        <v>29</v>
      </c>
      <c r="M67" s="2" t="s">
        <v>653</v>
      </c>
      <c r="N67" s="2" t="s">
        <v>476</v>
      </c>
      <c r="O67" s="2" t="s">
        <v>654</v>
      </c>
      <c r="P67" s="2" t="s">
        <v>655</v>
      </c>
      <c r="Q67" s="2" t="s">
        <v>49</v>
      </c>
      <c r="R67" s="2" t="s">
        <v>656</v>
      </c>
      <c r="S67" s="2" t="s">
        <v>657</v>
      </c>
      <c r="T67" s="2" t="s">
        <v>658</v>
      </c>
      <c r="U67" s="2" t="s">
        <v>659</v>
      </c>
      <c r="V67" s="2" t="s">
        <v>660</v>
      </c>
    </row>
    <row r="68" spans="1:22">
      <c r="A68" s="2" t="s">
        <v>22</v>
      </c>
      <c r="B68" s="2" t="s">
        <v>661</v>
      </c>
      <c r="C68" s="2" t="s">
        <v>662</v>
      </c>
      <c r="D68" s="2">
        <v>2025</v>
      </c>
      <c r="E68" s="3">
        <v>45658</v>
      </c>
      <c r="F68" s="2" t="s">
        <v>663</v>
      </c>
      <c r="G68" s="2">
        <v>24</v>
      </c>
      <c r="H68" s="2">
        <v>4</v>
      </c>
      <c r="I68" s="2" t="s">
        <v>664</v>
      </c>
      <c r="J68" s="2" t="s">
        <v>665</v>
      </c>
      <c r="K68" s="2" t="s">
        <v>666</v>
      </c>
      <c r="L68" s="2" t="s">
        <v>29</v>
      </c>
      <c r="M68" s="2" t="s">
        <v>667</v>
      </c>
      <c r="N68" s="2" t="s">
        <v>348</v>
      </c>
      <c r="O68" s="2" t="s">
        <v>668</v>
      </c>
      <c r="P68" s="2" t="s">
        <v>669</v>
      </c>
      <c r="Q68" s="2" t="s">
        <v>33</v>
      </c>
      <c r="R68" s="2" t="s">
        <v>670</v>
      </c>
      <c r="S68" s="2" t="s">
        <v>671</v>
      </c>
      <c r="T68" s="2" t="s">
        <v>672</v>
      </c>
      <c r="U68" s="2" t="s">
        <v>673</v>
      </c>
      <c r="V68" s="2" t="s">
        <v>594</v>
      </c>
    </row>
    <row r="69" spans="1:22">
      <c r="A69" s="2" t="s">
        <v>83</v>
      </c>
      <c r="B69" s="2" t="s">
        <v>674</v>
      </c>
      <c r="C69" s="2" t="s">
        <v>675</v>
      </c>
      <c r="D69" s="2">
        <v>2024</v>
      </c>
      <c r="E69" s="3">
        <v>45474</v>
      </c>
      <c r="F69" s="2" t="s">
        <v>676</v>
      </c>
      <c r="G69" s="2">
        <v>176</v>
      </c>
      <c r="H69" s="2" t="s">
        <v>43</v>
      </c>
      <c r="I69" s="2" t="s">
        <v>43</v>
      </c>
      <c r="J69" s="2" t="s">
        <v>677</v>
      </c>
      <c r="K69" s="2" t="s">
        <v>678</v>
      </c>
      <c r="L69" s="2" t="s">
        <v>29</v>
      </c>
      <c r="M69" s="2" t="s">
        <v>679</v>
      </c>
      <c r="N69" s="2" t="s">
        <v>498</v>
      </c>
      <c r="O69" s="4">
        <v>1775</v>
      </c>
      <c r="P69" s="2" t="s">
        <v>680</v>
      </c>
      <c r="Q69" s="2" t="s">
        <v>33</v>
      </c>
      <c r="R69" s="2" t="s">
        <v>681</v>
      </c>
      <c r="S69" s="2" t="s">
        <v>682</v>
      </c>
      <c r="T69" s="2" t="s">
        <v>683</v>
      </c>
      <c r="U69" s="2" t="s">
        <v>684</v>
      </c>
      <c r="V69" s="2" t="s">
        <v>80</v>
      </c>
    </row>
    <row r="70" spans="1:22">
      <c r="A70" s="2" t="s">
        <v>685</v>
      </c>
      <c r="B70" s="2" t="s">
        <v>686</v>
      </c>
      <c r="C70" s="2" t="s">
        <v>687</v>
      </c>
      <c r="D70" s="2">
        <v>2024</v>
      </c>
      <c r="E70" s="3">
        <v>45292</v>
      </c>
      <c r="F70" s="2" t="s">
        <v>268</v>
      </c>
      <c r="G70" s="2">
        <v>13</v>
      </c>
      <c r="H70" s="2">
        <v>1</v>
      </c>
      <c r="I70" s="2" t="s">
        <v>43</v>
      </c>
      <c r="J70" s="2" t="s">
        <v>269</v>
      </c>
      <c r="K70" s="2" t="s">
        <v>61</v>
      </c>
      <c r="L70" s="2" t="s">
        <v>29</v>
      </c>
      <c r="M70" s="2" t="s">
        <v>270</v>
      </c>
      <c r="N70" s="2" t="s">
        <v>47</v>
      </c>
      <c r="O70" s="4">
        <v>1021</v>
      </c>
      <c r="P70" s="2" t="s">
        <v>688</v>
      </c>
      <c r="Q70" s="2" t="s">
        <v>33</v>
      </c>
      <c r="R70" s="2" t="s">
        <v>689</v>
      </c>
      <c r="S70" s="2" t="s">
        <v>690</v>
      </c>
      <c r="T70" s="2" t="s">
        <v>691</v>
      </c>
      <c r="U70" s="2" t="s">
        <v>692</v>
      </c>
      <c r="V70" s="2" t="s">
        <v>693</v>
      </c>
    </row>
    <row r="71" spans="1:22">
      <c r="A71" s="2" t="s">
        <v>694</v>
      </c>
      <c r="B71" s="2" t="s">
        <v>686</v>
      </c>
      <c r="C71" s="2" t="s">
        <v>687</v>
      </c>
      <c r="D71" s="2">
        <v>2024</v>
      </c>
      <c r="E71" s="3">
        <v>45292</v>
      </c>
      <c r="F71" s="2" t="s">
        <v>268</v>
      </c>
      <c r="G71" s="2">
        <v>13</v>
      </c>
      <c r="H71" s="2">
        <v>1</v>
      </c>
      <c r="I71" s="2" t="s">
        <v>43</v>
      </c>
      <c r="J71" s="2" t="s">
        <v>269</v>
      </c>
      <c r="K71" s="2" t="s">
        <v>61</v>
      </c>
      <c r="L71" s="2" t="s">
        <v>29</v>
      </c>
      <c r="M71" s="2" t="s">
        <v>270</v>
      </c>
      <c r="N71" s="2" t="s">
        <v>47</v>
      </c>
      <c r="O71" s="4">
        <v>1021</v>
      </c>
      <c r="P71" s="2" t="s">
        <v>688</v>
      </c>
      <c r="Q71" s="2" t="s">
        <v>33</v>
      </c>
      <c r="R71" s="2" t="s">
        <v>689</v>
      </c>
      <c r="S71" s="2" t="s">
        <v>690</v>
      </c>
      <c r="T71" s="2" t="s">
        <v>691</v>
      </c>
      <c r="U71" s="2" t="s">
        <v>692</v>
      </c>
      <c r="V71" s="2" t="s">
        <v>693</v>
      </c>
    </row>
    <row r="72" spans="1:22">
      <c r="A72" s="2" t="s">
        <v>695</v>
      </c>
      <c r="B72" s="2" t="s">
        <v>686</v>
      </c>
      <c r="C72" s="2" t="s">
        <v>687</v>
      </c>
      <c r="D72" s="2">
        <v>2024</v>
      </c>
      <c r="E72" s="3">
        <v>45292</v>
      </c>
      <c r="F72" s="2" t="s">
        <v>268</v>
      </c>
      <c r="G72" s="2">
        <v>13</v>
      </c>
      <c r="H72" s="2">
        <v>1</v>
      </c>
      <c r="I72" s="2" t="s">
        <v>43</v>
      </c>
      <c r="J72" s="2" t="s">
        <v>269</v>
      </c>
      <c r="K72" s="2" t="s">
        <v>61</v>
      </c>
      <c r="L72" s="2" t="s">
        <v>29</v>
      </c>
      <c r="M72" s="2" t="s">
        <v>270</v>
      </c>
      <c r="N72" s="2" t="s">
        <v>47</v>
      </c>
      <c r="O72" s="4">
        <v>1021</v>
      </c>
      <c r="P72" s="2" t="s">
        <v>688</v>
      </c>
      <c r="Q72" s="2" t="s">
        <v>33</v>
      </c>
      <c r="R72" s="2" t="s">
        <v>689</v>
      </c>
      <c r="S72" s="2" t="s">
        <v>690</v>
      </c>
      <c r="T72" s="2" t="s">
        <v>691</v>
      </c>
      <c r="U72" s="2" t="s">
        <v>692</v>
      </c>
      <c r="V72" s="2" t="s">
        <v>693</v>
      </c>
    </row>
    <row r="73" spans="1:22">
      <c r="A73" s="2" t="s">
        <v>696</v>
      </c>
      <c r="B73" s="2" t="s">
        <v>686</v>
      </c>
      <c r="C73" s="2" t="s">
        <v>687</v>
      </c>
      <c r="D73" s="2">
        <v>2024</v>
      </c>
      <c r="E73" s="3">
        <v>45292</v>
      </c>
      <c r="F73" s="2" t="s">
        <v>268</v>
      </c>
      <c r="G73" s="2">
        <v>13</v>
      </c>
      <c r="H73" s="2">
        <v>1</v>
      </c>
      <c r="I73" s="2" t="s">
        <v>43</v>
      </c>
      <c r="J73" s="2" t="s">
        <v>269</v>
      </c>
      <c r="K73" s="2" t="s">
        <v>61</v>
      </c>
      <c r="L73" s="2" t="s">
        <v>29</v>
      </c>
      <c r="M73" s="2" t="s">
        <v>270</v>
      </c>
      <c r="N73" s="2" t="s">
        <v>47</v>
      </c>
      <c r="O73" s="4">
        <v>1021</v>
      </c>
      <c r="P73" s="2" t="s">
        <v>688</v>
      </c>
      <c r="Q73" s="2" t="s">
        <v>33</v>
      </c>
      <c r="R73" s="2" t="s">
        <v>689</v>
      </c>
      <c r="S73" s="2" t="s">
        <v>690</v>
      </c>
      <c r="T73" s="2" t="s">
        <v>691</v>
      </c>
      <c r="U73" s="2" t="s">
        <v>692</v>
      </c>
      <c r="V73" s="2" t="s">
        <v>693</v>
      </c>
    </row>
    <row r="74" spans="1:22">
      <c r="A74" s="2" t="s">
        <v>697</v>
      </c>
      <c r="B74" s="2" t="s">
        <v>686</v>
      </c>
      <c r="C74" s="2" t="s">
        <v>687</v>
      </c>
      <c r="D74" s="2">
        <v>2024</v>
      </c>
      <c r="E74" s="3">
        <v>45292</v>
      </c>
      <c r="F74" s="2" t="s">
        <v>268</v>
      </c>
      <c r="G74" s="2">
        <v>13</v>
      </c>
      <c r="H74" s="2">
        <v>1</v>
      </c>
      <c r="I74" s="2" t="s">
        <v>43</v>
      </c>
      <c r="J74" s="2" t="s">
        <v>269</v>
      </c>
      <c r="K74" s="2" t="s">
        <v>61</v>
      </c>
      <c r="L74" s="2" t="s">
        <v>29</v>
      </c>
      <c r="M74" s="2" t="s">
        <v>270</v>
      </c>
      <c r="N74" s="2" t="s">
        <v>47</v>
      </c>
      <c r="O74" s="4">
        <v>1021</v>
      </c>
      <c r="P74" s="2" t="s">
        <v>688</v>
      </c>
      <c r="Q74" s="2" t="s">
        <v>33</v>
      </c>
      <c r="R74" s="2" t="s">
        <v>689</v>
      </c>
      <c r="S74" s="2" t="s">
        <v>690</v>
      </c>
      <c r="T74" s="2" t="s">
        <v>691</v>
      </c>
      <c r="U74" s="2" t="s">
        <v>692</v>
      </c>
      <c r="V74" s="2" t="s">
        <v>693</v>
      </c>
    </row>
    <row r="75" spans="1:22">
      <c r="A75" s="2" t="s">
        <v>698</v>
      </c>
      <c r="B75" s="2" t="s">
        <v>686</v>
      </c>
      <c r="C75" s="2" t="s">
        <v>687</v>
      </c>
      <c r="D75" s="2">
        <v>2024</v>
      </c>
      <c r="E75" s="3">
        <v>45292</v>
      </c>
      <c r="F75" s="2" t="s">
        <v>268</v>
      </c>
      <c r="G75" s="2">
        <v>13</v>
      </c>
      <c r="H75" s="2">
        <v>1</v>
      </c>
      <c r="I75" s="2" t="s">
        <v>43</v>
      </c>
      <c r="J75" s="2" t="s">
        <v>269</v>
      </c>
      <c r="K75" s="2" t="s">
        <v>61</v>
      </c>
      <c r="L75" s="2" t="s">
        <v>29</v>
      </c>
      <c r="M75" s="2" t="s">
        <v>270</v>
      </c>
      <c r="N75" s="2" t="s">
        <v>47</v>
      </c>
      <c r="O75" s="4">
        <v>1021</v>
      </c>
      <c r="P75" s="2" t="s">
        <v>688</v>
      </c>
      <c r="Q75" s="2" t="s">
        <v>33</v>
      </c>
      <c r="R75" s="2" t="s">
        <v>689</v>
      </c>
      <c r="S75" s="2" t="s">
        <v>690</v>
      </c>
      <c r="T75" s="2" t="s">
        <v>691</v>
      </c>
      <c r="U75" s="2" t="s">
        <v>692</v>
      </c>
      <c r="V75" s="2" t="s">
        <v>693</v>
      </c>
    </row>
    <row r="76" spans="1:22">
      <c r="A76" s="2" t="s">
        <v>699</v>
      </c>
      <c r="B76" s="2" t="s">
        <v>686</v>
      </c>
      <c r="C76" s="2" t="s">
        <v>687</v>
      </c>
      <c r="D76" s="2">
        <v>2024</v>
      </c>
      <c r="E76" s="3">
        <v>45292</v>
      </c>
      <c r="F76" s="2" t="s">
        <v>268</v>
      </c>
      <c r="G76" s="2">
        <v>13</v>
      </c>
      <c r="H76" s="2">
        <v>1</v>
      </c>
      <c r="I76" s="2" t="s">
        <v>43</v>
      </c>
      <c r="J76" s="2" t="s">
        <v>269</v>
      </c>
      <c r="K76" s="2" t="s">
        <v>61</v>
      </c>
      <c r="L76" s="2" t="s">
        <v>29</v>
      </c>
      <c r="M76" s="2" t="s">
        <v>270</v>
      </c>
      <c r="N76" s="2" t="s">
        <v>47</v>
      </c>
      <c r="O76" s="4">
        <v>1021</v>
      </c>
      <c r="P76" s="2" t="s">
        <v>688</v>
      </c>
      <c r="Q76" s="2" t="s">
        <v>33</v>
      </c>
      <c r="R76" s="2" t="s">
        <v>689</v>
      </c>
      <c r="S76" s="2" t="s">
        <v>690</v>
      </c>
      <c r="T76" s="2" t="s">
        <v>691</v>
      </c>
      <c r="U76" s="2" t="s">
        <v>692</v>
      </c>
      <c r="V76" s="2" t="s">
        <v>693</v>
      </c>
    </row>
    <row r="77" spans="1:22" ht="86.4">
      <c r="A77" s="2" t="s">
        <v>493</v>
      </c>
      <c r="B77" s="2" t="s">
        <v>700</v>
      </c>
      <c r="C77" s="2" t="s">
        <v>701</v>
      </c>
      <c r="D77" s="2">
        <v>2025</v>
      </c>
      <c r="E77" s="3">
        <v>45658</v>
      </c>
      <c r="F77" s="2" t="s">
        <v>702</v>
      </c>
      <c r="G77" s="2">
        <v>97</v>
      </c>
      <c r="H77" s="2">
        <v>1</v>
      </c>
      <c r="I77" s="2" t="s">
        <v>703</v>
      </c>
      <c r="J77" s="2" t="s">
        <v>704</v>
      </c>
      <c r="K77" s="2" t="s">
        <v>119</v>
      </c>
      <c r="L77" s="2" t="s">
        <v>29</v>
      </c>
      <c r="M77" s="2" t="s">
        <v>705</v>
      </c>
      <c r="N77" s="2" t="s">
        <v>31</v>
      </c>
      <c r="O77" s="4">
        <v>3247</v>
      </c>
      <c r="P77" s="2" t="s">
        <v>706</v>
      </c>
      <c r="Q77" s="2" t="s">
        <v>33</v>
      </c>
      <c r="R77" s="2" t="s">
        <v>707</v>
      </c>
      <c r="S77" s="2" t="s">
        <v>708</v>
      </c>
      <c r="T77" s="2" t="s">
        <v>709</v>
      </c>
      <c r="U77" s="2" t="s">
        <v>710</v>
      </c>
      <c r="V77" s="2" t="s">
        <v>711</v>
      </c>
    </row>
    <row r="78" spans="1:22" ht="86.4">
      <c r="A78" s="2" t="s">
        <v>712</v>
      </c>
      <c r="B78" s="2" t="s">
        <v>700</v>
      </c>
      <c r="C78" s="2" t="s">
        <v>701</v>
      </c>
      <c r="D78" s="2">
        <v>2025</v>
      </c>
      <c r="E78" s="3">
        <v>45658</v>
      </c>
      <c r="F78" s="2" t="s">
        <v>702</v>
      </c>
      <c r="G78" s="2">
        <v>97</v>
      </c>
      <c r="H78" s="2">
        <v>1</v>
      </c>
      <c r="I78" s="2" t="s">
        <v>703</v>
      </c>
      <c r="J78" s="2" t="s">
        <v>704</v>
      </c>
      <c r="K78" s="2" t="s">
        <v>119</v>
      </c>
      <c r="L78" s="2" t="s">
        <v>29</v>
      </c>
      <c r="M78" s="2" t="s">
        <v>705</v>
      </c>
      <c r="N78" s="2" t="s">
        <v>31</v>
      </c>
      <c r="O78" s="4">
        <v>3247</v>
      </c>
      <c r="P78" s="2" t="s">
        <v>706</v>
      </c>
      <c r="Q78" s="2" t="s">
        <v>33</v>
      </c>
      <c r="R78" s="2" t="s">
        <v>707</v>
      </c>
      <c r="S78" s="2" t="s">
        <v>708</v>
      </c>
      <c r="T78" s="2" t="s">
        <v>709</v>
      </c>
      <c r="U78" s="2" t="s">
        <v>710</v>
      </c>
      <c r="V78" s="2" t="s">
        <v>711</v>
      </c>
    </row>
    <row r="79" spans="1:22">
      <c r="A79" s="2" t="s">
        <v>433</v>
      </c>
      <c r="B79" s="2" t="s">
        <v>713</v>
      </c>
      <c r="C79" s="2" t="s">
        <v>714</v>
      </c>
      <c r="D79" s="2">
        <v>2024</v>
      </c>
      <c r="E79" s="3">
        <v>45352</v>
      </c>
      <c r="F79" s="2" t="s">
        <v>715</v>
      </c>
      <c r="G79" s="2">
        <v>28</v>
      </c>
      <c r="H79" s="2">
        <v>1</v>
      </c>
      <c r="I79" s="2" t="s">
        <v>716</v>
      </c>
      <c r="J79" s="2" t="s">
        <v>717</v>
      </c>
      <c r="K79" s="2" t="s">
        <v>718</v>
      </c>
      <c r="L79" s="2" t="s">
        <v>29</v>
      </c>
      <c r="M79" s="2" t="s">
        <v>719</v>
      </c>
      <c r="N79" s="2" t="s">
        <v>63</v>
      </c>
      <c r="O79" s="2" t="s">
        <v>720</v>
      </c>
      <c r="P79" s="2" t="s">
        <v>721</v>
      </c>
      <c r="Q79" s="2" t="s">
        <v>33</v>
      </c>
      <c r="R79" s="2" t="s">
        <v>722</v>
      </c>
      <c r="S79" s="2" t="s">
        <v>723</v>
      </c>
      <c r="T79" s="2" t="s">
        <v>724</v>
      </c>
      <c r="U79" s="2" t="s">
        <v>725</v>
      </c>
      <c r="V79" s="2" t="s">
        <v>726</v>
      </c>
    </row>
    <row r="80" spans="1:22">
      <c r="A80" s="2" t="s">
        <v>727</v>
      </c>
      <c r="B80" s="2" t="s">
        <v>713</v>
      </c>
      <c r="C80" s="2" t="s">
        <v>714</v>
      </c>
      <c r="D80" s="2">
        <v>2024</v>
      </c>
      <c r="E80" s="3">
        <v>45352</v>
      </c>
      <c r="F80" s="2" t="s">
        <v>715</v>
      </c>
      <c r="G80" s="2">
        <v>28</v>
      </c>
      <c r="H80" s="2">
        <v>1</v>
      </c>
      <c r="I80" s="2" t="s">
        <v>716</v>
      </c>
      <c r="J80" s="2" t="s">
        <v>717</v>
      </c>
      <c r="K80" s="2" t="s">
        <v>718</v>
      </c>
      <c r="L80" s="2" t="s">
        <v>29</v>
      </c>
      <c r="M80" s="2" t="s">
        <v>719</v>
      </c>
      <c r="N80" s="2" t="s">
        <v>63</v>
      </c>
      <c r="O80" s="2" t="s">
        <v>720</v>
      </c>
      <c r="P80" s="2" t="s">
        <v>721</v>
      </c>
      <c r="Q80" s="2" t="s">
        <v>33</v>
      </c>
      <c r="R80" s="2" t="s">
        <v>722</v>
      </c>
      <c r="S80" s="2" t="s">
        <v>723</v>
      </c>
      <c r="T80" s="2" t="s">
        <v>724</v>
      </c>
      <c r="U80" s="2" t="s">
        <v>725</v>
      </c>
      <c r="V80" s="2" t="s">
        <v>726</v>
      </c>
    </row>
    <row r="81" spans="1:22">
      <c r="A81" s="2" t="s">
        <v>728</v>
      </c>
      <c r="B81" s="2" t="s">
        <v>713</v>
      </c>
      <c r="C81" s="2" t="s">
        <v>714</v>
      </c>
      <c r="D81" s="2">
        <v>2024</v>
      </c>
      <c r="E81" s="3">
        <v>45352</v>
      </c>
      <c r="F81" s="2" t="s">
        <v>715</v>
      </c>
      <c r="G81" s="2">
        <v>28</v>
      </c>
      <c r="H81" s="2">
        <v>1</v>
      </c>
      <c r="I81" s="2" t="s">
        <v>716</v>
      </c>
      <c r="J81" s="2" t="s">
        <v>717</v>
      </c>
      <c r="K81" s="2" t="s">
        <v>718</v>
      </c>
      <c r="L81" s="2" t="s">
        <v>29</v>
      </c>
      <c r="M81" s="2" t="s">
        <v>719</v>
      </c>
      <c r="N81" s="2" t="s">
        <v>63</v>
      </c>
      <c r="O81" s="2" t="s">
        <v>720</v>
      </c>
      <c r="P81" s="2" t="s">
        <v>721</v>
      </c>
      <c r="Q81" s="2" t="s">
        <v>33</v>
      </c>
      <c r="R81" s="2" t="s">
        <v>722</v>
      </c>
      <c r="S81" s="2" t="s">
        <v>723</v>
      </c>
      <c r="T81" s="2" t="s">
        <v>724</v>
      </c>
      <c r="U81" s="2" t="s">
        <v>725</v>
      </c>
      <c r="V81" s="2" t="s">
        <v>726</v>
      </c>
    </row>
    <row r="82" spans="1:22">
      <c r="A82" s="2" t="s">
        <v>164</v>
      </c>
      <c r="B82" s="2" t="s">
        <v>729</v>
      </c>
      <c r="C82" s="2" t="s">
        <v>730</v>
      </c>
      <c r="D82" s="2">
        <v>2024</v>
      </c>
      <c r="E82" s="3">
        <v>45566</v>
      </c>
      <c r="F82" s="2" t="s">
        <v>731</v>
      </c>
      <c r="G82" s="2">
        <v>223</v>
      </c>
      <c r="H82" s="2" t="s">
        <v>43</v>
      </c>
      <c r="I82" s="2" t="s">
        <v>732</v>
      </c>
      <c r="J82" s="2" t="s">
        <v>733</v>
      </c>
      <c r="K82" s="2" t="s">
        <v>734</v>
      </c>
      <c r="L82" s="2" t="s">
        <v>29</v>
      </c>
      <c r="M82" s="2" t="s">
        <v>735</v>
      </c>
      <c r="N82" s="2" t="s">
        <v>121</v>
      </c>
      <c r="O82" s="4">
        <v>2065</v>
      </c>
      <c r="P82" s="2" t="s">
        <v>736</v>
      </c>
      <c r="Q82" s="2" t="s">
        <v>49</v>
      </c>
      <c r="R82" s="2" t="s">
        <v>737</v>
      </c>
      <c r="S82" s="2" t="s">
        <v>738</v>
      </c>
      <c r="T82" s="2" t="s">
        <v>739</v>
      </c>
      <c r="U82" s="2" t="s">
        <v>740</v>
      </c>
      <c r="V82" s="2" t="s">
        <v>177</v>
      </c>
    </row>
    <row r="83" spans="1:22">
      <c r="A83" s="2" t="s">
        <v>22</v>
      </c>
      <c r="B83" s="2" t="s">
        <v>741</v>
      </c>
      <c r="C83" s="2" t="s">
        <v>742</v>
      </c>
      <c r="D83" s="2">
        <v>2024</v>
      </c>
      <c r="E83" s="3">
        <v>45292</v>
      </c>
      <c r="F83" s="2" t="s">
        <v>743</v>
      </c>
      <c r="G83" s="2">
        <v>15</v>
      </c>
      <c r="H83" s="2" t="s">
        <v>43</v>
      </c>
      <c r="I83" s="2" t="s">
        <v>43</v>
      </c>
      <c r="J83" s="2" t="s">
        <v>744</v>
      </c>
      <c r="K83" s="2" t="s">
        <v>183</v>
      </c>
      <c r="L83" s="2" t="s">
        <v>29</v>
      </c>
      <c r="M83" s="2" t="s">
        <v>745</v>
      </c>
      <c r="N83" s="2" t="s">
        <v>331</v>
      </c>
      <c r="O83" s="4">
        <v>1023</v>
      </c>
      <c r="P83" s="2" t="s">
        <v>746</v>
      </c>
      <c r="Q83" s="2" t="s">
        <v>33</v>
      </c>
      <c r="R83" s="2" t="s">
        <v>747</v>
      </c>
      <c r="S83" s="2" t="s">
        <v>748</v>
      </c>
      <c r="T83" s="2" t="s">
        <v>749</v>
      </c>
      <c r="U83" s="2" t="s">
        <v>750</v>
      </c>
      <c r="V83" s="2" t="s">
        <v>751</v>
      </c>
    </row>
    <row r="84" spans="1:22">
      <c r="A84" s="2" t="s">
        <v>128</v>
      </c>
      <c r="B84" s="2" t="s">
        <v>752</v>
      </c>
      <c r="C84" s="2" t="s">
        <v>130</v>
      </c>
      <c r="D84" s="2">
        <v>2024</v>
      </c>
      <c r="E84" s="3">
        <v>45292</v>
      </c>
      <c r="F84" s="2" t="s">
        <v>192</v>
      </c>
      <c r="G84" s="2">
        <v>11</v>
      </c>
      <c r="H84" s="2">
        <v>1</v>
      </c>
      <c r="I84" s="2" t="s">
        <v>43</v>
      </c>
      <c r="J84" s="2" t="s">
        <v>193</v>
      </c>
      <c r="K84" s="2" t="s">
        <v>194</v>
      </c>
      <c r="L84" s="2" t="s">
        <v>29</v>
      </c>
      <c r="M84" s="2" t="s">
        <v>195</v>
      </c>
      <c r="N84" s="2" t="s">
        <v>196</v>
      </c>
      <c r="O84" s="2" t="s">
        <v>197</v>
      </c>
      <c r="P84" s="2" t="s">
        <v>753</v>
      </c>
      <c r="Q84" s="2" t="s">
        <v>49</v>
      </c>
      <c r="R84" s="2" t="s">
        <v>754</v>
      </c>
      <c r="S84" s="2" t="s">
        <v>138</v>
      </c>
      <c r="T84" s="2" t="s">
        <v>139</v>
      </c>
      <c r="U84" s="2" t="s">
        <v>140</v>
      </c>
      <c r="V84" s="2" t="s">
        <v>141</v>
      </c>
    </row>
    <row r="85" spans="1:22">
      <c r="A85" s="2" t="s">
        <v>755</v>
      </c>
      <c r="B85" s="2" t="s">
        <v>756</v>
      </c>
      <c r="C85" s="2" t="s">
        <v>757</v>
      </c>
      <c r="D85" s="2">
        <v>2025</v>
      </c>
      <c r="E85" s="3">
        <v>45992</v>
      </c>
      <c r="F85" s="2" t="s">
        <v>758</v>
      </c>
      <c r="G85" s="2">
        <v>11</v>
      </c>
      <c r="H85" s="2">
        <v>1</v>
      </c>
      <c r="I85" s="2" t="s">
        <v>43</v>
      </c>
      <c r="J85" s="2" t="s">
        <v>759</v>
      </c>
      <c r="K85" s="2" t="s">
        <v>220</v>
      </c>
      <c r="L85" s="2" t="s">
        <v>29</v>
      </c>
      <c r="M85" s="2" t="s">
        <v>760</v>
      </c>
      <c r="N85" s="2" t="s">
        <v>76</v>
      </c>
      <c r="O85" s="4">
        <v>3126</v>
      </c>
      <c r="P85" s="2" t="s">
        <v>761</v>
      </c>
      <c r="Q85" s="2" t="s">
        <v>33</v>
      </c>
      <c r="R85" s="2" t="s">
        <v>762</v>
      </c>
      <c r="S85" s="2" t="s">
        <v>763</v>
      </c>
      <c r="T85" s="2" t="s">
        <v>764</v>
      </c>
      <c r="U85" s="2" t="s">
        <v>765</v>
      </c>
      <c r="V85" s="2" t="s">
        <v>766</v>
      </c>
    </row>
    <row r="86" spans="1:22" ht="43.2">
      <c r="A86" s="2" t="s">
        <v>635</v>
      </c>
      <c r="B86" s="2" t="s">
        <v>767</v>
      </c>
      <c r="C86" s="2" t="s">
        <v>768</v>
      </c>
      <c r="D86" s="2">
        <v>2024</v>
      </c>
      <c r="E86" s="3">
        <v>45292</v>
      </c>
      <c r="F86" s="2" t="s">
        <v>769</v>
      </c>
      <c r="G86" s="2">
        <v>48</v>
      </c>
      <c r="H86" s="2">
        <v>1</v>
      </c>
      <c r="I86" s="2" t="s">
        <v>770</v>
      </c>
      <c r="J86" s="2" t="s">
        <v>771</v>
      </c>
      <c r="K86" s="2" t="s">
        <v>772</v>
      </c>
      <c r="L86" s="2" t="s">
        <v>773</v>
      </c>
      <c r="M86" s="2" t="s">
        <v>774</v>
      </c>
      <c r="N86" s="2" t="s">
        <v>775</v>
      </c>
      <c r="O86" s="2" t="s">
        <v>776</v>
      </c>
      <c r="P86" s="2" t="s">
        <v>777</v>
      </c>
      <c r="Q86" s="2" t="s">
        <v>33</v>
      </c>
      <c r="R86" s="2" t="s">
        <v>778</v>
      </c>
      <c r="S86" s="2" t="s">
        <v>779</v>
      </c>
      <c r="T86" s="2" t="s">
        <v>780</v>
      </c>
      <c r="U86" s="2" t="s">
        <v>781</v>
      </c>
      <c r="V86" s="2" t="s">
        <v>782</v>
      </c>
    </row>
    <row r="87" spans="1:22">
      <c r="A87" s="2" t="s">
        <v>422</v>
      </c>
      <c r="B87" s="2" t="s">
        <v>783</v>
      </c>
      <c r="C87" s="2" t="s">
        <v>784</v>
      </c>
      <c r="D87" s="2">
        <v>2025</v>
      </c>
      <c r="E87" s="3">
        <v>45717</v>
      </c>
      <c r="F87" s="2" t="s">
        <v>73</v>
      </c>
      <c r="G87" s="2">
        <v>26</v>
      </c>
      <c r="H87" s="2">
        <v>5</v>
      </c>
      <c r="I87" s="2" t="s">
        <v>43</v>
      </c>
      <c r="J87" s="2" t="s">
        <v>74</v>
      </c>
      <c r="K87" s="2" t="s">
        <v>61</v>
      </c>
      <c r="L87" s="2" t="s">
        <v>29</v>
      </c>
      <c r="M87" s="2" t="s">
        <v>76</v>
      </c>
      <c r="N87" s="2" t="s">
        <v>76</v>
      </c>
      <c r="O87" s="4">
        <v>1316</v>
      </c>
      <c r="P87" s="2" t="s">
        <v>785</v>
      </c>
      <c r="Q87" s="2" t="s">
        <v>49</v>
      </c>
      <c r="R87" s="2" t="s">
        <v>786</v>
      </c>
      <c r="S87" s="2" t="s">
        <v>787</v>
      </c>
      <c r="T87" s="2" t="s">
        <v>788</v>
      </c>
      <c r="U87" s="2" t="s">
        <v>787</v>
      </c>
      <c r="V87" s="2" t="s">
        <v>80</v>
      </c>
    </row>
    <row r="88" spans="1:22">
      <c r="A88" s="2" t="s">
        <v>789</v>
      </c>
      <c r="B88" s="2" t="s">
        <v>783</v>
      </c>
      <c r="C88" s="2" t="s">
        <v>784</v>
      </c>
      <c r="D88" s="2">
        <v>2025</v>
      </c>
      <c r="E88" s="3">
        <v>45717</v>
      </c>
      <c r="F88" s="2" t="s">
        <v>73</v>
      </c>
      <c r="G88" s="2">
        <v>26</v>
      </c>
      <c r="H88" s="2">
        <v>5</v>
      </c>
      <c r="I88" s="2" t="s">
        <v>43</v>
      </c>
      <c r="J88" s="2" t="s">
        <v>74</v>
      </c>
      <c r="K88" s="2" t="s">
        <v>61</v>
      </c>
      <c r="L88" s="2" t="s">
        <v>29</v>
      </c>
      <c r="M88" s="2" t="s">
        <v>76</v>
      </c>
      <c r="N88" s="2" t="s">
        <v>76</v>
      </c>
      <c r="O88" s="4">
        <v>1316</v>
      </c>
      <c r="P88" s="2" t="s">
        <v>785</v>
      </c>
      <c r="Q88" s="2" t="s">
        <v>49</v>
      </c>
      <c r="R88" s="2" t="s">
        <v>786</v>
      </c>
      <c r="S88" s="2" t="s">
        <v>787</v>
      </c>
      <c r="T88" s="2" t="s">
        <v>788</v>
      </c>
      <c r="U88" s="2" t="s">
        <v>787</v>
      </c>
      <c r="V88" s="2" t="s">
        <v>80</v>
      </c>
    </row>
    <row r="89" spans="1:22">
      <c r="A89" s="2" t="s">
        <v>790</v>
      </c>
      <c r="B89" s="2" t="s">
        <v>791</v>
      </c>
      <c r="C89" s="2" t="s">
        <v>792</v>
      </c>
      <c r="D89" s="2">
        <v>2024</v>
      </c>
      <c r="E89" s="3">
        <v>45536</v>
      </c>
      <c r="F89" s="2" t="s">
        <v>793</v>
      </c>
      <c r="G89" s="2">
        <v>28</v>
      </c>
      <c r="H89" s="2">
        <v>4</v>
      </c>
      <c r="I89" s="2" t="s">
        <v>794</v>
      </c>
      <c r="J89" s="2" t="s">
        <v>795</v>
      </c>
      <c r="K89" s="2" t="s">
        <v>796</v>
      </c>
      <c r="L89" s="2" t="s">
        <v>29</v>
      </c>
      <c r="M89" s="2" t="s">
        <v>745</v>
      </c>
      <c r="N89" s="2" t="s">
        <v>247</v>
      </c>
      <c r="O89" s="4">
        <v>1067</v>
      </c>
      <c r="P89" s="2" t="s">
        <v>797</v>
      </c>
      <c r="Q89" s="2" t="s">
        <v>33</v>
      </c>
      <c r="R89" s="2" t="s">
        <v>798</v>
      </c>
      <c r="S89" s="2" t="s">
        <v>799</v>
      </c>
      <c r="T89" s="2" t="s">
        <v>800</v>
      </c>
      <c r="U89" s="2" t="s">
        <v>801</v>
      </c>
      <c r="V89" s="2" t="s">
        <v>802</v>
      </c>
    </row>
    <row r="90" spans="1:22">
      <c r="A90" s="2" t="s">
        <v>128</v>
      </c>
      <c r="B90" s="2" t="s">
        <v>803</v>
      </c>
      <c r="C90" s="2" t="s">
        <v>130</v>
      </c>
      <c r="D90" s="2">
        <v>2025</v>
      </c>
      <c r="E90" s="3">
        <v>45717</v>
      </c>
      <c r="F90" s="2" t="s">
        <v>804</v>
      </c>
      <c r="G90" s="2">
        <v>107</v>
      </c>
      <c r="H90" s="2">
        <v>3</v>
      </c>
      <c r="I90" s="2" t="s">
        <v>805</v>
      </c>
      <c r="J90" s="2" t="s">
        <v>806</v>
      </c>
      <c r="K90" s="2" t="s">
        <v>718</v>
      </c>
      <c r="L90" s="2" t="s">
        <v>29</v>
      </c>
      <c r="M90" s="2" t="s">
        <v>719</v>
      </c>
      <c r="N90" s="2" t="s">
        <v>807</v>
      </c>
      <c r="O90" s="2" t="s">
        <v>808</v>
      </c>
      <c r="P90" s="2" t="s">
        <v>809</v>
      </c>
      <c r="Q90" s="2" t="s">
        <v>33</v>
      </c>
      <c r="R90" s="2" t="s">
        <v>810</v>
      </c>
      <c r="S90" s="2" t="s">
        <v>138</v>
      </c>
      <c r="T90" s="2" t="s">
        <v>149</v>
      </c>
      <c r="U90" s="2" t="s">
        <v>150</v>
      </c>
      <c r="V90" s="2" t="s">
        <v>141</v>
      </c>
    </row>
    <row r="91" spans="1:22">
      <c r="A91" s="2" t="s">
        <v>811</v>
      </c>
      <c r="B91" s="2" t="s">
        <v>812</v>
      </c>
      <c r="C91" s="2" t="s">
        <v>813</v>
      </c>
      <c r="D91" s="2">
        <v>2024</v>
      </c>
      <c r="E91" s="3">
        <v>45323</v>
      </c>
      <c r="F91" s="2" t="s">
        <v>814</v>
      </c>
      <c r="G91" s="2">
        <v>84</v>
      </c>
      <c r="H91" s="2" t="s">
        <v>43</v>
      </c>
      <c r="I91" s="2" t="s">
        <v>43</v>
      </c>
      <c r="J91" s="2" t="s">
        <v>815</v>
      </c>
      <c r="K91" s="2" t="s">
        <v>103</v>
      </c>
      <c r="L91" s="2" t="s">
        <v>29</v>
      </c>
      <c r="M91" s="2" t="s">
        <v>816</v>
      </c>
      <c r="N91" s="2" t="s">
        <v>31</v>
      </c>
      <c r="O91" s="4">
        <v>3246</v>
      </c>
      <c r="P91" s="2" t="s">
        <v>817</v>
      </c>
      <c r="Q91" s="2" t="s">
        <v>33</v>
      </c>
      <c r="R91" s="2" t="s">
        <v>818</v>
      </c>
      <c r="S91" s="2" t="s">
        <v>819</v>
      </c>
      <c r="T91" s="2" t="s">
        <v>820</v>
      </c>
      <c r="U91" s="2" t="s">
        <v>821</v>
      </c>
      <c r="V91" s="2" t="s">
        <v>80</v>
      </c>
    </row>
    <row r="92" spans="1:22" ht="28.8">
      <c r="A92" s="2" t="s">
        <v>822</v>
      </c>
      <c r="B92" s="2" t="s">
        <v>823</v>
      </c>
      <c r="C92" s="2" t="s">
        <v>824</v>
      </c>
      <c r="D92" s="2">
        <v>2024</v>
      </c>
      <c r="E92" s="3">
        <v>45444</v>
      </c>
      <c r="F92" s="2" t="s">
        <v>825</v>
      </c>
      <c r="G92" s="2">
        <v>36</v>
      </c>
      <c r="H92" s="2" t="s">
        <v>43</v>
      </c>
      <c r="I92" s="2" t="s">
        <v>43</v>
      </c>
      <c r="J92" s="2" t="s">
        <v>826</v>
      </c>
      <c r="K92" s="2" t="s">
        <v>103</v>
      </c>
      <c r="L92" s="2" t="s">
        <v>29</v>
      </c>
      <c r="M92" s="2" t="s">
        <v>745</v>
      </c>
      <c r="N92" s="2" t="s">
        <v>827</v>
      </c>
      <c r="O92" s="4">
        <v>1336</v>
      </c>
      <c r="P92" s="2" t="s">
        <v>828</v>
      </c>
      <c r="Q92" s="2" t="s">
        <v>33</v>
      </c>
      <c r="R92" s="2" t="s">
        <v>829</v>
      </c>
      <c r="S92" s="2" t="s">
        <v>830</v>
      </c>
      <c r="T92" s="2" t="s">
        <v>831</v>
      </c>
      <c r="U92" s="2" t="s">
        <v>832</v>
      </c>
      <c r="V92" s="2" t="s">
        <v>833</v>
      </c>
    </row>
    <row r="93" spans="1:22">
      <c r="A93" s="2" t="s">
        <v>834</v>
      </c>
      <c r="B93" s="2" t="s">
        <v>835</v>
      </c>
      <c r="C93" s="2" t="s">
        <v>836</v>
      </c>
      <c r="D93" s="2">
        <v>2024</v>
      </c>
      <c r="E93" s="3">
        <v>45474</v>
      </c>
      <c r="F93" s="2" t="s">
        <v>837</v>
      </c>
      <c r="G93" s="2">
        <v>40</v>
      </c>
      <c r="H93" s="2">
        <v>4</v>
      </c>
      <c r="I93" s="2" t="s">
        <v>43</v>
      </c>
      <c r="J93" s="2" t="s">
        <v>838</v>
      </c>
      <c r="K93" s="2" t="s">
        <v>119</v>
      </c>
      <c r="L93" s="2" t="s">
        <v>29</v>
      </c>
      <c r="M93" s="2" t="s">
        <v>839</v>
      </c>
      <c r="N93" s="2" t="s">
        <v>840</v>
      </c>
      <c r="O93" s="2" t="s">
        <v>841</v>
      </c>
      <c r="P93" s="2" t="s">
        <v>842</v>
      </c>
      <c r="Q93" s="2" t="s">
        <v>49</v>
      </c>
      <c r="R93" s="2" t="s">
        <v>843</v>
      </c>
      <c r="S93" s="2" t="s">
        <v>844</v>
      </c>
      <c r="T93" s="2" t="s">
        <v>845</v>
      </c>
      <c r="U93" s="2" t="s">
        <v>846</v>
      </c>
      <c r="V93" s="2" t="s">
        <v>80</v>
      </c>
    </row>
    <row r="94" spans="1:22">
      <c r="A94" s="2" t="s">
        <v>276</v>
      </c>
      <c r="B94" s="2" t="s">
        <v>847</v>
      </c>
      <c r="C94" s="2" t="s">
        <v>848</v>
      </c>
      <c r="D94" s="2">
        <v>2024</v>
      </c>
      <c r="E94" s="3">
        <v>45474</v>
      </c>
      <c r="F94" s="2" t="s">
        <v>849</v>
      </c>
      <c r="G94" s="2">
        <v>46</v>
      </c>
      <c r="H94" s="2">
        <v>7</v>
      </c>
      <c r="I94" s="2" t="s">
        <v>850</v>
      </c>
      <c r="J94" s="2" t="s">
        <v>851</v>
      </c>
      <c r="K94" s="2" t="s">
        <v>852</v>
      </c>
      <c r="L94" s="2" t="s">
        <v>29</v>
      </c>
      <c r="M94" s="2" t="s">
        <v>853</v>
      </c>
      <c r="N94" s="2" t="s">
        <v>854</v>
      </c>
      <c r="O94" s="2" t="s">
        <v>855</v>
      </c>
      <c r="P94" s="2" t="s">
        <v>856</v>
      </c>
      <c r="Q94" s="2" t="s">
        <v>49</v>
      </c>
      <c r="R94" s="2" t="s">
        <v>857</v>
      </c>
      <c r="S94" s="2" t="s">
        <v>858</v>
      </c>
      <c r="T94" s="2" t="s">
        <v>859</v>
      </c>
      <c r="U94" s="2" t="s">
        <v>860</v>
      </c>
      <c r="V94" s="2" t="s">
        <v>253</v>
      </c>
    </row>
    <row r="95" spans="1:22">
      <c r="A95" s="2" t="s">
        <v>861</v>
      </c>
      <c r="B95" s="2" t="s">
        <v>847</v>
      </c>
      <c r="C95" s="2" t="s">
        <v>848</v>
      </c>
      <c r="D95" s="2">
        <v>2024</v>
      </c>
      <c r="E95" s="3">
        <v>45474</v>
      </c>
      <c r="F95" s="2" t="s">
        <v>849</v>
      </c>
      <c r="G95" s="2">
        <v>46</v>
      </c>
      <c r="H95" s="2">
        <v>7</v>
      </c>
      <c r="I95" s="2" t="s">
        <v>850</v>
      </c>
      <c r="J95" s="2" t="s">
        <v>851</v>
      </c>
      <c r="K95" s="2" t="s">
        <v>852</v>
      </c>
      <c r="L95" s="2" t="s">
        <v>29</v>
      </c>
      <c r="M95" s="2" t="s">
        <v>853</v>
      </c>
      <c r="N95" s="2" t="s">
        <v>854</v>
      </c>
      <c r="O95" s="2" t="s">
        <v>855</v>
      </c>
      <c r="P95" s="2" t="s">
        <v>856</v>
      </c>
      <c r="Q95" s="2" t="s">
        <v>49</v>
      </c>
      <c r="R95" s="2" t="s">
        <v>857</v>
      </c>
      <c r="S95" s="2" t="s">
        <v>858</v>
      </c>
      <c r="T95" s="2" t="s">
        <v>859</v>
      </c>
      <c r="U95" s="2" t="s">
        <v>860</v>
      </c>
      <c r="V95" s="2" t="s">
        <v>253</v>
      </c>
    </row>
    <row r="96" spans="1:22">
      <c r="A96" s="2" t="s">
        <v>862</v>
      </c>
      <c r="B96" s="2" t="s">
        <v>847</v>
      </c>
      <c r="C96" s="2" t="s">
        <v>848</v>
      </c>
      <c r="D96" s="2">
        <v>2024</v>
      </c>
      <c r="E96" s="3">
        <v>45474</v>
      </c>
      <c r="F96" s="2" t="s">
        <v>849</v>
      </c>
      <c r="G96" s="2">
        <v>46</v>
      </c>
      <c r="H96" s="2">
        <v>7</v>
      </c>
      <c r="I96" s="2" t="s">
        <v>850</v>
      </c>
      <c r="J96" s="2" t="s">
        <v>851</v>
      </c>
      <c r="K96" s="2" t="s">
        <v>852</v>
      </c>
      <c r="L96" s="2" t="s">
        <v>29</v>
      </c>
      <c r="M96" s="2" t="s">
        <v>853</v>
      </c>
      <c r="N96" s="2" t="s">
        <v>854</v>
      </c>
      <c r="O96" s="2" t="s">
        <v>855</v>
      </c>
      <c r="P96" s="2" t="s">
        <v>856</v>
      </c>
      <c r="Q96" s="2" t="s">
        <v>49</v>
      </c>
      <c r="R96" s="2" t="s">
        <v>857</v>
      </c>
      <c r="S96" s="2" t="s">
        <v>858</v>
      </c>
      <c r="T96" s="2" t="s">
        <v>859</v>
      </c>
      <c r="U96" s="2" t="s">
        <v>860</v>
      </c>
      <c r="V96" s="2" t="s">
        <v>253</v>
      </c>
    </row>
    <row r="97" spans="1:22">
      <c r="A97" s="2" t="s">
        <v>863</v>
      </c>
      <c r="B97" s="2" t="s">
        <v>847</v>
      </c>
      <c r="C97" s="2" t="s">
        <v>848</v>
      </c>
      <c r="D97" s="2">
        <v>2024</v>
      </c>
      <c r="E97" s="3">
        <v>45474</v>
      </c>
      <c r="F97" s="2" t="s">
        <v>849</v>
      </c>
      <c r="G97" s="2">
        <v>46</v>
      </c>
      <c r="H97" s="2">
        <v>7</v>
      </c>
      <c r="I97" s="2" t="s">
        <v>850</v>
      </c>
      <c r="J97" s="2" t="s">
        <v>851</v>
      </c>
      <c r="K97" s="2" t="s">
        <v>852</v>
      </c>
      <c r="L97" s="2" t="s">
        <v>29</v>
      </c>
      <c r="M97" s="2" t="s">
        <v>853</v>
      </c>
      <c r="N97" s="2" t="s">
        <v>854</v>
      </c>
      <c r="O97" s="2" t="s">
        <v>855</v>
      </c>
      <c r="P97" s="2" t="s">
        <v>856</v>
      </c>
      <c r="Q97" s="2" t="s">
        <v>49</v>
      </c>
      <c r="R97" s="2" t="s">
        <v>857</v>
      </c>
      <c r="S97" s="2" t="s">
        <v>858</v>
      </c>
      <c r="T97" s="2" t="s">
        <v>859</v>
      </c>
      <c r="U97" s="2" t="s">
        <v>860</v>
      </c>
      <c r="V97" s="2" t="s">
        <v>253</v>
      </c>
    </row>
    <row r="98" spans="1:22">
      <c r="A98" s="2" t="s">
        <v>864</v>
      </c>
      <c r="B98" s="2" t="s">
        <v>865</v>
      </c>
      <c r="C98" s="2" t="s">
        <v>866</v>
      </c>
      <c r="D98" s="2">
        <v>2024</v>
      </c>
      <c r="E98" s="3">
        <v>45292</v>
      </c>
      <c r="F98" s="2" t="s">
        <v>867</v>
      </c>
      <c r="G98" s="2">
        <v>44</v>
      </c>
      <c r="H98" s="2">
        <v>2</v>
      </c>
      <c r="I98" s="2" t="s">
        <v>868</v>
      </c>
      <c r="J98" s="2" t="s">
        <v>869</v>
      </c>
      <c r="K98" s="2" t="s">
        <v>666</v>
      </c>
      <c r="L98" s="2" t="s">
        <v>29</v>
      </c>
      <c r="M98" s="2" t="s">
        <v>870</v>
      </c>
      <c r="N98" s="2" t="s">
        <v>348</v>
      </c>
      <c r="O98" s="2" t="s">
        <v>871</v>
      </c>
      <c r="P98" s="2" t="s">
        <v>872</v>
      </c>
      <c r="Q98" s="2" t="s">
        <v>33</v>
      </c>
      <c r="R98" s="2" t="s">
        <v>873</v>
      </c>
      <c r="S98" s="2" t="s">
        <v>874</v>
      </c>
      <c r="T98" s="2" t="s">
        <v>875</v>
      </c>
      <c r="U98" s="2" t="s">
        <v>876</v>
      </c>
      <c r="V98" s="2" t="s">
        <v>80</v>
      </c>
    </row>
    <row r="99" spans="1:22">
      <c r="A99" s="2" t="s">
        <v>265</v>
      </c>
      <c r="B99" s="2" t="s">
        <v>877</v>
      </c>
      <c r="C99" s="2" t="s">
        <v>878</v>
      </c>
      <c r="D99" s="2">
        <v>2024</v>
      </c>
      <c r="E99" s="3">
        <v>45306</v>
      </c>
      <c r="F99" s="2" t="s">
        <v>879</v>
      </c>
      <c r="G99" s="2">
        <v>192</v>
      </c>
      <c r="H99" s="2" t="s">
        <v>43</v>
      </c>
      <c r="I99" s="2" t="s">
        <v>43</v>
      </c>
      <c r="J99" s="2" t="s">
        <v>880</v>
      </c>
      <c r="K99" s="2" t="s">
        <v>881</v>
      </c>
      <c r="L99" s="2" t="s">
        <v>29</v>
      </c>
      <c r="M99" s="2" t="s">
        <v>735</v>
      </c>
      <c r="N99" s="2" t="s">
        <v>171</v>
      </c>
      <c r="O99" s="2" t="s">
        <v>882</v>
      </c>
      <c r="P99" s="2" t="s">
        <v>883</v>
      </c>
      <c r="Q99" s="2" t="s">
        <v>33</v>
      </c>
      <c r="R99" s="2" t="s">
        <v>884</v>
      </c>
      <c r="S99" s="2" t="s">
        <v>511</v>
      </c>
      <c r="T99" s="2" t="s">
        <v>885</v>
      </c>
      <c r="U99" s="2" t="s">
        <v>886</v>
      </c>
      <c r="V99" s="2" t="s">
        <v>80</v>
      </c>
    </row>
    <row r="100" spans="1:22">
      <c r="A100" s="2" t="s">
        <v>265</v>
      </c>
      <c r="B100" s="2" t="s">
        <v>887</v>
      </c>
      <c r="C100" s="2" t="s">
        <v>888</v>
      </c>
      <c r="D100" s="2">
        <v>2024</v>
      </c>
      <c r="E100" s="3">
        <v>45627</v>
      </c>
      <c r="F100" s="2" t="s">
        <v>889</v>
      </c>
      <c r="G100" s="2">
        <v>13</v>
      </c>
      <c r="H100" s="2">
        <v>12</v>
      </c>
      <c r="I100" s="2" t="s">
        <v>43</v>
      </c>
      <c r="J100" s="2" t="s">
        <v>890</v>
      </c>
      <c r="K100" s="2" t="s">
        <v>61</v>
      </c>
      <c r="L100" s="2" t="s">
        <v>29</v>
      </c>
      <c r="M100" s="2" t="s">
        <v>891</v>
      </c>
      <c r="N100" s="2" t="s">
        <v>498</v>
      </c>
      <c r="O100" s="4">
        <v>1484</v>
      </c>
      <c r="P100" s="2" t="s">
        <v>892</v>
      </c>
      <c r="Q100" s="2" t="s">
        <v>33</v>
      </c>
      <c r="R100" s="2" t="s">
        <v>893</v>
      </c>
      <c r="S100" s="2" t="s">
        <v>894</v>
      </c>
      <c r="T100" s="2" t="s">
        <v>895</v>
      </c>
      <c r="U100" s="2" t="s">
        <v>896</v>
      </c>
      <c r="V100" s="2" t="s">
        <v>275</v>
      </c>
    </row>
    <row r="101" spans="1:22">
      <c r="A101" s="2" t="s">
        <v>897</v>
      </c>
      <c r="B101" s="2" t="s">
        <v>898</v>
      </c>
      <c r="C101" s="2" t="s">
        <v>899</v>
      </c>
      <c r="D101" s="2">
        <v>2024</v>
      </c>
      <c r="E101" s="3">
        <v>45444</v>
      </c>
      <c r="F101" s="2" t="s">
        <v>900</v>
      </c>
      <c r="G101" s="2">
        <v>60</v>
      </c>
      <c r="H101" s="2">
        <v>2</v>
      </c>
      <c r="I101" s="2" t="s">
        <v>901</v>
      </c>
      <c r="J101" s="2" t="s">
        <v>902</v>
      </c>
      <c r="K101" s="2" t="s">
        <v>903</v>
      </c>
      <c r="L101" s="2" t="s">
        <v>29</v>
      </c>
      <c r="M101" s="2" t="s">
        <v>904</v>
      </c>
      <c r="N101" s="2" t="s">
        <v>145</v>
      </c>
      <c r="O101" s="2" t="s">
        <v>905</v>
      </c>
      <c r="P101" s="2" t="s">
        <v>906</v>
      </c>
      <c r="Q101" s="2" t="s">
        <v>33</v>
      </c>
      <c r="R101" s="2" t="s">
        <v>907</v>
      </c>
      <c r="S101" s="2" t="s">
        <v>908</v>
      </c>
      <c r="T101" s="2" t="s">
        <v>909</v>
      </c>
      <c r="U101" s="2" t="s">
        <v>910</v>
      </c>
      <c r="V101" s="2" t="s">
        <v>911</v>
      </c>
    </row>
    <row r="102" spans="1:22" ht="57.6">
      <c r="B102" s="2" t="s">
        <v>912</v>
      </c>
      <c r="C102" s="2" t="s">
        <v>913</v>
      </c>
      <c r="D102" s="2">
        <v>2024</v>
      </c>
      <c r="E102" s="3">
        <v>45474</v>
      </c>
      <c r="F102" s="2" t="s">
        <v>597</v>
      </c>
      <c r="G102" s="2">
        <v>31</v>
      </c>
      <c r="H102" s="2">
        <v>7</v>
      </c>
      <c r="I102" s="2" t="s">
        <v>914</v>
      </c>
      <c r="J102" s="2" t="s">
        <v>599</v>
      </c>
      <c r="K102" s="2" t="s">
        <v>600</v>
      </c>
      <c r="L102" s="2" t="s">
        <v>29</v>
      </c>
      <c r="M102" s="2" t="s">
        <v>601</v>
      </c>
      <c r="N102" s="2" t="s">
        <v>63</v>
      </c>
      <c r="O102" s="4">
        <v>1139</v>
      </c>
      <c r="P102" s="2" t="s">
        <v>915</v>
      </c>
      <c r="Q102" s="2" t="s">
        <v>33</v>
      </c>
      <c r="R102" s="2" t="s">
        <v>916</v>
      </c>
      <c r="S102" s="2" t="s">
        <v>917</v>
      </c>
      <c r="T102" s="2" t="s">
        <v>918</v>
      </c>
      <c r="U102" s="2" t="s">
        <v>919</v>
      </c>
      <c r="V102" s="2" t="s">
        <v>920</v>
      </c>
    </row>
    <row r="103" spans="1:22" ht="28.8">
      <c r="A103" s="2" t="s">
        <v>921</v>
      </c>
      <c r="B103" s="2" t="s">
        <v>922</v>
      </c>
      <c r="C103" s="2" t="s">
        <v>923</v>
      </c>
      <c r="D103" s="2">
        <v>2025</v>
      </c>
      <c r="E103" s="3">
        <v>45962</v>
      </c>
      <c r="F103" s="2" t="s">
        <v>924</v>
      </c>
      <c r="G103" s="2">
        <v>292</v>
      </c>
      <c r="H103" s="2">
        <v>22</v>
      </c>
      <c r="I103" s="2" t="s">
        <v>925</v>
      </c>
      <c r="J103" s="2" t="s">
        <v>926</v>
      </c>
      <c r="K103" s="2" t="s">
        <v>119</v>
      </c>
      <c r="L103" s="2" t="s">
        <v>29</v>
      </c>
      <c r="M103" s="2" t="s">
        <v>927</v>
      </c>
      <c r="N103" s="2" t="s">
        <v>76</v>
      </c>
      <c r="O103" s="4">
        <v>2042</v>
      </c>
      <c r="P103" s="2" t="s">
        <v>928</v>
      </c>
      <c r="Q103" s="2" t="s">
        <v>33</v>
      </c>
      <c r="R103" s="2" t="s">
        <v>929</v>
      </c>
      <c r="S103" s="2" t="s">
        <v>930</v>
      </c>
      <c r="T103" s="2" t="s">
        <v>931</v>
      </c>
      <c r="U103" s="2" t="s">
        <v>932</v>
      </c>
      <c r="V103" s="2" t="s">
        <v>933</v>
      </c>
    </row>
    <row r="104" spans="1:22">
      <c r="A104" s="2" t="s">
        <v>934</v>
      </c>
      <c r="B104" s="2" t="s">
        <v>935</v>
      </c>
      <c r="C104" s="2" t="s">
        <v>936</v>
      </c>
      <c r="D104" s="2">
        <v>2024</v>
      </c>
      <c r="E104" s="3">
        <v>45627</v>
      </c>
      <c r="F104" s="2" t="s">
        <v>937</v>
      </c>
      <c r="G104" s="2">
        <v>7</v>
      </c>
      <c r="H104" s="2">
        <v>1</v>
      </c>
      <c r="I104" s="2" t="s">
        <v>43</v>
      </c>
      <c r="J104" s="2" t="s">
        <v>938</v>
      </c>
      <c r="K104" s="2" t="s">
        <v>220</v>
      </c>
      <c r="L104" s="2" t="s">
        <v>29</v>
      </c>
      <c r="M104" s="2" t="s">
        <v>939</v>
      </c>
      <c r="N104" s="2" t="s">
        <v>105</v>
      </c>
      <c r="O104" s="4">
        <v>4164</v>
      </c>
      <c r="P104" s="2" t="s">
        <v>940</v>
      </c>
      <c r="Q104" s="2" t="s">
        <v>33</v>
      </c>
      <c r="R104" s="2" t="s">
        <v>941</v>
      </c>
      <c r="S104" s="2" t="s">
        <v>942</v>
      </c>
      <c r="T104" s="2" t="s">
        <v>943</v>
      </c>
      <c r="U104" s="2" t="s">
        <v>944</v>
      </c>
      <c r="V104" s="2" t="s">
        <v>621</v>
      </c>
    </row>
    <row r="105" spans="1:22" ht="28.8">
      <c r="A105" s="2" t="s">
        <v>945</v>
      </c>
      <c r="B105" s="2" t="s">
        <v>946</v>
      </c>
      <c r="C105" s="2" t="s">
        <v>947</v>
      </c>
      <c r="D105" s="2">
        <v>2024</v>
      </c>
      <c r="E105" s="3">
        <v>45627</v>
      </c>
      <c r="F105" s="2" t="s">
        <v>167</v>
      </c>
      <c r="G105" s="2">
        <v>15</v>
      </c>
      <c r="H105" s="2">
        <v>1</v>
      </c>
      <c r="I105" s="2" t="s">
        <v>43</v>
      </c>
      <c r="J105" s="2" t="s">
        <v>414</v>
      </c>
      <c r="K105" s="2" t="s">
        <v>220</v>
      </c>
      <c r="L105" s="2" t="s">
        <v>29</v>
      </c>
      <c r="M105" s="2" t="s">
        <v>415</v>
      </c>
      <c r="N105" s="2" t="s">
        <v>31</v>
      </c>
      <c r="O105" s="4">
        <v>4761</v>
      </c>
      <c r="P105" s="2" t="s">
        <v>948</v>
      </c>
      <c r="Q105" s="2" t="s">
        <v>33</v>
      </c>
      <c r="R105" s="2" t="s">
        <v>949</v>
      </c>
      <c r="S105" s="2" t="s">
        <v>950</v>
      </c>
      <c r="T105" s="2" t="s">
        <v>951</v>
      </c>
      <c r="U105" s="2" t="s">
        <v>952</v>
      </c>
      <c r="V105" s="2" t="s">
        <v>953</v>
      </c>
    </row>
    <row r="106" spans="1:22">
      <c r="A106" s="2" t="s">
        <v>954</v>
      </c>
      <c r="B106" s="2" t="s">
        <v>955</v>
      </c>
      <c r="C106" s="2" t="s">
        <v>956</v>
      </c>
      <c r="D106" s="2">
        <v>2024</v>
      </c>
      <c r="E106" s="3">
        <v>45627</v>
      </c>
      <c r="F106" s="2" t="s">
        <v>957</v>
      </c>
      <c r="G106" s="2">
        <v>602</v>
      </c>
      <c r="H106" s="2">
        <v>23</v>
      </c>
      <c r="I106" s="2" t="s">
        <v>958</v>
      </c>
      <c r="J106" s="2" t="s">
        <v>959</v>
      </c>
      <c r="K106" s="2" t="s">
        <v>119</v>
      </c>
      <c r="L106" s="2" t="s">
        <v>29</v>
      </c>
      <c r="M106" s="2" t="s">
        <v>960</v>
      </c>
      <c r="N106" s="2" t="s">
        <v>961</v>
      </c>
      <c r="O106" s="4">
        <v>1715</v>
      </c>
      <c r="P106" s="2" t="s">
        <v>962</v>
      </c>
      <c r="Q106" s="2" t="s">
        <v>33</v>
      </c>
      <c r="R106" s="2" t="s">
        <v>963</v>
      </c>
      <c r="S106" s="2" t="s">
        <v>79</v>
      </c>
      <c r="T106" s="5">
        <v>601053680000000</v>
      </c>
      <c r="U106" s="2" t="s">
        <v>79</v>
      </c>
      <c r="V106" s="2" t="s">
        <v>80</v>
      </c>
    </row>
    <row r="107" spans="1:22">
      <c r="A107" s="2" t="s">
        <v>964</v>
      </c>
      <c r="B107" s="2" t="s">
        <v>955</v>
      </c>
      <c r="C107" s="2" t="s">
        <v>956</v>
      </c>
      <c r="D107" s="2">
        <v>2024</v>
      </c>
      <c r="E107" s="3">
        <v>45627</v>
      </c>
      <c r="F107" s="2" t="s">
        <v>957</v>
      </c>
      <c r="G107" s="2">
        <v>602</v>
      </c>
      <c r="H107" s="2">
        <v>23</v>
      </c>
      <c r="I107" s="2" t="s">
        <v>958</v>
      </c>
      <c r="J107" s="2" t="s">
        <v>959</v>
      </c>
      <c r="K107" s="2" t="s">
        <v>119</v>
      </c>
      <c r="L107" s="2" t="s">
        <v>29</v>
      </c>
      <c r="M107" s="2" t="s">
        <v>960</v>
      </c>
      <c r="N107" s="2" t="s">
        <v>961</v>
      </c>
      <c r="O107" s="4">
        <v>1715</v>
      </c>
      <c r="P107" s="2" t="s">
        <v>962</v>
      </c>
      <c r="Q107" s="2" t="s">
        <v>33</v>
      </c>
      <c r="R107" s="2" t="s">
        <v>963</v>
      </c>
      <c r="S107" s="2" t="s">
        <v>79</v>
      </c>
      <c r="T107" s="5">
        <v>601053680000000</v>
      </c>
      <c r="U107" s="2" t="s">
        <v>79</v>
      </c>
      <c r="V107" s="2" t="s">
        <v>80</v>
      </c>
    </row>
    <row r="108" spans="1:22">
      <c r="A108" s="2" t="s">
        <v>965</v>
      </c>
      <c r="B108" s="2" t="s">
        <v>955</v>
      </c>
      <c r="C108" s="2" t="s">
        <v>956</v>
      </c>
      <c r="D108" s="2">
        <v>2024</v>
      </c>
      <c r="E108" s="3">
        <v>45627</v>
      </c>
      <c r="F108" s="2" t="s">
        <v>957</v>
      </c>
      <c r="G108" s="2">
        <v>602</v>
      </c>
      <c r="H108" s="2">
        <v>23</v>
      </c>
      <c r="I108" s="2" t="s">
        <v>958</v>
      </c>
      <c r="J108" s="2" t="s">
        <v>959</v>
      </c>
      <c r="K108" s="2" t="s">
        <v>119</v>
      </c>
      <c r="L108" s="2" t="s">
        <v>29</v>
      </c>
      <c r="M108" s="2" t="s">
        <v>960</v>
      </c>
      <c r="N108" s="2" t="s">
        <v>961</v>
      </c>
      <c r="O108" s="4">
        <v>1715</v>
      </c>
      <c r="P108" s="2" t="s">
        <v>962</v>
      </c>
      <c r="Q108" s="2" t="s">
        <v>33</v>
      </c>
      <c r="R108" s="2" t="s">
        <v>963</v>
      </c>
      <c r="S108" s="2" t="s">
        <v>79</v>
      </c>
      <c r="T108" s="5">
        <v>601053680000000</v>
      </c>
      <c r="U108" s="2" t="s">
        <v>79</v>
      </c>
      <c r="V108" s="2" t="s">
        <v>80</v>
      </c>
    </row>
    <row r="109" spans="1:22">
      <c r="A109" s="2" t="s">
        <v>966</v>
      </c>
      <c r="B109" s="2" t="s">
        <v>955</v>
      </c>
      <c r="C109" s="2" t="s">
        <v>956</v>
      </c>
      <c r="D109" s="2">
        <v>2024</v>
      </c>
      <c r="E109" s="3">
        <v>45627</v>
      </c>
      <c r="F109" s="2" t="s">
        <v>957</v>
      </c>
      <c r="G109" s="2">
        <v>602</v>
      </c>
      <c r="H109" s="2">
        <v>23</v>
      </c>
      <c r="I109" s="2" t="s">
        <v>958</v>
      </c>
      <c r="J109" s="2" t="s">
        <v>959</v>
      </c>
      <c r="K109" s="2" t="s">
        <v>119</v>
      </c>
      <c r="L109" s="2" t="s">
        <v>29</v>
      </c>
      <c r="M109" s="2" t="s">
        <v>960</v>
      </c>
      <c r="N109" s="2" t="s">
        <v>961</v>
      </c>
      <c r="O109" s="4">
        <v>1715</v>
      </c>
      <c r="P109" s="2" t="s">
        <v>962</v>
      </c>
      <c r="Q109" s="2" t="s">
        <v>33</v>
      </c>
      <c r="R109" s="2" t="s">
        <v>963</v>
      </c>
      <c r="S109" s="2" t="s">
        <v>79</v>
      </c>
      <c r="T109" s="5">
        <v>601053680000000</v>
      </c>
      <c r="U109" s="2" t="s">
        <v>79</v>
      </c>
      <c r="V109" s="2" t="s">
        <v>80</v>
      </c>
    </row>
    <row r="110" spans="1:22">
      <c r="A110" s="2" t="s">
        <v>384</v>
      </c>
      <c r="B110" s="2" t="s">
        <v>955</v>
      </c>
      <c r="C110" s="2" t="s">
        <v>956</v>
      </c>
      <c r="D110" s="2">
        <v>2024</v>
      </c>
      <c r="E110" s="3">
        <v>45627</v>
      </c>
      <c r="F110" s="2" t="s">
        <v>957</v>
      </c>
      <c r="G110" s="2">
        <v>602</v>
      </c>
      <c r="H110" s="2">
        <v>23</v>
      </c>
      <c r="I110" s="2" t="s">
        <v>958</v>
      </c>
      <c r="J110" s="2" t="s">
        <v>959</v>
      </c>
      <c r="K110" s="2" t="s">
        <v>119</v>
      </c>
      <c r="L110" s="2" t="s">
        <v>29</v>
      </c>
      <c r="M110" s="2" t="s">
        <v>960</v>
      </c>
      <c r="N110" s="2" t="s">
        <v>961</v>
      </c>
      <c r="O110" s="4">
        <v>1715</v>
      </c>
      <c r="P110" s="2" t="s">
        <v>962</v>
      </c>
      <c r="Q110" s="2" t="s">
        <v>33</v>
      </c>
      <c r="R110" s="2" t="s">
        <v>963</v>
      </c>
      <c r="S110" s="2" t="s">
        <v>79</v>
      </c>
      <c r="T110" s="5">
        <v>601053680000000</v>
      </c>
      <c r="U110" s="2" t="s">
        <v>79</v>
      </c>
      <c r="V110" s="2" t="s">
        <v>80</v>
      </c>
    </row>
    <row r="111" spans="1:22">
      <c r="A111" s="2" t="s">
        <v>385</v>
      </c>
      <c r="B111" s="2" t="s">
        <v>955</v>
      </c>
      <c r="C111" s="2" t="s">
        <v>956</v>
      </c>
      <c r="D111" s="2">
        <v>2024</v>
      </c>
      <c r="E111" s="3">
        <v>45627</v>
      </c>
      <c r="F111" s="2" t="s">
        <v>957</v>
      </c>
      <c r="G111" s="2">
        <v>602</v>
      </c>
      <c r="H111" s="2">
        <v>23</v>
      </c>
      <c r="I111" s="2" t="s">
        <v>958</v>
      </c>
      <c r="J111" s="2" t="s">
        <v>959</v>
      </c>
      <c r="K111" s="2" t="s">
        <v>119</v>
      </c>
      <c r="L111" s="2" t="s">
        <v>29</v>
      </c>
      <c r="M111" s="2" t="s">
        <v>960</v>
      </c>
      <c r="N111" s="2" t="s">
        <v>961</v>
      </c>
      <c r="O111" s="4">
        <v>1715</v>
      </c>
      <c r="P111" s="2" t="s">
        <v>962</v>
      </c>
      <c r="Q111" s="2" t="s">
        <v>33</v>
      </c>
      <c r="R111" s="2" t="s">
        <v>963</v>
      </c>
      <c r="S111" s="2" t="s">
        <v>79</v>
      </c>
      <c r="T111" s="5">
        <v>601053680000000</v>
      </c>
      <c r="U111" s="2" t="s">
        <v>79</v>
      </c>
      <c r="V111" s="2" t="s">
        <v>80</v>
      </c>
    </row>
    <row r="112" spans="1:22">
      <c r="A112" s="2" t="s">
        <v>967</v>
      </c>
      <c r="B112" s="2" t="s">
        <v>968</v>
      </c>
      <c r="C112" s="2" t="s">
        <v>969</v>
      </c>
      <c r="D112" s="2">
        <v>2025</v>
      </c>
      <c r="E112" s="3">
        <v>45870</v>
      </c>
      <c r="F112" s="2" t="s">
        <v>73</v>
      </c>
      <c r="G112" s="2">
        <v>26</v>
      </c>
      <c r="H112" s="2">
        <v>15</v>
      </c>
      <c r="I112" s="2" t="s">
        <v>43</v>
      </c>
      <c r="J112" s="2" t="s">
        <v>74</v>
      </c>
      <c r="K112" s="2" t="s">
        <v>61</v>
      </c>
      <c r="L112" s="2" t="s">
        <v>29</v>
      </c>
      <c r="M112" s="2" t="s">
        <v>76</v>
      </c>
      <c r="N112" s="2" t="s">
        <v>76</v>
      </c>
      <c r="O112" s="4">
        <v>1316</v>
      </c>
      <c r="P112" s="2" t="s">
        <v>970</v>
      </c>
      <c r="Q112" s="2" t="s">
        <v>49</v>
      </c>
      <c r="R112" s="2" t="s">
        <v>971</v>
      </c>
      <c r="S112" s="2" t="s">
        <v>188</v>
      </c>
      <c r="T112" s="2" t="s">
        <v>972</v>
      </c>
      <c r="U112" s="2" t="s">
        <v>973</v>
      </c>
      <c r="V112" s="2" t="s">
        <v>80</v>
      </c>
    </row>
    <row r="113" spans="1:22">
      <c r="A113" s="2" t="s">
        <v>974</v>
      </c>
      <c r="B113" s="2" t="s">
        <v>968</v>
      </c>
      <c r="C113" s="2" t="s">
        <v>969</v>
      </c>
      <c r="D113" s="2">
        <v>2025</v>
      </c>
      <c r="E113" s="3">
        <v>45870</v>
      </c>
      <c r="F113" s="2" t="s">
        <v>73</v>
      </c>
      <c r="G113" s="2">
        <v>26</v>
      </c>
      <c r="H113" s="2">
        <v>15</v>
      </c>
      <c r="I113" s="2" t="s">
        <v>43</v>
      </c>
      <c r="J113" s="2" t="s">
        <v>74</v>
      </c>
      <c r="K113" s="2" t="s">
        <v>61</v>
      </c>
      <c r="L113" s="2" t="s">
        <v>29</v>
      </c>
      <c r="M113" s="2" t="s">
        <v>76</v>
      </c>
      <c r="N113" s="2" t="s">
        <v>76</v>
      </c>
      <c r="O113" s="4">
        <v>1316</v>
      </c>
      <c r="P113" s="2" t="s">
        <v>970</v>
      </c>
      <c r="Q113" s="2" t="s">
        <v>49</v>
      </c>
      <c r="R113" s="2" t="s">
        <v>971</v>
      </c>
      <c r="S113" s="2" t="s">
        <v>188</v>
      </c>
      <c r="T113" s="2" t="s">
        <v>972</v>
      </c>
      <c r="U113" s="2" t="s">
        <v>973</v>
      </c>
      <c r="V113" s="2" t="s">
        <v>80</v>
      </c>
    </row>
    <row r="114" spans="1:22">
      <c r="A114" s="2" t="s">
        <v>975</v>
      </c>
      <c r="B114" s="2" t="s">
        <v>968</v>
      </c>
      <c r="C114" s="2" t="s">
        <v>969</v>
      </c>
      <c r="D114" s="2">
        <v>2025</v>
      </c>
      <c r="E114" s="3">
        <v>45870</v>
      </c>
      <c r="F114" s="2" t="s">
        <v>73</v>
      </c>
      <c r="G114" s="2">
        <v>26</v>
      </c>
      <c r="H114" s="2">
        <v>15</v>
      </c>
      <c r="I114" s="2" t="s">
        <v>43</v>
      </c>
      <c r="J114" s="2" t="s">
        <v>74</v>
      </c>
      <c r="K114" s="2" t="s">
        <v>61</v>
      </c>
      <c r="L114" s="2" t="s">
        <v>29</v>
      </c>
      <c r="M114" s="2" t="s">
        <v>76</v>
      </c>
      <c r="N114" s="2" t="s">
        <v>76</v>
      </c>
      <c r="O114" s="4">
        <v>1316</v>
      </c>
      <c r="P114" s="2" t="s">
        <v>970</v>
      </c>
      <c r="Q114" s="2" t="s">
        <v>49</v>
      </c>
      <c r="R114" s="2" t="s">
        <v>971</v>
      </c>
      <c r="S114" s="2" t="s">
        <v>188</v>
      </c>
      <c r="T114" s="2" t="s">
        <v>972</v>
      </c>
      <c r="U114" s="2" t="s">
        <v>973</v>
      </c>
      <c r="V114" s="2" t="s">
        <v>80</v>
      </c>
    </row>
    <row r="115" spans="1:22" ht="28.8">
      <c r="A115" s="2" t="s">
        <v>276</v>
      </c>
      <c r="B115" s="2" t="s">
        <v>976</v>
      </c>
      <c r="C115" s="2" t="s">
        <v>977</v>
      </c>
      <c r="D115" s="2">
        <v>2024</v>
      </c>
      <c r="E115" s="3">
        <v>45474</v>
      </c>
      <c r="F115" s="2" t="s">
        <v>849</v>
      </c>
      <c r="G115" s="2">
        <v>46</v>
      </c>
      <c r="H115" s="2">
        <v>7</v>
      </c>
      <c r="I115" s="2" t="s">
        <v>978</v>
      </c>
      <c r="J115" s="2" t="s">
        <v>851</v>
      </c>
      <c r="K115" s="2" t="s">
        <v>852</v>
      </c>
      <c r="L115" s="2" t="s">
        <v>29</v>
      </c>
      <c r="M115" s="2" t="s">
        <v>853</v>
      </c>
      <c r="N115" s="2" t="s">
        <v>854</v>
      </c>
      <c r="O115" s="2" t="s">
        <v>855</v>
      </c>
      <c r="P115" s="2" t="s">
        <v>979</v>
      </c>
      <c r="Q115" s="2" t="s">
        <v>33</v>
      </c>
      <c r="R115" s="2" t="s">
        <v>980</v>
      </c>
      <c r="S115" s="2" t="s">
        <v>981</v>
      </c>
      <c r="T115" s="2" t="s">
        <v>982</v>
      </c>
      <c r="U115" s="2" t="s">
        <v>983</v>
      </c>
      <c r="V115" s="2" t="s">
        <v>984</v>
      </c>
    </row>
    <row r="116" spans="1:22">
      <c r="A116" s="2" t="s">
        <v>113</v>
      </c>
      <c r="B116" s="2" t="s">
        <v>985</v>
      </c>
      <c r="C116" s="2" t="s">
        <v>986</v>
      </c>
      <c r="D116" s="2">
        <v>2025</v>
      </c>
      <c r="E116" s="3">
        <v>45658</v>
      </c>
      <c r="F116" s="2" t="s">
        <v>987</v>
      </c>
      <c r="G116" s="2" t="s">
        <v>43</v>
      </c>
      <c r="H116" s="2" t="s">
        <v>43</v>
      </c>
      <c r="I116" s="2" t="s">
        <v>43</v>
      </c>
      <c r="J116" s="2" t="s">
        <v>988</v>
      </c>
      <c r="K116" s="2" t="s">
        <v>119</v>
      </c>
      <c r="L116" s="2" t="s">
        <v>29</v>
      </c>
      <c r="M116" s="2" t="s">
        <v>989</v>
      </c>
      <c r="N116" s="2" t="s">
        <v>105</v>
      </c>
      <c r="O116" s="4">
        <v>4915</v>
      </c>
      <c r="P116" s="2" t="s">
        <v>990</v>
      </c>
      <c r="Q116" s="2" t="s">
        <v>49</v>
      </c>
      <c r="R116" s="2" t="s">
        <v>991</v>
      </c>
      <c r="S116" s="2" t="s">
        <v>992</v>
      </c>
      <c r="T116" s="2" t="s">
        <v>993</v>
      </c>
      <c r="U116" s="2" t="s">
        <v>994</v>
      </c>
      <c r="V116" s="2" t="s">
        <v>995</v>
      </c>
    </row>
    <row r="117" spans="1:22" ht="28.8">
      <c r="A117" s="2" t="s">
        <v>996</v>
      </c>
      <c r="B117" s="2" t="s">
        <v>997</v>
      </c>
      <c r="C117" s="2" t="s">
        <v>998</v>
      </c>
      <c r="D117" s="2">
        <v>2024</v>
      </c>
      <c r="E117" s="3">
        <v>45519</v>
      </c>
      <c r="F117" s="2" t="s">
        <v>999</v>
      </c>
      <c r="G117" s="2">
        <v>351</v>
      </c>
      <c r="H117" s="2" t="s">
        <v>43</v>
      </c>
      <c r="I117" s="2" t="s">
        <v>43</v>
      </c>
      <c r="J117" s="2" t="s">
        <v>1000</v>
      </c>
      <c r="K117" s="2" t="s">
        <v>734</v>
      </c>
      <c r="L117" s="2" t="s">
        <v>29</v>
      </c>
      <c r="M117" s="2" t="s">
        <v>1001</v>
      </c>
      <c r="N117" s="2" t="s">
        <v>105</v>
      </c>
      <c r="O117" s="4">
        <v>1315</v>
      </c>
      <c r="P117" s="2" t="s">
        <v>1002</v>
      </c>
      <c r="Q117" s="2" t="s">
        <v>33</v>
      </c>
      <c r="R117" s="2" t="s">
        <v>1003</v>
      </c>
      <c r="S117" s="2" t="s">
        <v>1004</v>
      </c>
      <c r="T117" s="2" t="s">
        <v>1005</v>
      </c>
      <c r="U117" s="2" t="s">
        <v>1006</v>
      </c>
      <c r="V117" s="2" t="s">
        <v>1007</v>
      </c>
    </row>
    <row r="118" spans="1:22" ht="28.8">
      <c r="A118" s="2" t="s">
        <v>1008</v>
      </c>
      <c r="B118" s="2" t="s">
        <v>997</v>
      </c>
      <c r="C118" s="2" t="s">
        <v>998</v>
      </c>
      <c r="D118" s="2">
        <v>2024</v>
      </c>
      <c r="E118" s="3">
        <v>45519</v>
      </c>
      <c r="F118" s="2" t="s">
        <v>999</v>
      </c>
      <c r="G118" s="2">
        <v>351</v>
      </c>
      <c r="H118" s="2" t="s">
        <v>43</v>
      </c>
      <c r="I118" s="2" t="s">
        <v>43</v>
      </c>
      <c r="J118" s="2" t="s">
        <v>1000</v>
      </c>
      <c r="K118" s="2" t="s">
        <v>734</v>
      </c>
      <c r="L118" s="2" t="s">
        <v>29</v>
      </c>
      <c r="M118" s="2" t="s">
        <v>1001</v>
      </c>
      <c r="N118" s="2" t="s">
        <v>105</v>
      </c>
      <c r="O118" s="4">
        <v>1315</v>
      </c>
      <c r="P118" s="2" t="s">
        <v>1002</v>
      </c>
      <c r="Q118" s="2" t="s">
        <v>33</v>
      </c>
      <c r="R118" s="2" t="s">
        <v>1003</v>
      </c>
      <c r="S118" s="2" t="s">
        <v>1004</v>
      </c>
      <c r="T118" s="2" t="s">
        <v>1005</v>
      </c>
      <c r="U118" s="2" t="s">
        <v>1006</v>
      </c>
      <c r="V118" s="2" t="s">
        <v>1007</v>
      </c>
    </row>
    <row r="119" spans="1:22" ht="28.8">
      <c r="A119" s="2" t="s">
        <v>1009</v>
      </c>
      <c r="B119" s="2" t="s">
        <v>997</v>
      </c>
      <c r="C119" s="2" t="s">
        <v>998</v>
      </c>
      <c r="D119" s="2">
        <v>2024</v>
      </c>
      <c r="E119" s="3">
        <v>45519</v>
      </c>
      <c r="F119" s="2" t="s">
        <v>999</v>
      </c>
      <c r="G119" s="2">
        <v>351</v>
      </c>
      <c r="H119" s="2" t="s">
        <v>43</v>
      </c>
      <c r="I119" s="2" t="s">
        <v>43</v>
      </c>
      <c r="J119" s="2" t="s">
        <v>1000</v>
      </c>
      <c r="K119" s="2" t="s">
        <v>734</v>
      </c>
      <c r="L119" s="2" t="s">
        <v>29</v>
      </c>
      <c r="M119" s="2" t="s">
        <v>1001</v>
      </c>
      <c r="N119" s="2" t="s">
        <v>105</v>
      </c>
      <c r="O119" s="4">
        <v>1315</v>
      </c>
      <c r="P119" s="2" t="s">
        <v>1002</v>
      </c>
      <c r="Q119" s="2" t="s">
        <v>33</v>
      </c>
      <c r="R119" s="2" t="s">
        <v>1003</v>
      </c>
      <c r="S119" s="2" t="s">
        <v>1004</v>
      </c>
      <c r="T119" s="2" t="s">
        <v>1005</v>
      </c>
      <c r="U119" s="2" t="s">
        <v>1006</v>
      </c>
      <c r="V119" s="2" t="s">
        <v>1007</v>
      </c>
    </row>
    <row r="120" spans="1:22" ht="28.8">
      <c r="A120" s="2" t="s">
        <v>1010</v>
      </c>
      <c r="B120" s="2" t="s">
        <v>997</v>
      </c>
      <c r="C120" s="2" t="s">
        <v>998</v>
      </c>
      <c r="D120" s="2">
        <v>2024</v>
      </c>
      <c r="E120" s="3">
        <v>45519</v>
      </c>
      <c r="F120" s="2" t="s">
        <v>999</v>
      </c>
      <c r="G120" s="2">
        <v>351</v>
      </c>
      <c r="H120" s="2" t="s">
        <v>43</v>
      </c>
      <c r="I120" s="2" t="s">
        <v>43</v>
      </c>
      <c r="J120" s="2" t="s">
        <v>1000</v>
      </c>
      <c r="K120" s="2" t="s">
        <v>734</v>
      </c>
      <c r="L120" s="2" t="s">
        <v>29</v>
      </c>
      <c r="M120" s="2" t="s">
        <v>1001</v>
      </c>
      <c r="N120" s="2" t="s">
        <v>105</v>
      </c>
      <c r="O120" s="4">
        <v>1315</v>
      </c>
      <c r="P120" s="2" t="s">
        <v>1002</v>
      </c>
      <c r="Q120" s="2" t="s">
        <v>33</v>
      </c>
      <c r="R120" s="2" t="s">
        <v>1003</v>
      </c>
      <c r="S120" s="2" t="s">
        <v>1004</v>
      </c>
      <c r="T120" s="2" t="s">
        <v>1005</v>
      </c>
      <c r="U120" s="2" t="s">
        <v>1006</v>
      </c>
      <c r="V120" s="2" t="s">
        <v>1007</v>
      </c>
    </row>
    <row r="121" spans="1:22" ht="28.8">
      <c r="A121" s="2" t="s">
        <v>1011</v>
      </c>
      <c r="B121" s="2" t="s">
        <v>997</v>
      </c>
      <c r="C121" s="2" t="s">
        <v>998</v>
      </c>
      <c r="D121" s="2">
        <v>2024</v>
      </c>
      <c r="E121" s="3">
        <v>45519</v>
      </c>
      <c r="F121" s="2" t="s">
        <v>999</v>
      </c>
      <c r="G121" s="2">
        <v>351</v>
      </c>
      <c r="H121" s="2" t="s">
        <v>43</v>
      </c>
      <c r="I121" s="2" t="s">
        <v>43</v>
      </c>
      <c r="J121" s="2" t="s">
        <v>1000</v>
      </c>
      <c r="K121" s="2" t="s">
        <v>734</v>
      </c>
      <c r="L121" s="2" t="s">
        <v>29</v>
      </c>
      <c r="M121" s="2" t="s">
        <v>1001</v>
      </c>
      <c r="N121" s="2" t="s">
        <v>105</v>
      </c>
      <c r="O121" s="4">
        <v>1315</v>
      </c>
      <c r="P121" s="2" t="s">
        <v>1002</v>
      </c>
      <c r="Q121" s="2" t="s">
        <v>33</v>
      </c>
      <c r="R121" s="2" t="s">
        <v>1003</v>
      </c>
      <c r="S121" s="2" t="s">
        <v>1004</v>
      </c>
      <c r="T121" s="2" t="s">
        <v>1005</v>
      </c>
      <c r="U121" s="2" t="s">
        <v>1006</v>
      </c>
      <c r="V121" s="2" t="s">
        <v>1007</v>
      </c>
    </row>
    <row r="122" spans="1:22" ht="28.8">
      <c r="A122" s="2" t="s">
        <v>1012</v>
      </c>
      <c r="B122" s="2" t="s">
        <v>997</v>
      </c>
      <c r="C122" s="2" t="s">
        <v>998</v>
      </c>
      <c r="D122" s="2">
        <v>2024</v>
      </c>
      <c r="E122" s="3">
        <v>45519</v>
      </c>
      <c r="F122" s="2" t="s">
        <v>999</v>
      </c>
      <c r="G122" s="2">
        <v>351</v>
      </c>
      <c r="H122" s="2" t="s">
        <v>43</v>
      </c>
      <c r="I122" s="2" t="s">
        <v>43</v>
      </c>
      <c r="J122" s="2" t="s">
        <v>1000</v>
      </c>
      <c r="K122" s="2" t="s">
        <v>734</v>
      </c>
      <c r="L122" s="2" t="s">
        <v>29</v>
      </c>
      <c r="M122" s="2" t="s">
        <v>1001</v>
      </c>
      <c r="N122" s="2" t="s">
        <v>105</v>
      </c>
      <c r="O122" s="4">
        <v>1315</v>
      </c>
      <c r="P122" s="2" t="s">
        <v>1002</v>
      </c>
      <c r="Q122" s="2" t="s">
        <v>33</v>
      </c>
      <c r="R122" s="2" t="s">
        <v>1003</v>
      </c>
      <c r="S122" s="2" t="s">
        <v>1004</v>
      </c>
      <c r="T122" s="2" t="s">
        <v>1005</v>
      </c>
      <c r="U122" s="2" t="s">
        <v>1006</v>
      </c>
      <c r="V122" s="2" t="s">
        <v>1007</v>
      </c>
    </row>
    <row r="123" spans="1:22" ht="28.8">
      <c r="A123" s="2" t="s">
        <v>921</v>
      </c>
      <c r="B123" s="2" t="s">
        <v>997</v>
      </c>
      <c r="C123" s="2" t="s">
        <v>998</v>
      </c>
      <c r="D123" s="2">
        <v>2024</v>
      </c>
      <c r="E123" s="3">
        <v>45519</v>
      </c>
      <c r="F123" s="2" t="s">
        <v>999</v>
      </c>
      <c r="G123" s="2">
        <v>351</v>
      </c>
      <c r="H123" s="2" t="s">
        <v>43</v>
      </c>
      <c r="I123" s="2" t="s">
        <v>43</v>
      </c>
      <c r="J123" s="2" t="s">
        <v>1000</v>
      </c>
      <c r="K123" s="2" t="s">
        <v>734</v>
      </c>
      <c r="L123" s="2" t="s">
        <v>29</v>
      </c>
      <c r="M123" s="2" t="s">
        <v>1001</v>
      </c>
      <c r="N123" s="2" t="s">
        <v>105</v>
      </c>
      <c r="O123" s="4">
        <v>1315</v>
      </c>
      <c r="P123" s="2" t="s">
        <v>1002</v>
      </c>
      <c r="Q123" s="2" t="s">
        <v>33</v>
      </c>
      <c r="R123" s="2" t="s">
        <v>1003</v>
      </c>
      <c r="S123" s="2" t="s">
        <v>1004</v>
      </c>
      <c r="T123" s="2" t="s">
        <v>1005</v>
      </c>
      <c r="U123" s="2" t="s">
        <v>1006</v>
      </c>
      <c r="V123" s="2" t="s">
        <v>1007</v>
      </c>
    </row>
    <row r="124" spans="1:22" ht="28.8">
      <c r="A124" s="2" t="s">
        <v>1013</v>
      </c>
      <c r="B124" s="2" t="s">
        <v>1014</v>
      </c>
      <c r="C124" s="2" t="s">
        <v>1015</v>
      </c>
      <c r="D124" s="2">
        <v>2025</v>
      </c>
      <c r="E124" s="3">
        <v>45901</v>
      </c>
      <c r="F124" s="2" t="s">
        <v>731</v>
      </c>
      <c r="G124" s="2">
        <v>237</v>
      </c>
      <c r="H124" s="2" t="s">
        <v>43</v>
      </c>
      <c r="I124" s="2" t="s">
        <v>1016</v>
      </c>
      <c r="J124" s="2" t="s">
        <v>733</v>
      </c>
      <c r="K124" s="2" t="s">
        <v>734</v>
      </c>
      <c r="L124" s="2" t="s">
        <v>29</v>
      </c>
      <c r="M124" s="2" t="s">
        <v>1017</v>
      </c>
      <c r="N124" s="2" t="s">
        <v>247</v>
      </c>
      <c r="O124" s="4">
        <v>2105</v>
      </c>
      <c r="P124" s="2" t="s">
        <v>1018</v>
      </c>
      <c r="Q124" s="2" t="s">
        <v>49</v>
      </c>
      <c r="R124" s="2" t="s">
        <v>1019</v>
      </c>
      <c r="S124" s="2" t="s">
        <v>1020</v>
      </c>
      <c r="T124" s="2" t="s">
        <v>1021</v>
      </c>
      <c r="U124" s="2" t="s">
        <v>1022</v>
      </c>
      <c r="V124" s="2" t="s">
        <v>1023</v>
      </c>
    </row>
    <row r="125" spans="1:22" ht="28.8">
      <c r="A125" s="2" t="s">
        <v>1024</v>
      </c>
      <c r="B125" s="2" t="s">
        <v>1014</v>
      </c>
      <c r="C125" s="2" t="s">
        <v>1015</v>
      </c>
      <c r="D125" s="2">
        <v>2025</v>
      </c>
      <c r="E125" s="3">
        <v>45901</v>
      </c>
      <c r="F125" s="2" t="s">
        <v>731</v>
      </c>
      <c r="G125" s="2">
        <v>237</v>
      </c>
      <c r="H125" s="2" t="s">
        <v>43</v>
      </c>
      <c r="I125" s="2" t="s">
        <v>1016</v>
      </c>
      <c r="J125" s="2" t="s">
        <v>733</v>
      </c>
      <c r="K125" s="2" t="s">
        <v>734</v>
      </c>
      <c r="L125" s="2" t="s">
        <v>29</v>
      </c>
      <c r="M125" s="2" t="s">
        <v>1017</v>
      </c>
      <c r="N125" s="2" t="s">
        <v>247</v>
      </c>
      <c r="O125" s="4">
        <v>2105</v>
      </c>
      <c r="P125" s="2" t="s">
        <v>1018</v>
      </c>
      <c r="Q125" s="2" t="s">
        <v>49</v>
      </c>
      <c r="R125" s="2" t="s">
        <v>1019</v>
      </c>
      <c r="S125" s="2" t="s">
        <v>1020</v>
      </c>
      <c r="T125" s="2" t="s">
        <v>1021</v>
      </c>
      <c r="U125" s="2" t="s">
        <v>1022</v>
      </c>
      <c r="V125" s="2" t="s">
        <v>1023</v>
      </c>
    </row>
    <row r="126" spans="1:22">
      <c r="A126" s="2" t="s">
        <v>276</v>
      </c>
      <c r="B126" s="2" t="s">
        <v>1025</v>
      </c>
      <c r="C126" s="2" t="s">
        <v>1026</v>
      </c>
      <c r="D126" s="2">
        <v>2024</v>
      </c>
      <c r="E126" s="3">
        <v>45474</v>
      </c>
      <c r="F126" s="2" t="s">
        <v>651</v>
      </c>
      <c r="G126" s="2">
        <v>13</v>
      </c>
      <c r="H126" s="2">
        <v>13</v>
      </c>
      <c r="I126" s="2" t="s">
        <v>43</v>
      </c>
      <c r="J126" s="2" t="s">
        <v>652</v>
      </c>
      <c r="K126" s="2" t="s">
        <v>61</v>
      </c>
      <c r="L126" s="2" t="s">
        <v>29</v>
      </c>
      <c r="M126" s="2" t="s">
        <v>653</v>
      </c>
      <c r="N126" s="2" t="s">
        <v>476</v>
      </c>
      <c r="O126" s="2" t="s">
        <v>654</v>
      </c>
      <c r="P126" s="2" t="s">
        <v>1027</v>
      </c>
      <c r="Q126" s="2" t="s">
        <v>49</v>
      </c>
      <c r="R126" s="2" t="s">
        <v>1028</v>
      </c>
      <c r="S126" s="2" t="s">
        <v>1029</v>
      </c>
      <c r="T126" s="2" t="s">
        <v>1030</v>
      </c>
      <c r="U126" s="2" t="s">
        <v>1031</v>
      </c>
      <c r="V126" s="2" t="s">
        <v>660</v>
      </c>
    </row>
    <row r="127" spans="1:22">
      <c r="A127" s="2" t="s">
        <v>1032</v>
      </c>
      <c r="B127" s="2" t="s">
        <v>1033</v>
      </c>
      <c r="C127" s="2" t="s">
        <v>1034</v>
      </c>
      <c r="D127" s="2">
        <v>2024</v>
      </c>
      <c r="E127" s="3">
        <v>45292</v>
      </c>
      <c r="F127" s="2" t="s">
        <v>1035</v>
      </c>
      <c r="G127" s="2">
        <v>9</v>
      </c>
      <c r="H127" s="2">
        <v>4</v>
      </c>
      <c r="I127" s="2" t="s">
        <v>1036</v>
      </c>
      <c r="J127" s="2" t="s">
        <v>1037</v>
      </c>
      <c r="K127" s="2" t="s">
        <v>1038</v>
      </c>
      <c r="L127" s="2" t="s">
        <v>29</v>
      </c>
      <c r="M127" s="2" t="s">
        <v>745</v>
      </c>
      <c r="N127" s="2" t="s">
        <v>171</v>
      </c>
      <c r="O127" s="4">
        <v>1776</v>
      </c>
      <c r="P127" s="2" t="s">
        <v>1039</v>
      </c>
      <c r="Q127" s="2" t="s">
        <v>49</v>
      </c>
      <c r="R127" s="2" t="s">
        <v>1040</v>
      </c>
      <c r="S127" s="2" t="s">
        <v>1041</v>
      </c>
      <c r="T127" s="2" t="s">
        <v>1042</v>
      </c>
      <c r="U127" s="2" t="s">
        <v>1043</v>
      </c>
      <c r="V127" s="2" t="s">
        <v>1044</v>
      </c>
    </row>
    <row r="128" spans="1:22">
      <c r="A128" s="2" t="s">
        <v>128</v>
      </c>
      <c r="B128" s="2" t="s">
        <v>1045</v>
      </c>
      <c r="C128" s="2" t="s">
        <v>130</v>
      </c>
      <c r="D128" s="2">
        <v>2024</v>
      </c>
      <c r="E128" s="3">
        <v>45292</v>
      </c>
      <c r="F128" s="2" t="s">
        <v>1046</v>
      </c>
      <c r="G128" s="2" t="s">
        <v>43</v>
      </c>
      <c r="H128" s="2" t="s">
        <v>43</v>
      </c>
      <c r="I128" s="2" t="s">
        <v>43</v>
      </c>
      <c r="J128" s="2" t="s">
        <v>1047</v>
      </c>
      <c r="K128" s="2" t="s">
        <v>718</v>
      </c>
      <c r="L128" s="2" t="s">
        <v>29</v>
      </c>
      <c r="M128" s="2" t="s">
        <v>120</v>
      </c>
      <c r="N128" s="2" t="s">
        <v>476</v>
      </c>
      <c r="O128" s="2" t="s">
        <v>1048</v>
      </c>
      <c r="P128" s="2" t="s">
        <v>1049</v>
      </c>
      <c r="Q128" s="2" t="s">
        <v>33</v>
      </c>
      <c r="R128" s="2" t="s">
        <v>1050</v>
      </c>
      <c r="S128" s="2" t="s">
        <v>138</v>
      </c>
      <c r="T128" s="2" t="s">
        <v>149</v>
      </c>
      <c r="U128" s="2" t="s">
        <v>150</v>
      </c>
      <c r="V128" s="2" t="s">
        <v>141</v>
      </c>
    </row>
    <row r="129" spans="1:22">
      <c r="A129" s="2" t="s">
        <v>1051</v>
      </c>
      <c r="B129" s="2" t="s">
        <v>1052</v>
      </c>
      <c r="C129" s="2" t="s">
        <v>1053</v>
      </c>
      <c r="D129" s="2">
        <v>2024</v>
      </c>
      <c r="E129" s="3">
        <v>45413</v>
      </c>
      <c r="F129" s="2" t="s">
        <v>1054</v>
      </c>
      <c r="G129" s="2">
        <v>191</v>
      </c>
      <c r="H129" s="2" t="s">
        <v>43</v>
      </c>
      <c r="I129" s="2" t="s">
        <v>43</v>
      </c>
      <c r="J129" s="2" t="s">
        <v>1055</v>
      </c>
      <c r="K129" s="2" t="s">
        <v>45</v>
      </c>
      <c r="L129" s="2" t="s">
        <v>29</v>
      </c>
      <c r="M129" s="2" t="s">
        <v>1017</v>
      </c>
      <c r="N129" s="2" t="s">
        <v>171</v>
      </c>
      <c r="O129" s="4">
        <v>1628</v>
      </c>
      <c r="P129" s="2" t="s">
        <v>1056</v>
      </c>
      <c r="Q129" s="2" t="s">
        <v>33</v>
      </c>
      <c r="R129" s="2" t="s">
        <v>1057</v>
      </c>
      <c r="S129" s="2" t="s">
        <v>821</v>
      </c>
      <c r="T129" s="2" t="s">
        <v>1058</v>
      </c>
      <c r="U129" s="2" t="s">
        <v>1059</v>
      </c>
      <c r="V129" s="2" t="s">
        <v>1060</v>
      </c>
    </row>
    <row r="130" spans="1:22" ht="28.8">
      <c r="A130" s="2" t="s">
        <v>1061</v>
      </c>
      <c r="B130" s="2" t="s">
        <v>1062</v>
      </c>
      <c r="C130" s="2" t="s">
        <v>1063</v>
      </c>
      <c r="D130" s="2">
        <v>2024</v>
      </c>
      <c r="E130" s="3">
        <v>45597</v>
      </c>
      <c r="F130" s="2" t="s">
        <v>889</v>
      </c>
      <c r="G130" s="2">
        <v>13</v>
      </c>
      <c r="H130" s="2">
        <v>11</v>
      </c>
      <c r="I130" s="2" t="s">
        <v>43</v>
      </c>
      <c r="J130" s="2" t="s">
        <v>890</v>
      </c>
      <c r="K130" s="2" t="s">
        <v>61</v>
      </c>
      <c r="L130" s="2" t="s">
        <v>29</v>
      </c>
      <c r="M130" s="2" t="s">
        <v>891</v>
      </c>
      <c r="N130" s="2" t="s">
        <v>498</v>
      </c>
      <c r="O130" s="4">
        <v>1484</v>
      </c>
      <c r="P130" s="2" t="s">
        <v>1064</v>
      </c>
      <c r="Q130" s="2" t="s">
        <v>49</v>
      </c>
      <c r="R130" s="2" t="s">
        <v>1065</v>
      </c>
      <c r="S130" s="2" t="s">
        <v>1066</v>
      </c>
      <c r="T130" s="2" t="s">
        <v>1067</v>
      </c>
      <c r="U130" s="2" t="s">
        <v>1068</v>
      </c>
      <c r="V130" s="2" t="s">
        <v>693</v>
      </c>
    </row>
    <row r="131" spans="1:22" ht="28.8">
      <c r="A131" s="2" t="s">
        <v>83</v>
      </c>
      <c r="B131" s="2" t="s">
        <v>1069</v>
      </c>
      <c r="C131" s="2" t="s">
        <v>1070</v>
      </c>
      <c r="D131" s="2">
        <v>2025</v>
      </c>
      <c r="E131" s="3">
        <v>45992</v>
      </c>
      <c r="F131" s="2" t="s">
        <v>167</v>
      </c>
      <c r="G131" s="2">
        <v>23</v>
      </c>
      <c r="H131" s="2">
        <v>1</v>
      </c>
      <c r="I131" s="2" t="s">
        <v>43</v>
      </c>
      <c r="J131" s="2" t="s">
        <v>1071</v>
      </c>
      <c r="K131" s="2" t="s">
        <v>233</v>
      </c>
      <c r="L131" s="2" t="s">
        <v>29</v>
      </c>
      <c r="M131" s="2" t="s">
        <v>1072</v>
      </c>
      <c r="N131" s="2" t="s">
        <v>75</v>
      </c>
      <c r="O131" s="4">
        <v>2898</v>
      </c>
      <c r="P131" s="2" t="s">
        <v>1073</v>
      </c>
      <c r="Q131" s="2" t="s">
        <v>33</v>
      </c>
      <c r="R131" s="2" t="s">
        <v>1074</v>
      </c>
      <c r="S131" s="2" t="s">
        <v>1075</v>
      </c>
      <c r="T131" s="2" t="s">
        <v>1076</v>
      </c>
      <c r="U131" s="2" t="s">
        <v>1077</v>
      </c>
      <c r="V131" s="2" t="s">
        <v>1078</v>
      </c>
    </row>
    <row r="132" spans="1:22" ht="100.8">
      <c r="A132" s="2" t="s">
        <v>1079</v>
      </c>
      <c r="B132" s="2" t="s">
        <v>1080</v>
      </c>
      <c r="C132" s="2" t="s">
        <v>1081</v>
      </c>
      <c r="D132" s="2">
        <v>2025</v>
      </c>
      <c r="E132" s="3">
        <v>45901</v>
      </c>
      <c r="F132" s="2" t="s">
        <v>1082</v>
      </c>
      <c r="G132" s="2">
        <v>137</v>
      </c>
      <c r="H132" s="2">
        <v>9</v>
      </c>
      <c r="I132" s="2" t="s">
        <v>43</v>
      </c>
      <c r="J132" s="2" t="s">
        <v>1083</v>
      </c>
      <c r="K132" s="2" t="s">
        <v>1084</v>
      </c>
      <c r="L132" s="2" t="s">
        <v>29</v>
      </c>
      <c r="M132" s="2" t="s">
        <v>76</v>
      </c>
      <c r="N132" s="2" t="s">
        <v>76</v>
      </c>
      <c r="O132" s="4">
        <v>2492</v>
      </c>
      <c r="P132" s="2" t="s">
        <v>1085</v>
      </c>
      <c r="Q132" s="2" t="s">
        <v>33</v>
      </c>
      <c r="R132" s="2" t="s">
        <v>1086</v>
      </c>
      <c r="S132" s="2" t="s">
        <v>1087</v>
      </c>
      <c r="T132" s="2" t="s">
        <v>1088</v>
      </c>
      <c r="U132" s="2" t="s">
        <v>1089</v>
      </c>
      <c r="V132" s="2" t="s">
        <v>1090</v>
      </c>
    </row>
    <row r="133" spans="1:22">
      <c r="A133" s="2" t="s">
        <v>83</v>
      </c>
      <c r="B133" s="2" t="s">
        <v>1091</v>
      </c>
      <c r="C133" s="2" t="s">
        <v>1092</v>
      </c>
      <c r="D133" s="2">
        <v>2025</v>
      </c>
      <c r="E133" s="3">
        <v>45962</v>
      </c>
      <c r="F133" s="2" t="s">
        <v>889</v>
      </c>
      <c r="G133" s="2">
        <v>14</v>
      </c>
      <c r="H133" s="2">
        <v>11</v>
      </c>
      <c r="I133" s="2" t="s">
        <v>43</v>
      </c>
      <c r="J133" s="2" t="s">
        <v>890</v>
      </c>
      <c r="K133" s="2" t="s">
        <v>61</v>
      </c>
      <c r="L133" s="2" t="s">
        <v>29</v>
      </c>
      <c r="M133" s="2" t="s">
        <v>1093</v>
      </c>
      <c r="N133" s="2" t="s">
        <v>171</v>
      </c>
      <c r="O133" s="4">
        <v>1706</v>
      </c>
      <c r="P133" s="2" t="s">
        <v>1094</v>
      </c>
      <c r="Q133" s="2" t="s">
        <v>49</v>
      </c>
      <c r="R133" s="2" t="s">
        <v>1095</v>
      </c>
      <c r="S133" s="2" t="s">
        <v>1096</v>
      </c>
      <c r="T133" s="2" t="s">
        <v>1097</v>
      </c>
      <c r="U133" s="2" t="s">
        <v>1098</v>
      </c>
      <c r="V133" s="2" t="s">
        <v>1099</v>
      </c>
    </row>
    <row r="134" spans="1:22">
      <c r="A134" s="2" t="s">
        <v>1100</v>
      </c>
      <c r="B134" s="2" t="s">
        <v>1101</v>
      </c>
      <c r="C134" s="2" t="s">
        <v>1102</v>
      </c>
      <c r="D134" s="2">
        <v>2024</v>
      </c>
      <c r="E134" s="3">
        <v>45383</v>
      </c>
      <c r="F134" s="2" t="s">
        <v>638</v>
      </c>
      <c r="G134" s="2">
        <v>209</v>
      </c>
      <c r="H134" s="2">
        <v>7</v>
      </c>
      <c r="I134" s="2" t="s">
        <v>1103</v>
      </c>
      <c r="J134" s="2" t="s">
        <v>640</v>
      </c>
      <c r="K134" s="2" t="s">
        <v>641</v>
      </c>
      <c r="L134" s="2" t="s">
        <v>29</v>
      </c>
      <c r="M134" s="2" t="s">
        <v>642</v>
      </c>
      <c r="N134" s="2" t="s">
        <v>105</v>
      </c>
      <c r="O134" s="4">
        <v>5076</v>
      </c>
      <c r="P134" s="2" t="s">
        <v>1104</v>
      </c>
      <c r="Q134" s="2" t="s">
        <v>644</v>
      </c>
      <c r="R134" s="2" t="s">
        <v>1105</v>
      </c>
      <c r="S134" s="2" t="s">
        <v>1106</v>
      </c>
      <c r="T134" s="2" t="s">
        <v>1107</v>
      </c>
      <c r="U134" s="2" t="s">
        <v>1108</v>
      </c>
      <c r="V134" s="2" t="s">
        <v>80</v>
      </c>
    </row>
    <row r="135" spans="1:22">
      <c r="A135" s="2" t="s">
        <v>1109</v>
      </c>
      <c r="B135" s="2" t="s">
        <v>1110</v>
      </c>
      <c r="C135" s="2" t="s">
        <v>1111</v>
      </c>
      <c r="D135" s="2">
        <v>2025</v>
      </c>
      <c r="E135" s="3">
        <v>45809</v>
      </c>
      <c r="F135" s="2" t="s">
        <v>1112</v>
      </c>
      <c r="G135" s="2">
        <v>79</v>
      </c>
      <c r="H135" s="2" t="s">
        <v>43</v>
      </c>
      <c r="I135" s="2" t="s">
        <v>43</v>
      </c>
      <c r="J135" s="2" t="s">
        <v>1113</v>
      </c>
      <c r="K135" s="2" t="s">
        <v>45</v>
      </c>
      <c r="L135" s="2" t="s">
        <v>29</v>
      </c>
      <c r="M135" s="2" t="s">
        <v>1114</v>
      </c>
      <c r="N135" s="2" t="s">
        <v>75</v>
      </c>
      <c r="O135" s="4">
        <v>1672</v>
      </c>
      <c r="P135" s="2" t="s">
        <v>1115</v>
      </c>
      <c r="Q135" s="2" t="s">
        <v>33</v>
      </c>
      <c r="R135" s="2" t="s">
        <v>1116</v>
      </c>
      <c r="S135" s="2" t="s">
        <v>1117</v>
      </c>
      <c r="T135" s="2" t="s">
        <v>1118</v>
      </c>
      <c r="U135" s="2" t="s">
        <v>1119</v>
      </c>
      <c r="V135" s="2" t="s">
        <v>80</v>
      </c>
    </row>
    <row r="136" spans="1:22">
      <c r="A136" s="2" t="s">
        <v>128</v>
      </c>
      <c r="B136" s="2" t="s">
        <v>1120</v>
      </c>
      <c r="C136" s="2" t="s">
        <v>130</v>
      </c>
      <c r="D136" s="2">
        <v>2024</v>
      </c>
      <c r="E136" s="3">
        <v>45292</v>
      </c>
      <c r="F136" s="2" t="s">
        <v>1121</v>
      </c>
      <c r="G136" s="2" t="s">
        <v>43</v>
      </c>
      <c r="H136" s="2" t="s">
        <v>43</v>
      </c>
      <c r="I136" s="2" t="s">
        <v>1122</v>
      </c>
      <c r="J136" s="2" t="s">
        <v>43</v>
      </c>
      <c r="K136" s="2" t="s">
        <v>1123</v>
      </c>
      <c r="L136" s="2" t="s">
        <v>29</v>
      </c>
      <c r="M136" s="2" t="s">
        <v>43</v>
      </c>
      <c r="N136" s="2" t="s">
        <v>43</v>
      </c>
      <c r="O136" s="2" t="s">
        <v>43</v>
      </c>
      <c r="P136" s="2" t="s">
        <v>1124</v>
      </c>
      <c r="Q136" s="2" t="s">
        <v>1125</v>
      </c>
      <c r="R136" s="2" t="s">
        <v>1126</v>
      </c>
      <c r="S136" s="2" t="s">
        <v>138</v>
      </c>
      <c r="T136" s="2" t="s">
        <v>1127</v>
      </c>
      <c r="U136" s="2" t="s">
        <v>1128</v>
      </c>
      <c r="V136" s="2" t="s">
        <v>141</v>
      </c>
    </row>
    <row r="137" spans="1:22">
      <c r="A137" s="2" t="s">
        <v>1129</v>
      </c>
      <c r="B137" s="2" t="s">
        <v>1130</v>
      </c>
      <c r="C137" s="2" t="s">
        <v>1131</v>
      </c>
      <c r="D137" s="2">
        <v>2024</v>
      </c>
      <c r="E137" s="3">
        <v>45292</v>
      </c>
      <c r="F137" s="2" t="s">
        <v>1132</v>
      </c>
      <c r="G137" s="2">
        <v>11</v>
      </c>
      <c r="H137" s="2">
        <v>1</v>
      </c>
      <c r="I137" s="2" t="s">
        <v>43</v>
      </c>
      <c r="J137" s="2" t="s">
        <v>1133</v>
      </c>
      <c r="K137" s="2" t="s">
        <v>1134</v>
      </c>
      <c r="L137" s="2" t="s">
        <v>29</v>
      </c>
      <c r="M137" s="2" t="s">
        <v>1135</v>
      </c>
      <c r="N137" s="2" t="s">
        <v>1136</v>
      </c>
      <c r="O137" s="2" t="s">
        <v>1137</v>
      </c>
      <c r="P137" s="2" t="s">
        <v>1138</v>
      </c>
      <c r="Q137" s="2" t="s">
        <v>33</v>
      </c>
      <c r="R137" s="2" t="s">
        <v>1139</v>
      </c>
      <c r="S137" s="2" t="s">
        <v>1140</v>
      </c>
      <c r="T137" s="2" t="s">
        <v>1141</v>
      </c>
      <c r="U137" s="2" t="s">
        <v>1142</v>
      </c>
      <c r="V137" s="2" t="s">
        <v>594</v>
      </c>
    </row>
    <row r="138" spans="1:22">
      <c r="A138" s="2" t="s">
        <v>113</v>
      </c>
      <c r="B138" s="2" t="s">
        <v>1143</v>
      </c>
      <c r="C138" s="2" t="s">
        <v>1144</v>
      </c>
      <c r="D138" s="2">
        <v>2025</v>
      </c>
      <c r="E138" s="3">
        <v>45901</v>
      </c>
      <c r="F138" s="2" t="s">
        <v>1145</v>
      </c>
      <c r="G138" s="2">
        <v>15</v>
      </c>
      <c r="H138" s="2">
        <v>9</v>
      </c>
      <c r="I138" s="2" t="s">
        <v>43</v>
      </c>
      <c r="J138" s="2" t="s">
        <v>1146</v>
      </c>
      <c r="K138" s="2" t="s">
        <v>61</v>
      </c>
      <c r="L138" s="2" t="s">
        <v>29</v>
      </c>
      <c r="M138" s="2" t="s">
        <v>567</v>
      </c>
      <c r="N138" s="2" t="s">
        <v>961</v>
      </c>
      <c r="O138" s="2" t="s">
        <v>1147</v>
      </c>
      <c r="P138" s="2" t="s">
        <v>1148</v>
      </c>
      <c r="Q138" s="2" t="s">
        <v>49</v>
      </c>
      <c r="R138" s="2" t="s">
        <v>1149</v>
      </c>
      <c r="S138" s="2" t="s">
        <v>1150</v>
      </c>
      <c r="T138" s="2" t="s">
        <v>1151</v>
      </c>
      <c r="U138" s="2" t="s">
        <v>1152</v>
      </c>
      <c r="V138" s="2" t="s">
        <v>1153</v>
      </c>
    </row>
    <row r="139" spans="1:22">
      <c r="A139" s="2" t="s">
        <v>1154</v>
      </c>
      <c r="B139" s="2" t="s">
        <v>1155</v>
      </c>
      <c r="C139" s="2" t="s">
        <v>1156</v>
      </c>
      <c r="D139" s="2">
        <v>2024</v>
      </c>
      <c r="E139" s="3">
        <v>45566</v>
      </c>
      <c r="F139" s="2" t="s">
        <v>1157</v>
      </c>
      <c r="G139" s="2">
        <v>227</v>
      </c>
      <c r="H139" s="2">
        <v>19</v>
      </c>
      <c r="I139" s="2" t="s">
        <v>43</v>
      </c>
      <c r="J139" s="2" t="s">
        <v>1158</v>
      </c>
      <c r="K139" s="2" t="s">
        <v>1159</v>
      </c>
      <c r="L139" s="2" t="s">
        <v>29</v>
      </c>
      <c r="M139" s="2" t="s">
        <v>144</v>
      </c>
      <c r="N139" s="2" t="s">
        <v>75</v>
      </c>
      <c r="O139" s="2" t="s">
        <v>1160</v>
      </c>
      <c r="P139" s="2" t="s">
        <v>1161</v>
      </c>
      <c r="Q139" s="2" t="s">
        <v>33</v>
      </c>
      <c r="R139" s="2" t="s">
        <v>1162</v>
      </c>
      <c r="S139" s="2" t="s">
        <v>1163</v>
      </c>
      <c r="T139" s="2" t="s">
        <v>1164</v>
      </c>
      <c r="U139" s="2" t="s">
        <v>1165</v>
      </c>
      <c r="V139" s="2" t="s">
        <v>1166</v>
      </c>
    </row>
    <row r="140" spans="1:22">
      <c r="A140" s="2" t="s">
        <v>1167</v>
      </c>
      <c r="B140" s="2" t="s">
        <v>1155</v>
      </c>
      <c r="C140" s="2" t="s">
        <v>1156</v>
      </c>
      <c r="D140" s="2">
        <v>2024</v>
      </c>
      <c r="E140" s="3">
        <v>45566</v>
      </c>
      <c r="F140" s="2" t="s">
        <v>1157</v>
      </c>
      <c r="G140" s="2">
        <v>227</v>
      </c>
      <c r="H140" s="2">
        <v>19</v>
      </c>
      <c r="I140" s="2" t="s">
        <v>43</v>
      </c>
      <c r="J140" s="2" t="s">
        <v>1158</v>
      </c>
      <c r="K140" s="2" t="s">
        <v>1159</v>
      </c>
      <c r="L140" s="2" t="s">
        <v>29</v>
      </c>
      <c r="M140" s="2" t="s">
        <v>144</v>
      </c>
      <c r="N140" s="2" t="s">
        <v>75</v>
      </c>
      <c r="O140" s="2" t="s">
        <v>1160</v>
      </c>
      <c r="P140" s="2" t="s">
        <v>1161</v>
      </c>
      <c r="Q140" s="2" t="s">
        <v>33</v>
      </c>
      <c r="R140" s="2" t="s">
        <v>1162</v>
      </c>
      <c r="S140" s="2" t="s">
        <v>1163</v>
      </c>
      <c r="T140" s="2" t="s">
        <v>1164</v>
      </c>
      <c r="U140" s="2" t="s">
        <v>1165</v>
      </c>
      <c r="V140" s="2" t="s">
        <v>1166</v>
      </c>
    </row>
    <row r="141" spans="1:22" ht="28.8">
      <c r="A141" s="2" t="s">
        <v>1168</v>
      </c>
      <c r="B141" s="2" t="s">
        <v>1169</v>
      </c>
      <c r="C141" s="2" t="s">
        <v>1170</v>
      </c>
      <c r="D141" s="2">
        <v>2025</v>
      </c>
      <c r="E141" s="3">
        <v>45717</v>
      </c>
      <c r="F141" s="2" t="s">
        <v>889</v>
      </c>
      <c r="G141" s="2">
        <v>14</v>
      </c>
      <c r="H141" s="2">
        <v>3</v>
      </c>
      <c r="I141" s="2" t="s">
        <v>43</v>
      </c>
      <c r="J141" s="2" t="s">
        <v>890</v>
      </c>
      <c r="K141" s="2" t="s">
        <v>61</v>
      </c>
      <c r="L141" s="2" t="s">
        <v>29</v>
      </c>
      <c r="M141" s="2" t="s">
        <v>1093</v>
      </c>
      <c r="N141" s="2" t="s">
        <v>171</v>
      </c>
      <c r="O141" s="4">
        <v>1706</v>
      </c>
      <c r="P141" s="2" t="s">
        <v>1171</v>
      </c>
      <c r="Q141" s="2" t="s">
        <v>33</v>
      </c>
      <c r="R141" s="2" t="s">
        <v>1172</v>
      </c>
      <c r="S141" s="2" t="s">
        <v>1173</v>
      </c>
      <c r="T141" s="2" t="s">
        <v>1174</v>
      </c>
      <c r="U141" s="2" t="s">
        <v>1175</v>
      </c>
      <c r="V141" s="2" t="s">
        <v>594</v>
      </c>
    </row>
    <row r="142" spans="1:22" ht="28.8">
      <c r="A142" s="2" t="s">
        <v>1176</v>
      </c>
      <c r="B142" s="2" t="s">
        <v>1169</v>
      </c>
      <c r="C142" s="2" t="s">
        <v>1170</v>
      </c>
      <c r="D142" s="2">
        <v>2025</v>
      </c>
      <c r="E142" s="3">
        <v>45717</v>
      </c>
      <c r="F142" s="2" t="s">
        <v>889</v>
      </c>
      <c r="G142" s="2">
        <v>14</v>
      </c>
      <c r="H142" s="2">
        <v>3</v>
      </c>
      <c r="I142" s="2" t="s">
        <v>43</v>
      </c>
      <c r="J142" s="2" t="s">
        <v>890</v>
      </c>
      <c r="K142" s="2" t="s">
        <v>61</v>
      </c>
      <c r="L142" s="2" t="s">
        <v>29</v>
      </c>
      <c r="M142" s="2" t="s">
        <v>1093</v>
      </c>
      <c r="N142" s="2" t="s">
        <v>171</v>
      </c>
      <c r="O142" s="4">
        <v>1706</v>
      </c>
      <c r="P142" s="2" t="s">
        <v>1171</v>
      </c>
      <c r="Q142" s="2" t="s">
        <v>33</v>
      </c>
      <c r="R142" s="2" t="s">
        <v>1172</v>
      </c>
      <c r="S142" s="2" t="s">
        <v>1173</v>
      </c>
      <c r="T142" s="2" t="s">
        <v>1174</v>
      </c>
      <c r="U142" s="2" t="s">
        <v>1175</v>
      </c>
      <c r="V142" s="2" t="s">
        <v>594</v>
      </c>
    </row>
    <row r="143" spans="1:22" ht="28.8">
      <c r="A143" s="2" t="s">
        <v>265</v>
      </c>
      <c r="B143" s="2" t="s">
        <v>1169</v>
      </c>
      <c r="C143" s="2" t="s">
        <v>1170</v>
      </c>
      <c r="D143" s="2">
        <v>2025</v>
      </c>
      <c r="E143" s="3">
        <v>45717</v>
      </c>
      <c r="F143" s="2" t="s">
        <v>889</v>
      </c>
      <c r="G143" s="2">
        <v>14</v>
      </c>
      <c r="H143" s="2">
        <v>3</v>
      </c>
      <c r="I143" s="2" t="s">
        <v>43</v>
      </c>
      <c r="J143" s="2" t="s">
        <v>890</v>
      </c>
      <c r="K143" s="2" t="s">
        <v>61</v>
      </c>
      <c r="L143" s="2" t="s">
        <v>29</v>
      </c>
      <c r="M143" s="2" t="s">
        <v>1093</v>
      </c>
      <c r="N143" s="2" t="s">
        <v>171</v>
      </c>
      <c r="O143" s="4">
        <v>1706</v>
      </c>
      <c r="P143" s="2" t="s">
        <v>1171</v>
      </c>
      <c r="Q143" s="2" t="s">
        <v>33</v>
      </c>
      <c r="R143" s="2" t="s">
        <v>1172</v>
      </c>
      <c r="S143" s="2" t="s">
        <v>1173</v>
      </c>
      <c r="T143" s="2" t="s">
        <v>1174</v>
      </c>
      <c r="U143" s="2" t="s">
        <v>1175</v>
      </c>
      <c r="V143" s="2" t="s">
        <v>594</v>
      </c>
    </row>
    <row r="144" spans="1:22">
      <c r="A144" s="2" t="s">
        <v>822</v>
      </c>
      <c r="B144" s="2" t="s">
        <v>1177</v>
      </c>
      <c r="C144" s="2" t="s">
        <v>1178</v>
      </c>
      <c r="D144" s="2">
        <v>2024</v>
      </c>
      <c r="E144" s="3">
        <v>45292</v>
      </c>
      <c r="F144" s="2" t="s">
        <v>1179</v>
      </c>
      <c r="G144" s="2">
        <v>8</v>
      </c>
      <c r="H144" s="2" t="s">
        <v>43</v>
      </c>
      <c r="I144" s="2" t="s">
        <v>43</v>
      </c>
      <c r="J144" s="2" t="s">
        <v>1180</v>
      </c>
      <c r="K144" s="2" t="s">
        <v>1181</v>
      </c>
      <c r="L144" s="2" t="s">
        <v>29</v>
      </c>
      <c r="M144" s="2" t="s">
        <v>1182</v>
      </c>
      <c r="N144" s="2" t="s">
        <v>1183</v>
      </c>
      <c r="O144" s="2" t="s">
        <v>1184</v>
      </c>
      <c r="P144" s="2" t="s">
        <v>1185</v>
      </c>
      <c r="Q144" s="2" t="s">
        <v>33</v>
      </c>
      <c r="R144" s="2" t="s">
        <v>1186</v>
      </c>
      <c r="S144" s="2" t="s">
        <v>1187</v>
      </c>
      <c r="T144" s="2" t="s">
        <v>1188</v>
      </c>
      <c r="U144" s="2" t="s">
        <v>1189</v>
      </c>
      <c r="V144" s="2" t="s">
        <v>1190</v>
      </c>
    </row>
    <row r="145" spans="1:22" ht="28.8">
      <c r="A145" s="2" t="s">
        <v>276</v>
      </c>
      <c r="B145" s="2" t="s">
        <v>1191</v>
      </c>
      <c r="C145" s="2" t="s">
        <v>1192</v>
      </c>
      <c r="D145" s="2">
        <v>2025</v>
      </c>
      <c r="E145" s="3">
        <v>45809</v>
      </c>
      <c r="F145" s="2" t="s">
        <v>1193</v>
      </c>
      <c r="G145" s="2">
        <v>18</v>
      </c>
      <c r="H145" s="2">
        <v>6</v>
      </c>
      <c r="I145" s="2" t="s">
        <v>43</v>
      </c>
      <c r="J145" s="2" t="s">
        <v>1194</v>
      </c>
      <c r="K145" s="2" t="s">
        <v>61</v>
      </c>
      <c r="L145" s="2" t="s">
        <v>29</v>
      </c>
      <c r="M145" s="2" t="s">
        <v>75</v>
      </c>
      <c r="N145" s="2" t="s">
        <v>961</v>
      </c>
      <c r="O145" s="2" t="s">
        <v>1195</v>
      </c>
      <c r="P145" s="2" t="s">
        <v>1196</v>
      </c>
      <c r="Q145" s="2" t="s">
        <v>49</v>
      </c>
      <c r="R145" s="2" t="s">
        <v>1197</v>
      </c>
      <c r="S145" s="2" t="s">
        <v>1198</v>
      </c>
      <c r="T145" s="2" t="s">
        <v>1199</v>
      </c>
      <c r="U145" s="2" t="s">
        <v>1200</v>
      </c>
      <c r="V145" s="2" t="s">
        <v>660</v>
      </c>
    </row>
    <row r="146" spans="1:22">
      <c r="A146" s="2" t="s">
        <v>1201</v>
      </c>
      <c r="B146" s="2" t="s">
        <v>1202</v>
      </c>
      <c r="C146" s="2" t="s">
        <v>1203</v>
      </c>
      <c r="D146" s="2">
        <v>2025</v>
      </c>
      <c r="E146" s="3">
        <v>45962</v>
      </c>
      <c r="F146" s="2" t="s">
        <v>1204</v>
      </c>
      <c r="G146" s="2">
        <v>134</v>
      </c>
      <c r="H146" s="2">
        <v>5</v>
      </c>
      <c r="I146" s="2" t="s">
        <v>1205</v>
      </c>
      <c r="J146" s="2" t="s">
        <v>1206</v>
      </c>
      <c r="K146" s="2" t="s">
        <v>734</v>
      </c>
      <c r="L146" s="2" t="s">
        <v>29</v>
      </c>
      <c r="M146" s="2" t="s">
        <v>1207</v>
      </c>
      <c r="N146" s="2" t="s">
        <v>31</v>
      </c>
      <c r="O146" s="4">
        <v>1291</v>
      </c>
      <c r="P146" s="2" t="s">
        <v>1208</v>
      </c>
      <c r="Q146" s="2" t="s">
        <v>49</v>
      </c>
      <c r="R146" s="2" t="s">
        <v>1209</v>
      </c>
      <c r="S146" s="2" t="s">
        <v>1210</v>
      </c>
      <c r="T146" s="2" t="s">
        <v>1211</v>
      </c>
      <c r="U146" s="2" t="s">
        <v>1212</v>
      </c>
      <c r="V146" s="2" t="s">
        <v>1213</v>
      </c>
    </row>
    <row r="147" spans="1:22">
      <c r="A147" s="2" t="s">
        <v>1214</v>
      </c>
      <c r="B147" s="2" t="s">
        <v>1215</v>
      </c>
      <c r="C147" s="2" t="s">
        <v>1216</v>
      </c>
      <c r="D147" s="2">
        <v>2024</v>
      </c>
      <c r="E147" s="3">
        <v>45536</v>
      </c>
      <c r="F147" s="2" t="s">
        <v>1217</v>
      </c>
      <c r="G147" s="2">
        <v>36</v>
      </c>
      <c r="H147" s="2">
        <v>9</v>
      </c>
      <c r="I147" s="2" t="s">
        <v>1218</v>
      </c>
      <c r="J147" s="2" t="s">
        <v>1219</v>
      </c>
      <c r="K147" s="2" t="s">
        <v>119</v>
      </c>
      <c r="L147" s="2" t="s">
        <v>29</v>
      </c>
      <c r="M147" s="2" t="s">
        <v>330</v>
      </c>
      <c r="N147" s="2" t="s">
        <v>121</v>
      </c>
      <c r="O147" s="4">
        <v>1437</v>
      </c>
      <c r="P147" s="2" t="s">
        <v>1220</v>
      </c>
      <c r="Q147" s="2" t="s">
        <v>33</v>
      </c>
      <c r="R147" s="2" t="s">
        <v>1221</v>
      </c>
      <c r="S147" s="2" t="s">
        <v>1222</v>
      </c>
      <c r="T147" s="2" t="s">
        <v>1223</v>
      </c>
      <c r="U147" s="2" t="s">
        <v>1224</v>
      </c>
      <c r="V147" s="2" t="s">
        <v>1225</v>
      </c>
    </row>
    <row r="148" spans="1:22">
      <c r="A148" s="2" t="s">
        <v>164</v>
      </c>
      <c r="B148" s="2" t="s">
        <v>1226</v>
      </c>
      <c r="C148" s="2" t="s">
        <v>1227</v>
      </c>
      <c r="D148" s="2">
        <v>2024</v>
      </c>
      <c r="E148" s="3">
        <v>45536</v>
      </c>
      <c r="F148" s="2" t="s">
        <v>1228</v>
      </c>
      <c r="G148" s="2">
        <v>598</v>
      </c>
      <c r="H148" s="2">
        <v>17</v>
      </c>
      <c r="I148" s="2" t="s">
        <v>1229</v>
      </c>
      <c r="J148" s="2" t="s">
        <v>1230</v>
      </c>
      <c r="K148" s="2" t="s">
        <v>119</v>
      </c>
      <c r="L148" s="2" t="s">
        <v>29</v>
      </c>
      <c r="M148" s="2" t="s">
        <v>667</v>
      </c>
      <c r="N148" s="2" t="s">
        <v>840</v>
      </c>
      <c r="O148" s="4">
        <v>1222</v>
      </c>
      <c r="P148" s="2" t="s">
        <v>1231</v>
      </c>
      <c r="Q148" s="2" t="s">
        <v>49</v>
      </c>
      <c r="R148" s="2" t="s">
        <v>1232</v>
      </c>
      <c r="S148" s="2" t="s">
        <v>174</v>
      </c>
      <c r="T148" s="2" t="s">
        <v>175</v>
      </c>
      <c r="U148" s="2" t="s">
        <v>176</v>
      </c>
      <c r="V148" s="2" t="s">
        <v>177</v>
      </c>
    </row>
    <row r="149" spans="1:22" ht="28.8">
      <c r="A149" s="2" t="s">
        <v>265</v>
      </c>
      <c r="B149" s="2" t="s">
        <v>1233</v>
      </c>
      <c r="C149" s="2" t="s">
        <v>1234</v>
      </c>
      <c r="D149" s="2">
        <v>2024</v>
      </c>
      <c r="E149" s="3">
        <v>45444</v>
      </c>
      <c r="F149" s="2" t="s">
        <v>889</v>
      </c>
      <c r="G149" s="2">
        <v>13</v>
      </c>
      <c r="H149" s="2">
        <v>6</v>
      </c>
      <c r="I149" s="2" t="s">
        <v>43</v>
      </c>
      <c r="J149" s="2" t="s">
        <v>890</v>
      </c>
      <c r="K149" s="2" t="s">
        <v>61</v>
      </c>
      <c r="L149" s="2" t="s">
        <v>29</v>
      </c>
      <c r="M149" s="2" t="s">
        <v>891</v>
      </c>
      <c r="N149" s="2" t="s">
        <v>498</v>
      </c>
      <c r="O149" s="4">
        <v>1484</v>
      </c>
      <c r="P149" s="2" t="s">
        <v>1235</v>
      </c>
      <c r="Q149" s="2" t="s">
        <v>33</v>
      </c>
      <c r="R149" s="2" t="s">
        <v>1236</v>
      </c>
      <c r="S149" s="2" t="s">
        <v>1237</v>
      </c>
      <c r="T149" s="2" t="s">
        <v>1238</v>
      </c>
      <c r="U149" s="2" t="s">
        <v>1239</v>
      </c>
      <c r="V149" s="2" t="s">
        <v>594</v>
      </c>
    </row>
    <row r="150" spans="1:22">
      <c r="A150" s="2" t="s">
        <v>82</v>
      </c>
      <c r="B150" s="2" t="s">
        <v>1240</v>
      </c>
      <c r="C150" s="2" t="s">
        <v>1241</v>
      </c>
      <c r="D150" s="2">
        <v>2025</v>
      </c>
      <c r="E150" s="3">
        <v>45658</v>
      </c>
      <c r="F150" s="2" t="s">
        <v>1242</v>
      </c>
      <c r="G150" s="2">
        <v>12</v>
      </c>
      <c r="H150" s="2" t="s">
        <v>43</v>
      </c>
      <c r="I150" s="2" t="s">
        <v>43</v>
      </c>
      <c r="J150" s="2" t="s">
        <v>1243</v>
      </c>
      <c r="K150" s="2" t="s">
        <v>183</v>
      </c>
      <c r="L150" s="2" t="s">
        <v>29</v>
      </c>
      <c r="M150" s="2" t="s">
        <v>1244</v>
      </c>
      <c r="N150" s="2" t="s">
        <v>374</v>
      </c>
      <c r="O150" s="4">
        <v>1177</v>
      </c>
      <c r="P150" s="2" t="s">
        <v>1245</v>
      </c>
      <c r="Q150" s="2" t="s">
        <v>33</v>
      </c>
      <c r="R150" s="2" t="s">
        <v>1246</v>
      </c>
      <c r="S150" s="2" t="s">
        <v>1247</v>
      </c>
      <c r="T150" s="2" t="s">
        <v>1248</v>
      </c>
      <c r="U150" s="2" t="s">
        <v>1247</v>
      </c>
      <c r="V150" s="2" t="s">
        <v>1249</v>
      </c>
    </row>
    <row r="151" spans="1:22">
      <c r="A151" s="2" t="s">
        <v>1250</v>
      </c>
      <c r="B151" s="2" t="s">
        <v>1240</v>
      </c>
      <c r="C151" s="2" t="s">
        <v>1241</v>
      </c>
      <c r="D151" s="2">
        <v>2025</v>
      </c>
      <c r="E151" s="3">
        <v>45658</v>
      </c>
      <c r="F151" s="2" t="s">
        <v>1242</v>
      </c>
      <c r="G151" s="2">
        <v>12</v>
      </c>
      <c r="H151" s="2" t="s">
        <v>43</v>
      </c>
      <c r="I151" s="2" t="s">
        <v>43</v>
      </c>
      <c r="J151" s="2" t="s">
        <v>1243</v>
      </c>
      <c r="K151" s="2" t="s">
        <v>183</v>
      </c>
      <c r="L151" s="2" t="s">
        <v>29</v>
      </c>
      <c r="M151" s="2" t="s">
        <v>1244</v>
      </c>
      <c r="N151" s="2" t="s">
        <v>374</v>
      </c>
      <c r="O151" s="4">
        <v>1177</v>
      </c>
      <c r="P151" s="2" t="s">
        <v>1245</v>
      </c>
      <c r="Q151" s="2" t="s">
        <v>33</v>
      </c>
      <c r="R151" s="2" t="s">
        <v>1246</v>
      </c>
      <c r="S151" s="2" t="s">
        <v>1247</v>
      </c>
      <c r="T151" s="2" t="s">
        <v>1248</v>
      </c>
      <c r="U151" s="2" t="s">
        <v>1247</v>
      </c>
      <c r="V151" s="2" t="s">
        <v>1249</v>
      </c>
    </row>
    <row r="152" spans="1:22">
      <c r="A152" s="2" t="s">
        <v>1251</v>
      </c>
      <c r="B152" s="2" t="s">
        <v>1240</v>
      </c>
      <c r="C152" s="2" t="s">
        <v>1241</v>
      </c>
      <c r="D152" s="2">
        <v>2025</v>
      </c>
      <c r="E152" s="3">
        <v>45658</v>
      </c>
      <c r="F152" s="2" t="s">
        <v>1242</v>
      </c>
      <c r="G152" s="2">
        <v>12</v>
      </c>
      <c r="H152" s="2" t="s">
        <v>43</v>
      </c>
      <c r="I152" s="2" t="s">
        <v>43</v>
      </c>
      <c r="J152" s="2" t="s">
        <v>1243</v>
      </c>
      <c r="K152" s="2" t="s">
        <v>183</v>
      </c>
      <c r="L152" s="2" t="s">
        <v>29</v>
      </c>
      <c r="M152" s="2" t="s">
        <v>1244</v>
      </c>
      <c r="N152" s="2" t="s">
        <v>374</v>
      </c>
      <c r="O152" s="4">
        <v>1177</v>
      </c>
      <c r="P152" s="2" t="s">
        <v>1245</v>
      </c>
      <c r="Q152" s="2" t="s">
        <v>33</v>
      </c>
      <c r="R152" s="2" t="s">
        <v>1246</v>
      </c>
      <c r="S152" s="2" t="s">
        <v>1247</v>
      </c>
      <c r="T152" s="2" t="s">
        <v>1248</v>
      </c>
      <c r="U152" s="2" t="s">
        <v>1247</v>
      </c>
      <c r="V152" s="2" t="s">
        <v>1249</v>
      </c>
    </row>
    <row r="153" spans="1:22">
      <c r="A153" s="2" t="s">
        <v>83</v>
      </c>
      <c r="B153" s="2" t="s">
        <v>1240</v>
      </c>
      <c r="C153" s="2" t="s">
        <v>1241</v>
      </c>
      <c r="D153" s="2">
        <v>2025</v>
      </c>
      <c r="E153" s="3">
        <v>45658</v>
      </c>
      <c r="F153" s="2" t="s">
        <v>1242</v>
      </c>
      <c r="G153" s="2">
        <v>12</v>
      </c>
      <c r="H153" s="2" t="s">
        <v>43</v>
      </c>
      <c r="I153" s="2" t="s">
        <v>43</v>
      </c>
      <c r="J153" s="2" t="s">
        <v>1243</v>
      </c>
      <c r="K153" s="2" t="s">
        <v>183</v>
      </c>
      <c r="L153" s="2" t="s">
        <v>29</v>
      </c>
      <c r="M153" s="2" t="s">
        <v>1244</v>
      </c>
      <c r="N153" s="2" t="s">
        <v>374</v>
      </c>
      <c r="O153" s="4">
        <v>1177</v>
      </c>
      <c r="P153" s="2" t="s">
        <v>1245</v>
      </c>
      <c r="Q153" s="2" t="s">
        <v>33</v>
      </c>
      <c r="R153" s="2" t="s">
        <v>1246</v>
      </c>
      <c r="S153" s="2" t="s">
        <v>1247</v>
      </c>
      <c r="T153" s="2" t="s">
        <v>1248</v>
      </c>
      <c r="U153" s="2" t="s">
        <v>1247</v>
      </c>
      <c r="V153" s="2" t="s">
        <v>1249</v>
      </c>
    </row>
    <row r="154" spans="1:22">
      <c r="A154" s="2" t="s">
        <v>1252</v>
      </c>
      <c r="B154" s="2" t="s">
        <v>1253</v>
      </c>
      <c r="C154" s="2" t="s">
        <v>1254</v>
      </c>
      <c r="D154" s="2">
        <v>2024</v>
      </c>
      <c r="E154" s="3">
        <v>45566</v>
      </c>
      <c r="F154" s="2" t="s">
        <v>1255</v>
      </c>
      <c r="G154" s="2">
        <v>43</v>
      </c>
      <c r="H154" s="2">
        <v>10</v>
      </c>
      <c r="I154" s="2" t="s">
        <v>1256</v>
      </c>
      <c r="J154" s="2" t="s">
        <v>1257</v>
      </c>
      <c r="K154" s="2" t="s">
        <v>1258</v>
      </c>
      <c r="L154" s="2" t="s">
        <v>29</v>
      </c>
      <c r="M154" s="2" t="s">
        <v>464</v>
      </c>
      <c r="N154" s="2" t="s">
        <v>440</v>
      </c>
      <c r="O154" s="2" t="s">
        <v>1259</v>
      </c>
      <c r="P154" s="2" t="s">
        <v>1260</v>
      </c>
      <c r="Q154" s="2" t="s">
        <v>33</v>
      </c>
      <c r="R154" s="2" t="s">
        <v>1261</v>
      </c>
      <c r="S154" s="2" t="s">
        <v>511</v>
      </c>
      <c r="T154" s="2" t="s">
        <v>1262</v>
      </c>
      <c r="U154" s="2" t="s">
        <v>1263</v>
      </c>
      <c r="V154" s="2" t="s">
        <v>80</v>
      </c>
    </row>
    <row r="155" spans="1:22">
      <c r="A155" s="2" t="s">
        <v>1264</v>
      </c>
      <c r="B155" s="2" t="s">
        <v>1253</v>
      </c>
      <c r="C155" s="2" t="s">
        <v>1254</v>
      </c>
      <c r="D155" s="2">
        <v>2024</v>
      </c>
      <c r="E155" s="3">
        <v>45566</v>
      </c>
      <c r="F155" s="2" t="s">
        <v>1255</v>
      </c>
      <c r="G155" s="2">
        <v>43</v>
      </c>
      <c r="H155" s="2">
        <v>10</v>
      </c>
      <c r="I155" s="2" t="s">
        <v>1256</v>
      </c>
      <c r="J155" s="2" t="s">
        <v>1257</v>
      </c>
      <c r="K155" s="2" t="s">
        <v>1258</v>
      </c>
      <c r="L155" s="2" t="s">
        <v>29</v>
      </c>
      <c r="M155" s="2" t="s">
        <v>464</v>
      </c>
      <c r="N155" s="2" t="s">
        <v>440</v>
      </c>
      <c r="O155" s="2" t="s">
        <v>1259</v>
      </c>
      <c r="P155" s="2" t="s">
        <v>1260</v>
      </c>
      <c r="Q155" s="2" t="s">
        <v>33</v>
      </c>
      <c r="R155" s="2" t="s">
        <v>1261</v>
      </c>
      <c r="S155" s="2" t="s">
        <v>511</v>
      </c>
      <c r="T155" s="2" t="s">
        <v>1262</v>
      </c>
      <c r="U155" s="2" t="s">
        <v>1263</v>
      </c>
      <c r="V155" s="2" t="s">
        <v>80</v>
      </c>
    </row>
    <row r="156" spans="1:22">
      <c r="A156" s="2" t="s">
        <v>1032</v>
      </c>
      <c r="B156" s="2" t="s">
        <v>1265</v>
      </c>
      <c r="C156" s="2" t="s">
        <v>1266</v>
      </c>
      <c r="D156" s="2">
        <v>2024</v>
      </c>
      <c r="E156" s="3">
        <v>45292</v>
      </c>
      <c r="F156" s="2" t="s">
        <v>1035</v>
      </c>
      <c r="G156" s="2">
        <v>9</v>
      </c>
      <c r="H156" s="2">
        <v>10</v>
      </c>
      <c r="I156" s="2" t="s">
        <v>1267</v>
      </c>
      <c r="J156" s="2" t="s">
        <v>1037</v>
      </c>
      <c r="K156" s="2" t="s">
        <v>1038</v>
      </c>
      <c r="L156" s="2" t="s">
        <v>29</v>
      </c>
      <c r="M156" s="2" t="s">
        <v>745</v>
      </c>
      <c r="N156" s="2" t="s">
        <v>171</v>
      </c>
      <c r="O156" s="4">
        <v>1776</v>
      </c>
      <c r="P156" s="2" t="s">
        <v>1268</v>
      </c>
      <c r="Q156" s="2" t="s">
        <v>33</v>
      </c>
      <c r="R156" s="2" t="s">
        <v>1269</v>
      </c>
      <c r="S156" s="2" t="s">
        <v>1041</v>
      </c>
      <c r="T156" s="2" t="s">
        <v>1042</v>
      </c>
      <c r="U156" s="2" t="s">
        <v>1043</v>
      </c>
      <c r="V156" s="2" t="s">
        <v>1044</v>
      </c>
    </row>
    <row r="157" spans="1:22">
      <c r="A157" s="2" t="s">
        <v>1270</v>
      </c>
      <c r="B157" s="2" t="s">
        <v>1265</v>
      </c>
      <c r="C157" s="2" t="s">
        <v>1266</v>
      </c>
      <c r="D157" s="2">
        <v>2024</v>
      </c>
      <c r="E157" s="3">
        <v>45292</v>
      </c>
      <c r="F157" s="2" t="s">
        <v>1035</v>
      </c>
      <c r="G157" s="2">
        <v>9</v>
      </c>
      <c r="H157" s="2">
        <v>10</v>
      </c>
      <c r="I157" s="2" t="s">
        <v>1267</v>
      </c>
      <c r="J157" s="2" t="s">
        <v>1037</v>
      </c>
      <c r="K157" s="2" t="s">
        <v>1038</v>
      </c>
      <c r="L157" s="2" t="s">
        <v>29</v>
      </c>
      <c r="M157" s="2" t="s">
        <v>745</v>
      </c>
      <c r="N157" s="2" t="s">
        <v>171</v>
      </c>
      <c r="O157" s="4">
        <v>1776</v>
      </c>
      <c r="P157" s="2" t="s">
        <v>1268</v>
      </c>
      <c r="Q157" s="2" t="s">
        <v>33</v>
      </c>
      <c r="R157" s="2" t="s">
        <v>1269</v>
      </c>
      <c r="S157" s="2" t="s">
        <v>1041</v>
      </c>
      <c r="T157" s="2" t="s">
        <v>1042</v>
      </c>
      <c r="U157" s="2" t="s">
        <v>1043</v>
      </c>
      <c r="V157" s="2" t="s">
        <v>1044</v>
      </c>
    </row>
    <row r="158" spans="1:22">
      <c r="A158" s="2" t="s">
        <v>790</v>
      </c>
      <c r="B158" s="2" t="s">
        <v>1271</v>
      </c>
      <c r="C158" s="2" t="s">
        <v>1272</v>
      </c>
      <c r="D158" s="2">
        <v>2025</v>
      </c>
      <c r="E158" s="3">
        <v>45658</v>
      </c>
      <c r="F158" s="2" t="s">
        <v>1273</v>
      </c>
      <c r="G158" s="2" t="s">
        <v>43</v>
      </c>
      <c r="H158" s="2" t="s">
        <v>43</v>
      </c>
      <c r="I158" s="2" t="s">
        <v>43</v>
      </c>
      <c r="J158" s="2" t="s">
        <v>1274</v>
      </c>
      <c r="K158" s="2" t="s">
        <v>666</v>
      </c>
      <c r="L158" s="2" t="s">
        <v>29</v>
      </c>
      <c r="M158" s="2" t="s">
        <v>1275</v>
      </c>
      <c r="N158" s="2" t="s">
        <v>171</v>
      </c>
      <c r="O158" s="2" t="s">
        <v>1276</v>
      </c>
      <c r="P158" s="2" t="s">
        <v>1277</v>
      </c>
      <c r="Q158" s="2" t="s">
        <v>33</v>
      </c>
      <c r="R158" s="2" t="s">
        <v>1278</v>
      </c>
      <c r="S158" s="2" t="s">
        <v>1279</v>
      </c>
      <c r="T158" s="2" t="s">
        <v>1280</v>
      </c>
      <c r="U158" s="2" t="s">
        <v>1281</v>
      </c>
      <c r="V158" s="2" t="s">
        <v>80</v>
      </c>
    </row>
    <row r="159" spans="1:22">
      <c r="A159" s="2" t="s">
        <v>1282</v>
      </c>
      <c r="B159" s="2" t="s">
        <v>1283</v>
      </c>
      <c r="C159" s="2" t="s">
        <v>1284</v>
      </c>
      <c r="D159" s="2">
        <v>2025</v>
      </c>
      <c r="E159" s="3">
        <v>45658</v>
      </c>
      <c r="F159" s="2" t="s">
        <v>167</v>
      </c>
      <c r="G159" s="2">
        <v>17</v>
      </c>
      <c r="H159" s="2">
        <v>1</v>
      </c>
      <c r="I159" s="2" t="s">
        <v>43</v>
      </c>
      <c r="J159" s="2" t="s">
        <v>279</v>
      </c>
      <c r="K159" s="2" t="s">
        <v>61</v>
      </c>
      <c r="L159" s="2" t="s">
        <v>29</v>
      </c>
      <c r="M159" s="2" t="s">
        <v>1285</v>
      </c>
      <c r="N159" s="2" t="s">
        <v>247</v>
      </c>
      <c r="O159" s="4">
        <v>1499</v>
      </c>
      <c r="P159" s="2" t="s">
        <v>1286</v>
      </c>
      <c r="Q159" s="2" t="s">
        <v>49</v>
      </c>
      <c r="R159" s="2" t="s">
        <v>1287</v>
      </c>
      <c r="S159" s="2" t="s">
        <v>1288</v>
      </c>
      <c r="T159" s="2" t="s">
        <v>1289</v>
      </c>
      <c r="U159" s="2" t="s">
        <v>1290</v>
      </c>
      <c r="V159" s="2" t="s">
        <v>80</v>
      </c>
    </row>
    <row r="160" spans="1:22" ht="28.8">
      <c r="A160" s="2" t="s">
        <v>996</v>
      </c>
      <c r="B160" s="2" t="s">
        <v>1291</v>
      </c>
      <c r="C160" s="2" t="s">
        <v>1292</v>
      </c>
      <c r="D160" s="2">
        <v>2024</v>
      </c>
      <c r="E160" s="3">
        <v>45627</v>
      </c>
      <c r="F160" s="2" t="s">
        <v>1293</v>
      </c>
      <c r="G160" s="2">
        <v>14</v>
      </c>
      <c r="H160" s="2">
        <v>1</v>
      </c>
      <c r="I160" s="2" t="s">
        <v>43</v>
      </c>
      <c r="J160" s="2" t="s">
        <v>1294</v>
      </c>
      <c r="K160" s="2" t="s">
        <v>220</v>
      </c>
      <c r="L160" s="2" t="s">
        <v>29</v>
      </c>
      <c r="M160" s="2" t="s">
        <v>614</v>
      </c>
      <c r="N160" s="2" t="s">
        <v>374</v>
      </c>
      <c r="O160" s="2" t="s">
        <v>1295</v>
      </c>
      <c r="P160" s="2" t="s">
        <v>1296</v>
      </c>
      <c r="Q160" s="2" t="s">
        <v>33</v>
      </c>
      <c r="R160" s="2" t="s">
        <v>1297</v>
      </c>
      <c r="S160" s="2" t="s">
        <v>1298</v>
      </c>
      <c r="T160" s="2" t="s">
        <v>1299</v>
      </c>
      <c r="U160" s="2" t="s">
        <v>1300</v>
      </c>
      <c r="V160" s="2" t="s">
        <v>933</v>
      </c>
    </row>
    <row r="161" spans="1:22" ht="28.8">
      <c r="A161" s="2" t="s">
        <v>1301</v>
      </c>
      <c r="B161" s="2" t="s">
        <v>1291</v>
      </c>
      <c r="C161" s="2" t="s">
        <v>1292</v>
      </c>
      <c r="D161" s="2">
        <v>2024</v>
      </c>
      <c r="E161" s="3">
        <v>45627</v>
      </c>
      <c r="F161" s="2" t="s">
        <v>1293</v>
      </c>
      <c r="G161" s="2">
        <v>14</v>
      </c>
      <c r="H161" s="2">
        <v>1</v>
      </c>
      <c r="I161" s="2" t="s">
        <v>43</v>
      </c>
      <c r="J161" s="2" t="s">
        <v>1294</v>
      </c>
      <c r="K161" s="2" t="s">
        <v>220</v>
      </c>
      <c r="L161" s="2" t="s">
        <v>29</v>
      </c>
      <c r="M161" s="2" t="s">
        <v>614</v>
      </c>
      <c r="N161" s="2" t="s">
        <v>374</v>
      </c>
      <c r="O161" s="2" t="s">
        <v>1295</v>
      </c>
      <c r="P161" s="2" t="s">
        <v>1296</v>
      </c>
      <c r="Q161" s="2" t="s">
        <v>33</v>
      </c>
      <c r="R161" s="2" t="s">
        <v>1297</v>
      </c>
      <c r="S161" s="2" t="s">
        <v>1298</v>
      </c>
      <c r="T161" s="2" t="s">
        <v>1299</v>
      </c>
      <c r="U161" s="2" t="s">
        <v>1300</v>
      </c>
      <c r="V161" s="2" t="s">
        <v>933</v>
      </c>
    </row>
    <row r="162" spans="1:22">
      <c r="A162" s="2" t="s">
        <v>1012</v>
      </c>
      <c r="B162" s="2" t="s">
        <v>1302</v>
      </c>
      <c r="C162" s="2" t="s">
        <v>1303</v>
      </c>
      <c r="D162" s="2">
        <v>2024</v>
      </c>
      <c r="E162" s="3">
        <v>45292</v>
      </c>
      <c r="F162" s="2" t="s">
        <v>1304</v>
      </c>
      <c r="G162" s="2">
        <v>15</v>
      </c>
      <c r="H162" s="2" t="s">
        <v>43</v>
      </c>
      <c r="I162" s="2" t="s">
        <v>43</v>
      </c>
      <c r="J162" s="2" t="s">
        <v>1305</v>
      </c>
      <c r="K162" s="2" t="s">
        <v>183</v>
      </c>
      <c r="L162" s="2" t="s">
        <v>29</v>
      </c>
      <c r="M162" s="2" t="s">
        <v>1306</v>
      </c>
      <c r="N162" s="2" t="s">
        <v>374</v>
      </c>
      <c r="O162" s="2" t="s">
        <v>1307</v>
      </c>
      <c r="P162" s="2" t="s">
        <v>1308</v>
      </c>
      <c r="Q162" s="2" t="s">
        <v>49</v>
      </c>
      <c r="R162" s="2" t="s">
        <v>1309</v>
      </c>
      <c r="S162" s="2" t="s">
        <v>511</v>
      </c>
      <c r="T162" s="2" t="s">
        <v>512</v>
      </c>
      <c r="U162" s="2" t="s">
        <v>511</v>
      </c>
      <c r="V162" s="2" t="s">
        <v>80</v>
      </c>
    </row>
    <row r="163" spans="1:22">
      <c r="A163" s="2" t="s">
        <v>1310</v>
      </c>
      <c r="B163" s="2" t="s">
        <v>1302</v>
      </c>
      <c r="C163" s="2" t="s">
        <v>1303</v>
      </c>
      <c r="D163" s="2">
        <v>2024</v>
      </c>
      <c r="E163" s="3">
        <v>45292</v>
      </c>
      <c r="F163" s="2" t="s">
        <v>1304</v>
      </c>
      <c r="G163" s="2">
        <v>15</v>
      </c>
      <c r="H163" s="2" t="s">
        <v>43</v>
      </c>
      <c r="I163" s="2" t="s">
        <v>43</v>
      </c>
      <c r="J163" s="2" t="s">
        <v>1305</v>
      </c>
      <c r="K163" s="2" t="s">
        <v>183</v>
      </c>
      <c r="L163" s="2" t="s">
        <v>29</v>
      </c>
      <c r="M163" s="2" t="s">
        <v>1306</v>
      </c>
      <c r="N163" s="2" t="s">
        <v>374</v>
      </c>
      <c r="O163" s="2" t="s">
        <v>1307</v>
      </c>
      <c r="P163" s="2" t="s">
        <v>1308</v>
      </c>
      <c r="Q163" s="2" t="s">
        <v>49</v>
      </c>
      <c r="R163" s="2" t="s">
        <v>1309</v>
      </c>
      <c r="S163" s="2" t="s">
        <v>511</v>
      </c>
      <c r="T163" s="2" t="s">
        <v>512</v>
      </c>
      <c r="U163" s="2" t="s">
        <v>511</v>
      </c>
      <c r="V163" s="2" t="s">
        <v>80</v>
      </c>
    </row>
    <row r="164" spans="1:22">
      <c r="A164" s="2" t="s">
        <v>1311</v>
      </c>
      <c r="B164" s="2" t="s">
        <v>1302</v>
      </c>
      <c r="C164" s="2" t="s">
        <v>1303</v>
      </c>
      <c r="D164" s="2">
        <v>2024</v>
      </c>
      <c r="E164" s="3">
        <v>45292</v>
      </c>
      <c r="F164" s="2" t="s">
        <v>1304</v>
      </c>
      <c r="G164" s="2">
        <v>15</v>
      </c>
      <c r="H164" s="2" t="s">
        <v>43</v>
      </c>
      <c r="I164" s="2" t="s">
        <v>43</v>
      </c>
      <c r="J164" s="2" t="s">
        <v>1305</v>
      </c>
      <c r="K164" s="2" t="s">
        <v>183</v>
      </c>
      <c r="L164" s="2" t="s">
        <v>29</v>
      </c>
      <c r="M164" s="2" t="s">
        <v>1306</v>
      </c>
      <c r="N164" s="2" t="s">
        <v>374</v>
      </c>
      <c r="O164" s="2" t="s">
        <v>1307</v>
      </c>
      <c r="P164" s="2" t="s">
        <v>1308</v>
      </c>
      <c r="Q164" s="2" t="s">
        <v>49</v>
      </c>
      <c r="R164" s="2" t="s">
        <v>1309</v>
      </c>
      <c r="S164" s="2" t="s">
        <v>511</v>
      </c>
      <c r="T164" s="2" t="s">
        <v>512</v>
      </c>
      <c r="U164" s="2" t="s">
        <v>511</v>
      </c>
      <c r="V164" s="2" t="s">
        <v>80</v>
      </c>
    </row>
    <row r="165" spans="1:22">
      <c r="A165" s="2" t="s">
        <v>996</v>
      </c>
      <c r="B165" s="2" t="s">
        <v>1302</v>
      </c>
      <c r="C165" s="2" t="s">
        <v>1303</v>
      </c>
      <c r="D165" s="2">
        <v>2024</v>
      </c>
      <c r="E165" s="3">
        <v>45292</v>
      </c>
      <c r="F165" s="2" t="s">
        <v>1304</v>
      </c>
      <c r="G165" s="2">
        <v>15</v>
      </c>
      <c r="H165" s="2" t="s">
        <v>43</v>
      </c>
      <c r="I165" s="2" t="s">
        <v>43</v>
      </c>
      <c r="J165" s="2" t="s">
        <v>1305</v>
      </c>
      <c r="K165" s="2" t="s">
        <v>183</v>
      </c>
      <c r="L165" s="2" t="s">
        <v>29</v>
      </c>
      <c r="M165" s="2" t="s">
        <v>1306</v>
      </c>
      <c r="N165" s="2" t="s">
        <v>374</v>
      </c>
      <c r="O165" s="2" t="s">
        <v>1307</v>
      </c>
      <c r="P165" s="2" t="s">
        <v>1308</v>
      </c>
      <c r="Q165" s="2" t="s">
        <v>49</v>
      </c>
      <c r="R165" s="2" t="s">
        <v>1309</v>
      </c>
      <c r="S165" s="2" t="s">
        <v>511</v>
      </c>
      <c r="T165" s="2" t="s">
        <v>512</v>
      </c>
      <c r="U165" s="2" t="s">
        <v>511</v>
      </c>
      <c r="V165" s="2" t="s">
        <v>80</v>
      </c>
    </row>
    <row r="166" spans="1:22">
      <c r="A166" s="2" t="s">
        <v>1024</v>
      </c>
      <c r="B166" s="2" t="s">
        <v>1312</v>
      </c>
      <c r="C166" s="2" t="s">
        <v>1313</v>
      </c>
      <c r="D166" s="2">
        <v>2024</v>
      </c>
      <c r="E166" s="3">
        <v>45566</v>
      </c>
      <c r="F166" s="2" t="s">
        <v>167</v>
      </c>
      <c r="G166" s="2">
        <v>16</v>
      </c>
      <c r="H166" s="2">
        <v>20</v>
      </c>
      <c r="I166" s="2" t="s">
        <v>43</v>
      </c>
      <c r="J166" s="2" t="s">
        <v>279</v>
      </c>
      <c r="K166" s="2" t="s">
        <v>61</v>
      </c>
      <c r="L166" s="2" t="s">
        <v>29</v>
      </c>
      <c r="M166" s="2" t="s">
        <v>280</v>
      </c>
      <c r="N166" s="2" t="s">
        <v>281</v>
      </c>
      <c r="O166" s="4">
        <v>1473</v>
      </c>
      <c r="P166" s="2" t="s">
        <v>1314</v>
      </c>
      <c r="Q166" s="2" t="s">
        <v>33</v>
      </c>
      <c r="R166" s="2" t="s">
        <v>1315</v>
      </c>
      <c r="S166" s="2" t="s">
        <v>1316</v>
      </c>
      <c r="T166" s="2" t="s">
        <v>1317</v>
      </c>
      <c r="U166" s="2" t="s">
        <v>1318</v>
      </c>
      <c r="V166" s="2" t="s">
        <v>594</v>
      </c>
    </row>
    <row r="167" spans="1:22">
      <c r="A167" s="2" t="s">
        <v>1319</v>
      </c>
      <c r="B167" s="2" t="s">
        <v>1312</v>
      </c>
      <c r="C167" s="2" t="s">
        <v>1313</v>
      </c>
      <c r="D167" s="2">
        <v>2024</v>
      </c>
      <c r="E167" s="3">
        <v>45566</v>
      </c>
      <c r="F167" s="2" t="s">
        <v>167</v>
      </c>
      <c r="G167" s="2">
        <v>16</v>
      </c>
      <c r="H167" s="2">
        <v>20</v>
      </c>
      <c r="I167" s="2" t="s">
        <v>43</v>
      </c>
      <c r="J167" s="2" t="s">
        <v>279</v>
      </c>
      <c r="K167" s="2" t="s">
        <v>61</v>
      </c>
      <c r="L167" s="2" t="s">
        <v>29</v>
      </c>
      <c r="M167" s="2" t="s">
        <v>280</v>
      </c>
      <c r="N167" s="2" t="s">
        <v>281</v>
      </c>
      <c r="O167" s="4">
        <v>1473</v>
      </c>
      <c r="P167" s="2" t="s">
        <v>1314</v>
      </c>
      <c r="Q167" s="2" t="s">
        <v>33</v>
      </c>
      <c r="R167" s="2" t="s">
        <v>1315</v>
      </c>
      <c r="S167" s="2" t="s">
        <v>1316</v>
      </c>
      <c r="T167" s="2" t="s">
        <v>1317</v>
      </c>
      <c r="U167" s="2" t="s">
        <v>1318</v>
      </c>
      <c r="V167" s="2" t="s">
        <v>594</v>
      </c>
    </row>
    <row r="168" spans="1:22">
      <c r="A168" s="2" t="s">
        <v>265</v>
      </c>
      <c r="B168" s="2" t="s">
        <v>1312</v>
      </c>
      <c r="C168" s="2" t="s">
        <v>1313</v>
      </c>
      <c r="D168" s="2">
        <v>2024</v>
      </c>
      <c r="E168" s="3">
        <v>45566</v>
      </c>
      <c r="F168" s="2" t="s">
        <v>167</v>
      </c>
      <c r="G168" s="2">
        <v>16</v>
      </c>
      <c r="H168" s="2">
        <v>20</v>
      </c>
      <c r="I168" s="2" t="s">
        <v>43</v>
      </c>
      <c r="J168" s="2" t="s">
        <v>279</v>
      </c>
      <c r="K168" s="2" t="s">
        <v>61</v>
      </c>
      <c r="L168" s="2" t="s">
        <v>29</v>
      </c>
      <c r="M168" s="2" t="s">
        <v>280</v>
      </c>
      <c r="N168" s="2" t="s">
        <v>281</v>
      </c>
      <c r="O168" s="4">
        <v>1473</v>
      </c>
      <c r="P168" s="2" t="s">
        <v>1314</v>
      </c>
      <c r="Q168" s="2" t="s">
        <v>33</v>
      </c>
      <c r="R168" s="2" t="s">
        <v>1315</v>
      </c>
      <c r="S168" s="2" t="s">
        <v>1316</v>
      </c>
      <c r="T168" s="2" t="s">
        <v>1317</v>
      </c>
      <c r="U168" s="2" t="s">
        <v>1318</v>
      </c>
      <c r="V168" s="2" t="s">
        <v>594</v>
      </c>
    </row>
    <row r="169" spans="1:22" ht="57.6">
      <c r="A169" s="2" t="s">
        <v>1320</v>
      </c>
      <c r="B169" s="2" t="s">
        <v>1321</v>
      </c>
      <c r="C169" s="2" t="s">
        <v>1322</v>
      </c>
      <c r="D169" s="2">
        <v>2024</v>
      </c>
      <c r="E169" s="3">
        <v>45505</v>
      </c>
      <c r="F169" s="2" t="s">
        <v>1323</v>
      </c>
      <c r="G169" s="2">
        <v>77</v>
      </c>
      <c r="H169" s="2">
        <v>8</v>
      </c>
      <c r="I169" s="2" t="s">
        <v>1324</v>
      </c>
      <c r="J169" s="2" t="s">
        <v>1325</v>
      </c>
      <c r="K169" s="2" t="s">
        <v>772</v>
      </c>
      <c r="L169" s="2" t="s">
        <v>773</v>
      </c>
      <c r="M169" s="2" t="s">
        <v>1326</v>
      </c>
      <c r="N169" s="2" t="s">
        <v>1327</v>
      </c>
      <c r="O169" s="2" t="s">
        <v>1328</v>
      </c>
      <c r="P169" s="2" t="s">
        <v>1329</v>
      </c>
      <c r="Q169" s="2" t="s">
        <v>33</v>
      </c>
      <c r="R169" s="2" t="s">
        <v>1330</v>
      </c>
      <c r="S169" s="2" t="s">
        <v>1331</v>
      </c>
      <c r="T169" s="2" t="s">
        <v>1332</v>
      </c>
      <c r="U169" s="2" t="s">
        <v>1333</v>
      </c>
      <c r="V169" s="2" t="s">
        <v>1334</v>
      </c>
    </row>
    <row r="170" spans="1:22">
      <c r="A170" s="2" t="s">
        <v>228</v>
      </c>
      <c r="B170" s="2" t="s">
        <v>1335</v>
      </c>
      <c r="C170" s="2" t="s">
        <v>1336</v>
      </c>
      <c r="D170" s="2">
        <v>2024</v>
      </c>
      <c r="E170" s="3">
        <v>45627</v>
      </c>
      <c r="F170" s="2" t="s">
        <v>231</v>
      </c>
      <c r="G170" s="2">
        <v>28</v>
      </c>
      <c r="H170" s="2">
        <v>1</v>
      </c>
      <c r="I170" s="2" t="s">
        <v>43</v>
      </c>
      <c r="J170" s="2" t="s">
        <v>232</v>
      </c>
      <c r="K170" s="2" t="s">
        <v>233</v>
      </c>
      <c r="L170" s="2" t="s">
        <v>29</v>
      </c>
      <c r="M170" s="2" t="s">
        <v>1337</v>
      </c>
      <c r="N170" s="2" t="s">
        <v>31</v>
      </c>
      <c r="O170" s="4">
        <v>2738</v>
      </c>
      <c r="P170" s="2" t="s">
        <v>1338</v>
      </c>
      <c r="Q170" s="2" t="s">
        <v>33</v>
      </c>
      <c r="R170" s="2" t="s">
        <v>1339</v>
      </c>
      <c r="S170" s="2" t="s">
        <v>1340</v>
      </c>
      <c r="T170" s="2" t="s">
        <v>1341</v>
      </c>
      <c r="U170" s="2" t="s">
        <v>1342</v>
      </c>
      <c r="V170" s="2" t="s">
        <v>1343</v>
      </c>
    </row>
    <row r="171" spans="1:22">
      <c r="A171" s="2" t="s">
        <v>1344</v>
      </c>
      <c r="B171" s="2" t="s">
        <v>1335</v>
      </c>
      <c r="C171" s="2" t="s">
        <v>1336</v>
      </c>
      <c r="D171" s="2">
        <v>2024</v>
      </c>
      <c r="E171" s="3">
        <v>45627</v>
      </c>
      <c r="F171" s="2" t="s">
        <v>231</v>
      </c>
      <c r="G171" s="2">
        <v>28</v>
      </c>
      <c r="H171" s="2">
        <v>1</v>
      </c>
      <c r="I171" s="2" t="s">
        <v>43</v>
      </c>
      <c r="J171" s="2" t="s">
        <v>232</v>
      </c>
      <c r="K171" s="2" t="s">
        <v>233</v>
      </c>
      <c r="L171" s="2" t="s">
        <v>29</v>
      </c>
      <c r="M171" s="2" t="s">
        <v>1337</v>
      </c>
      <c r="N171" s="2" t="s">
        <v>31</v>
      </c>
      <c r="O171" s="4">
        <v>2738</v>
      </c>
      <c r="P171" s="2" t="s">
        <v>1338</v>
      </c>
      <c r="Q171" s="2" t="s">
        <v>33</v>
      </c>
      <c r="R171" s="2" t="s">
        <v>1339</v>
      </c>
      <c r="S171" s="2" t="s">
        <v>1340</v>
      </c>
      <c r="T171" s="2" t="s">
        <v>1341</v>
      </c>
      <c r="U171" s="2" t="s">
        <v>1342</v>
      </c>
      <c r="V171" s="2" t="s">
        <v>1343</v>
      </c>
    </row>
    <row r="172" spans="1:22">
      <c r="A172" s="2" t="s">
        <v>433</v>
      </c>
      <c r="B172" s="2" t="s">
        <v>1335</v>
      </c>
      <c r="C172" s="2" t="s">
        <v>1336</v>
      </c>
      <c r="D172" s="2">
        <v>2024</v>
      </c>
      <c r="E172" s="3">
        <v>45627</v>
      </c>
      <c r="F172" s="2" t="s">
        <v>231</v>
      </c>
      <c r="G172" s="2">
        <v>28</v>
      </c>
      <c r="H172" s="2">
        <v>1</v>
      </c>
      <c r="I172" s="2" t="s">
        <v>43</v>
      </c>
      <c r="J172" s="2" t="s">
        <v>232</v>
      </c>
      <c r="K172" s="2" t="s">
        <v>233</v>
      </c>
      <c r="L172" s="2" t="s">
        <v>29</v>
      </c>
      <c r="M172" s="2" t="s">
        <v>1337</v>
      </c>
      <c r="N172" s="2" t="s">
        <v>31</v>
      </c>
      <c r="O172" s="4">
        <v>2738</v>
      </c>
      <c r="P172" s="2" t="s">
        <v>1338</v>
      </c>
      <c r="Q172" s="2" t="s">
        <v>33</v>
      </c>
      <c r="R172" s="2" t="s">
        <v>1339</v>
      </c>
      <c r="S172" s="2" t="s">
        <v>1340</v>
      </c>
      <c r="T172" s="2" t="s">
        <v>1341</v>
      </c>
      <c r="U172" s="2" t="s">
        <v>1342</v>
      </c>
      <c r="V172" s="2" t="s">
        <v>1343</v>
      </c>
    </row>
    <row r="173" spans="1:22">
      <c r="A173" s="2" t="s">
        <v>1345</v>
      </c>
      <c r="B173" s="2" t="s">
        <v>1346</v>
      </c>
      <c r="C173" s="2" t="s">
        <v>1347</v>
      </c>
      <c r="D173" s="2">
        <v>2025</v>
      </c>
      <c r="E173" s="3">
        <v>45689</v>
      </c>
      <c r="F173" s="2" t="s">
        <v>167</v>
      </c>
      <c r="G173" s="2">
        <v>17</v>
      </c>
      <c r="H173" s="2">
        <v>3</v>
      </c>
      <c r="I173" s="2" t="s">
        <v>43</v>
      </c>
      <c r="J173" s="2" t="s">
        <v>279</v>
      </c>
      <c r="K173" s="2" t="s">
        <v>61</v>
      </c>
      <c r="L173" s="2" t="s">
        <v>29</v>
      </c>
      <c r="M173" s="2" t="s">
        <v>1285</v>
      </c>
      <c r="N173" s="2" t="s">
        <v>247</v>
      </c>
      <c r="O173" s="4">
        <v>1499</v>
      </c>
      <c r="P173" s="2" t="s">
        <v>1348</v>
      </c>
      <c r="Q173" s="2" t="s">
        <v>49</v>
      </c>
      <c r="R173" s="2" t="s">
        <v>1349</v>
      </c>
      <c r="S173" s="2" t="s">
        <v>1350</v>
      </c>
      <c r="T173" s="2" t="s">
        <v>1351</v>
      </c>
      <c r="U173" s="2" t="s">
        <v>1352</v>
      </c>
      <c r="V173" s="2" t="s">
        <v>275</v>
      </c>
    </row>
    <row r="174" spans="1:22">
      <c r="A174" s="2" t="s">
        <v>1353</v>
      </c>
      <c r="B174" s="2" t="s">
        <v>1346</v>
      </c>
      <c r="C174" s="2" t="s">
        <v>1347</v>
      </c>
      <c r="D174" s="2">
        <v>2025</v>
      </c>
      <c r="E174" s="3">
        <v>45689</v>
      </c>
      <c r="F174" s="2" t="s">
        <v>167</v>
      </c>
      <c r="G174" s="2">
        <v>17</v>
      </c>
      <c r="H174" s="2">
        <v>3</v>
      </c>
      <c r="I174" s="2" t="s">
        <v>43</v>
      </c>
      <c r="J174" s="2" t="s">
        <v>279</v>
      </c>
      <c r="K174" s="2" t="s">
        <v>61</v>
      </c>
      <c r="L174" s="2" t="s">
        <v>29</v>
      </c>
      <c r="M174" s="2" t="s">
        <v>1285</v>
      </c>
      <c r="N174" s="2" t="s">
        <v>247</v>
      </c>
      <c r="O174" s="4">
        <v>1499</v>
      </c>
      <c r="P174" s="2" t="s">
        <v>1348</v>
      </c>
      <c r="Q174" s="2" t="s">
        <v>49</v>
      </c>
      <c r="R174" s="2" t="s">
        <v>1349</v>
      </c>
      <c r="S174" s="2" t="s">
        <v>1350</v>
      </c>
      <c r="T174" s="2" t="s">
        <v>1351</v>
      </c>
      <c r="U174" s="2" t="s">
        <v>1352</v>
      </c>
      <c r="V174" s="2" t="s">
        <v>275</v>
      </c>
    </row>
    <row r="175" spans="1:22">
      <c r="A175" s="2" t="s">
        <v>1354</v>
      </c>
      <c r="B175" s="2" t="s">
        <v>1346</v>
      </c>
      <c r="C175" s="2" t="s">
        <v>1347</v>
      </c>
      <c r="D175" s="2">
        <v>2025</v>
      </c>
      <c r="E175" s="3">
        <v>45689</v>
      </c>
      <c r="F175" s="2" t="s">
        <v>167</v>
      </c>
      <c r="G175" s="2">
        <v>17</v>
      </c>
      <c r="H175" s="2">
        <v>3</v>
      </c>
      <c r="I175" s="2" t="s">
        <v>43</v>
      </c>
      <c r="J175" s="2" t="s">
        <v>279</v>
      </c>
      <c r="K175" s="2" t="s">
        <v>61</v>
      </c>
      <c r="L175" s="2" t="s">
        <v>29</v>
      </c>
      <c r="M175" s="2" t="s">
        <v>1285</v>
      </c>
      <c r="N175" s="2" t="s">
        <v>247</v>
      </c>
      <c r="O175" s="4">
        <v>1499</v>
      </c>
      <c r="P175" s="2" t="s">
        <v>1348</v>
      </c>
      <c r="Q175" s="2" t="s">
        <v>49</v>
      </c>
      <c r="R175" s="2" t="s">
        <v>1349</v>
      </c>
      <c r="S175" s="2" t="s">
        <v>1350</v>
      </c>
      <c r="T175" s="2" t="s">
        <v>1351</v>
      </c>
      <c r="U175" s="2" t="s">
        <v>1352</v>
      </c>
      <c r="V175" s="2" t="s">
        <v>275</v>
      </c>
    </row>
    <row r="176" spans="1:22">
      <c r="A176" s="2" t="s">
        <v>1355</v>
      </c>
      <c r="B176" s="2" t="s">
        <v>1356</v>
      </c>
      <c r="C176" s="2" t="s">
        <v>1357</v>
      </c>
      <c r="D176" s="2">
        <v>2024</v>
      </c>
      <c r="E176" s="3">
        <v>45292</v>
      </c>
      <c r="F176" s="2" t="s">
        <v>1358</v>
      </c>
      <c r="G176" s="2">
        <v>17</v>
      </c>
      <c r="H176" s="2">
        <v>1</v>
      </c>
      <c r="I176" s="2" t="s">
        <v>1359</v>
      </c>
      <c r="J176" s="2" t="s">
        <v>1360</v>
      </c>
      <c r="K176" s="2" t="s">
        <v>1361</v>
      </c>
      <c r="L176" s="2" t="s">
        <v>29</v>
      </c>
      <c r="M176" s="2" t="s">
        <v>1362</v>
      </c>
      <c r="N176" s="2" t="s">
        <v>196</v>
      </c>
      <c r="O176" s="2" t="s">
        <v>1363</v>
      </c>
      <c r="P176" s="2" t="s">
        <v>1364</v>
      </c>
      <c r="Q176" s="2" t="s">
        <v>33</v>
      </c>
      <c r="R176" s="2" t="s">
        <v>1365</v>
      </c>
      <c r="S176" s="2" t="s">
        <v>1366</v>
      </c>
      <c r="T176" s="2" t="s">
        <v>1367</v>
      </c>
      <c r="U176" s="2" t="s">
        <v>1368</v>
      </c>
      <c r="V176" s="2" t="s">
        <v>80</v>
      </c>
    </row>
    <row r="177" spans="1:22" ht="72">
      <c r="A177" s="2" t="s">
        <v>1369</v>
      </c>
      <c r="B177" s="2" t="s">
        <v>1370</v>
      </c>
      <c r="C177" s="2" t="s">
        <v>1371</v>
      </c>
      <c r="D177" s="2">
        <v>2024</v>
      </c>
      <c r="E177" s="3">
        <v>45292</v>
      </c>
      <c r="F177" s="2" t="s">
        <v>1372</v>
      </c>
      <c r="G177" s="2">
        <v>12</v>
      </c>
      <c r="H177" s="2" t="s">
        <v>43</v>
      </c>
      <c r="I177" s="2" t="s">
        <v>43</v>
      </c>
      <c r="J177" s="2" t="s">
        <v>1373</v>
      </c>
      <c r="K177" s="2" t="s">
        <v>183</v>
      </c>
      <c r="L177" s="2" t="s">
        <v>29</v>
      </c>
      <c r="M177" s="2" t="s">
        <v>1326</v>
      </c>
      <c r="N177" s="2" t="s">
        <v>827</v>
      </c>
      <c r="O177" s="2" t="s">
        <v>1374</v>
      </c>
      <c r="P177" s="2" t="s">
        <v>1375</v>
      </c>
      <c r="Q177" s="2" t="s">
        <v>33</v>
      </c>
      <c r="R177" s="2" t="s">
        <v>1376</v>
      </c>
      <c r="S177" s="2" t="s">
        <v>1377</v>
      </c>
      <c r="T177" s="2" t="s">
        <v>1378</v>
      </c>
      <c r="U177" s="2" t="s">
        <v>1379</v>
      </c>
      <c r="V177" s="2" t="s">
        <v>1380</v>
      </c>
    </row>
    <row r="178" spans="1:22" ht="72">
      <c r="A178" s="2" t="s">
        <v>1381</v>
      </c>
      <c r="B178" s="2" t="s">
        <v>1370</v>
      </c>
      <c r="C178" s="2" t="s">
        <v>1371</v>
      </c>
      <c r="D178" s="2">
        <v>2024</v>
      </c>
      <c r="E178" s="3">
        <v>45292</v>
      </c>
      <c r="F178" s="2" t="s">
        <v>1372</v>
      </c>
      <c r="G178" s="2">
        <v>12</v>
      </c>
      <c r="H178" s="2" t="s">
        <v>43</v>
      </c>
      <c r="I178" s="2" t="s">
        <v>43</v>
      </c>
      <c r="J178" s="2" t="s">
        <v>1373</v>
      </c>
      <c r="K178" s="2" t="s">
        <v>183</v>
      </c>
      <c r="L178" s="2" t="s">
        <v>29</v>
      </c>
      <c r="M178" s="2" t="s">
        <v>1326</v>
      </c>
      <c r="N178" s="2" t="s">
        <v>827</v>
      </c>
      <c r="O178" s="2" t="s">
        <v>1374</v>
      </c>
      <c r="P178" s="2" t="s">
        <v>1375</v>
      </c>
      <c r="Q178" s="2" t="s">
        <v>33</v>
      </c>
      <c r="R178" s="2" t="s">
        <v>1376</v>
      </c>
      <c r="S178" s="2" t="s">
        <v>1377</v>
      </c>
      <c r="T178" s="2" t="s">
        <v>1378</v>
      </c>
      <c r="U178" s="2" t="s">
        <v>1379</v>
      </c>
      <c r="V178" s="2" t="s">
        <v>1380</v>
      </c>
    </row>
    <row r="179" spans="1:22" ht="28.8">
      <c r="A179" s="2" t="s">
        <v>265</v>
      </c>
      <c r="B179" s="2" t="s">
        <v>1382</v>
      </c>
      <c r="C179" s="2" t="s">
        <v>1383</v>
      </c>
      <c r="D179" s="2">
        <v>2025</v>
      </c>
      <c r="E179" s="3">
        <v>45809</v>
      </c>
      <c r="F179" s="2" t="s">
        <v>1384</v>
      </c>
      <c r="G179" s="2">
        <v>102</v>
      </c>
      <c r="H179" s="2" t="s">
        <v>43</v>
      </c>
      <c r="I179" s="2" t="s">
        <v>43</v>
      </c>
      <c r="J179" s="2" t="s">
        <v>1385</v>
      </c>
      <c r="K179" s="2" t="s">
        <v>45</v>
      </c>
      <c r="L179" s="2" t="s">
        <v>29</v>
      </c>
      <c r="M179" s="2" t="s">
        <v>281</v>
      </c>
      <c r="N179" s="2" t="s">
        <v>121</v>
      </c>
      <c r="O179" s="4">
        <v>1305</v>
      </c>
      <c r="P179" s="2" t="s">
        <v>1386</v>
      </c>
      <c r="Q179" s="2" t="s">
        <v>33</v>
      </c>
      <c r="R179" s="2" t="s">
        <v>1387</v>
      </c>
      <c r="S179" s="2" t="s">
        <v>1388</v>
      </c>
      <c r="T179" s="2" t="s">
        <v>1389</v>
      </c>
      <c r="U179" s="2" t="s">
        <v>1390</v>
      </c>
      <c r="V179" s="2" t="s">
        <v>594</v>
      </c>
    </row>
    <row r="180" spans="1:22">
      <c r="A180" s="2" t="s">
        <v>1391</v>
      </c>
      <c r="B180" s="2" t="s">
        <v>1392</v>
      </c>
      <c r="C180" s="2" t="s">
        <v>1393</v>
      </c>
      <c r="D180" s="2">
        <v>2025</v>
      </c>
      <c r="E180" s="3">
        <v>45748</v>
      </c>
      <c r="F180" s="2" t="s">
        <v>889</v>
      </c>
      <c r="G180" s="2">
        <v>14</v>
      </c>
      <c r="H180" s="2">
        <v>4</v>
      </c>
      <c r="I180" s="2" t="s">
        <v>43</v>
      </c>
      <c r="J180" s="2" t="s">
        <v>890</v>
      </c>
      <c r="K180" s="2" t="s">
        <v>61</v>
      </c>
      <c r="L180" s="2" t="s">
        <v>29</v>
      </c>
      <c r="M180" s="2" t="s">
        <v>1093</v>
      </c>
      <c r="N180" s="2" t="s">
        <v>171</v>
      </c>
      <c r="O180" s="4">
        <v>1706</v>
      </c>
      <c r="P180" s="2" t="s">
        <v>1394</v>
      </c>
      <c r="Q180" s="2" t="s">
        <v>49</v>
      </c>
      <c r="R180" s="2" t="s">
        <v>1395</v>
      </c>
      <c r="S180" s="2" t="s">
        <v>79</v>
      </c>
      <c r="T180" s="5">
        <v>601053680000000</v>
      </c>
      <c r="U180" s="2" t="s">
        <v>79</v>
      </c>
      <c r="V180" s="2" t="s">
        <v>80</v>
      </c>
    </row>
    <row r="181" spans="1:22">
      <c r="A181" s="2" t="s">
        <v>1396</v>
      </c>
      <c r="B181" s="2" t="s">
        <v>1392</v>
      </c>
      <c r="C181" s="2" t="s">
        <v>1393</v>
      </c>
      <c r="D181" s="2">
        <v>2025</v>
      </c>
      <c r="E181" s="3">
        <v>45748</v>
      </c>
      <c r="F181" s="2" t="s">
        <v>889</v>
      </c>
      <c r="G181" s="2">
        <v>14</v>
      </c>
      <c r="H181" s="2">
        <v>4</v>
      </c>
      <c r="I181" s="2" t="s">
        <v>43</v>
      </c>
      <c r="J181" s="2" t="s">
        <v>890</v>
      </c>
      <c r="K181" s="2" t="s">
        <v>61</v>
      </c>
      <c r="L181" s="2" t="s">
        <v>29</v>
      </c>
      <c r="M181" s="2" t="s">
        <v>1093</v>
      </c>
      <c r="N181" s="2" t="s">
        <v>171</v>
      </c>
      <c r="O181" s="4">
        <v>1706</v>
      </c>
      <c r="P181" s="2" t="s">
        <v>1394</v>
      </c>
      <c r="Q181" s="2" t="s">
        <v>49</v>
      </c>
      <c r="R181" s="2" t="s">
        <v>1395</v>
      </c>
      <c r="S181" s="2" t="s">
        <v>79</v>
      </c>
      <c r="T181" s="5">
        <v>601053680000000</v>
      </c>
      <c r="U181" s="2" t="s">
        <v>79</v>
      </c>
      <c r="V181" s="2" t="s">
        <v>80</v>
      </c>
    </row>
    <row r="182" spans="1:22">
      <c r="A182" s="2" t="s">
        <v>82</v>
      </c>
      <c r="B182" s="2" t="s">
        <v>1392</v>
      </c>
      <c r="C182" s="2" t="s">
        <v>1393</v>
      </c>
      <c r="D182" s="2">
        <v>2025</v>
      </c>
      <c r="E182" s="3">
        <v>45748</v>
      </c>
      <c r="F182" s="2" t="s">
        <v>889</v>
      </c>
      <c r="G182" s="2">
        <v>14</v>
      </c>
      <c r="H182" s="2">
        <v>4</v>
      </c>
      <c r="I182" s="2" t="s">
        <v>43</v>
      </c>
      <c r="J182" s="2" t="s">
        <v>890</v>
      </c>
      <c r="K182" s="2" t="s">
        <v>61</v>
      </c>
      <c r="L182" s="2" t="s">
        <v>29</v>
      </c>
      <c r="M182" s="2" t="s">
        <v>1093</v>
      </c>
      <c r="N182" s="2" t="s">
        <v>171</v>
      </c>
      <c r="O182" s="4">
        <v>1706</v>
      </c>
      <c r="P182" s="2" t="s">
        <v>1394</v>
      </c>
      <c r="Q182" s="2" t="s">
        <v>49</v>
      </c>
      <c r="R182" s="2" t="s">
        <v>1395</v>
      </c>
      <c r="S182" s="2" t="s">
        <v>79</v>
      </c>
      <c r="T182" s="5">
        <v>601053680000000</v>
      </c>
      <c r="U182" s="2" t="s">
        <v>79</v>
      </c>
      <c r="V182" s="2" t="s">
        <v>80</v>
      </c>
    </row>
    <row r="183" spans="1:22">
      <c r="A183" s="2" t="s">
        <v>83</v>
      </c>
      <c r="B183" s="2" t="s">
        <v>1392</v>
      </c>
      <c r="C183" s="2" t="s">
        <v>1393</v>
      </c>
      <c r="D183" s="2">
        <v>2025</v>
      </c>
      <c r="E183" s="3">
        <v>45748</v>
      </c>
      <c r="F183" s="2" t="s">
        <v>889</v>
      </c>
      <c r="G183" s="2">
        <v>14</v>
      </c>
      <c r="H183" s="2">
        <v>4</v>
      </c>
      <c r="I183" s="2" t="s">
        <v>43</v>
      </c>
      <c r="J183" s="2" t="s">
        <v>890</v>
      </c>
      <c r="K183" s="2" t="s">
        <v>61</v>
      </c>
      <c r="L183" s="2" t="s">
        <v>29</v>
      </c>
      <c r="M183" s="2" t="s">
        <v>1093</v>
      </c>
      <c r="N183" s="2" t="s">
        <v>171</v>
      </c>
      <c r="O183" s="4">
        <v>1706</v>
      </c>
      <c r="P183" s="2" t="s">
        <v>1394</v>
      </c>
      <c r="Q183" s="2" t="s">
        <v>49</v>
      </c>
      <c r="R183" s="2" t="s">
        <v>1395</v>
      </c>
      <c r="S183" s="2" t="s">
        <v>79</v>
      </c>
      <c r="T183" s="5">
        <v>601053680000000</v>
      </c>
      <c r="U183" s="2" t="s">
        <v>79</v>
      </c>
      <c r="V183" s="2" t="s">
        <v>80</v>
      </c>
    </row>
    <row r="184" spans="1:22">
      <c r="A184" s="2" t="s">
        <v>22</v>
      </c>
      <c r="B184" s="2" t="s">
        <v>1397</v>
      </c>
      <c r="C184" s="2" t="s">
        <v>1398</v>
      </c>
      <c r="D184" s="2">
        <v>2024</v>
      </c>
      <c r="E184" s="3">
        <v>45597</v>
      </c>
      <c r="F184" s="2" t="s">
        <v>1399</v>
      </c>
      <c r="G184" s="2">
        <v>124</v>
      </c>
      <c r="H184" s="2">
        <v>11</v>
      </c>
      <c r="I184" s="2" t="s">
        <v>1400</v>
      </c>
      <c r="J184" s="2" t="s">
        <v>1401</v>
      </c>
      <c r="K184" s="2" t="s">
        <v>718</v>
      </c>
      <c r="L184" s="2" t="s">
        <v>29</v>
      </c>
      <c r="M184" s="2" t="s">
        <v>498</v>
      </c>
      <c r="N184" s="2" t="s">
        <v>476</v>
      </c>
      <c r="O184" s="2" t="s">
        <v>1402</v>
      </c>
      <c r="P184" s="2" t="s">
        <v>1403</v>
      </c>
      <c r="Q184" s="2" t="s">
        <v>33</v>
      </c>
      <c r="R184" s="2" t="s">
        <v>1404</v>
      </c>
      <c r="S184" s="2" t="s">
        <v>1405</v>
      </c>
      <c r="T184" s="2" t="s">
        <v>1406</v>
      </c>
      <c r="U184" s="2" t="s">
        <v>1407</v>
      </c>
      <c r="V184" s="2" t="s">
        <v>1408</v>
      </c>
    </row>
    <row r="185" spans="1:22">
      <c r="A185" s="2" t="s">
        <v>113</v>
      </c>
      <c r="B185" s="2" t="s">
        <v>1409</v>
      </c>
      <c r="C185" s="2" t="s">
        <v>1410</v>
      </c>
      <c r="D185" s="2">
        <v>2024</v>
      </c>
      <c r="E185" s="3">
        <v>45566</v>
      </c>
      <c r="F185" s="2" t="s">
        <v>1411</v>
      </c>
      <c r="G185" s="2">
        <v>149</v>
      </c>
      <c r="H185" s="2" t="s">
        <v>43</v>
      </c>
      <c r="I185" s="2" t="s">
        <v>43</v>
      </c>
      <c r="J185" s="2" t="s">
        <v>1412</v>
      </c>
      <c r="K185" s="2" t="s">
        <v>45</v>
      </c>
      <c r="L185" s="2" t="s">
        <v>29</v>
      </c>
      <c r="M185" s="2" t="s">
        <v>361</v>
      </c>
      <c r="N185" s="2" t="s">
        <v>247</v>
      </c>
      <c r="O185" s="2" t="s">
        <v>1413</v>
      </c>
      <c r="P185" s="2" t="s">
        <v>1414</v>
      </c>
      <c r="Q185" s="2" t="s">
        <v>33</v>
      </c>
      <c r="R185" s="2" t="s">
        <v>1415</v>
      </c>
      <c r="S185" s="2" t="s">
        <v>1416</v>
      </c>
      <c r="T185" s="2" t="s">
        <v>1417</v>
      </c>
      <c r="U185" s="2" t="s">
        <v>1418</v>
      </c>
      <c r="V185" s="2" t="s">
        <v>1419</v>
      </c>
    </row>
    <row r="186" spans="1:22">
      <c r="A186" s="2" t="s">
        <v>128</v>
      </c>
      <c r="B186" s="2" t="s">
        <v>1420</v>
      </c>
      <c r="C186" s="2" t="s">
        <v>130</v>
      </c>
      <c r="D186" s="2">
        <v>2024</v>
      </c>
      <c r="E186" s="3">
        <v>45292</v>
      </c>
      <c r="F186" s="2" t="s">
        <v>1421</v>
      </c>
      <c r="G186" s="2" t="s">
        <v>43</v>
      </c>
      <c r="H186" s="2" t="s">
        <v>43</v>
      </c>
      <c r="I186" s="2" t="s">
        <v>1422</v>
      </c>
      <c r="J186" s="2" t="s">
        <v>43</v>
      </c>
      <c r="K186" s="2" t="s">
        <v>1423</v>
      </c>
      <c r="L186" s="2" t="s">
        <v>29</v>
      </c>
      <c r="M186" s="2" t="s">
        <v>43</v>
      </c>
      <c r="N186" s="2" t="s">
        <v>43</v>
      </c>
      <c r="O186" s="2" t="s">
        <v>43</v>
      </c>
      <c r="P186" s="2" t="s">
        <v>43</v>
      </c>
      <c r="Q186" s="2" t="s">
        <v>1125</v>
      </c>
      <c r="R186" s="2" t="s">
        <v>1424</v>
      </c>
      <c r="S186" s="2" t="s">
        <v>1425</v>
      </c>
      <c r="T186" s="2" t="s">
        <v>1426</v>
      </c>
      <c r="U186" s="2" t="s">
        <v>1427</v>
      </c>
      <c r="V186" s="2" t="s">
        <v>141</v>
      </c>
    </row>
    <row r="187" spans="1:22">
      <c r="A187" s="2" t="s">
        <v>1214</v>
      </c>
      <c r="B187" s="2" t="s">
        <v>1428</v>
      </c>
      <c r="C187" s="2" t="s">
        <v>1429</v>
      </c>
      <c r="D187" s="2">
        <v>2025</v>
      </c>
      <c r="E187" s="3">
        <v>45717</v>
      </c>
      <c r="F187" s="2" t="s">
        <v>1430</v>
      </c>
      <c r="G187" s="2">
        <v>96</v>
      </c>
      <c r="H187" s="2">
        <v>3</v>
      </c>
      <c r="I187" s="2" t="s">
        <v>1431</v>
      </c>
      <c r="J187" s="2" t="s">
        <v>1432</v>
      </c>
      <c r="K187" s="2" t="s">
        <v>119</v>
      </c>
      <c r="L187" s="2" t="s">
        <v>29</v>
      </c>
      <c r="M187" s="2" t="s">
        <v>1433</v>
      </c>
      <c r="N187" s="2" t="s">
        <v>121</v>
      </c>
      <c r="O187" s="4">
        <v>1437</v>
      </c>
      <c r="P187" s="2" t="s">
        <v>1434</v>
      </c>
      <c r="Q187" s="2" t="s">
        <v>33</v>
      </c>
      <c r="R187" s="2" t="s">
        <v>1435</v>
      </c>
      <c r="S187" s="2" t="s">
        <v>1436</v>
      </c>
      <c r="T187" s="2" t="s">
        <v>1437</v>
      </c>
      <c r="U187" s="2" t="s">
        <v>1438</v>
      </c>
      <c r="V187" s="2" t="s">
        <v>1213</v>
      </c>
    </row>
    <row r="188" spans="1:22">
      <c r="A188" s="2" t="s">
        <v>1439</v>
      </c>
      <c r="B188" s="2" t="s">
        <v>1440</v>
      </c>
      <c r="C188" s="2" t="s">
        <v>1441</v>
      </c>
      <c r="D188" s="2">
        <v>2024</v>
      </c>
      <c r="E188" s="3">
        <v>45345</v>
      </c>
      <c r="F188" s="2" t="s">
        <v>1442</v>
      </c>
      <c r="G188" s="2">
        <v>103</v>
      </c>
      <c r="H188" s="2">
        <v>8</v>
      </c>
      <c r="I188" s="2" t="s">
        <v>43</v>
      </c>
      <c r="J188" s="2" t="s">
        <v>1443</v>
      </c>
      <c r="K188" s="2" t="s">
        <v>566</v>
      </c>
      <c r="L188" s="2" t="s">
        <v>29</v>
      </c>
      <c r="M188" s="2" t="s">
        <v>393</v>
      </c>
      <c r="N188" s="2" t="s">
        <v>1444</v>
      </c>
      <c r="O188" s="2" t="s">
        <v>1445</v>
      </c>
      <c r="P188" s="2" t="s">
        <v>1446</v>
      </c>
      <c r="Q188" s="2" t="s">
        <v>33</v>
      </c>
      <c r="R188" s="2" t="s">
        <v>1447</v>
      </c>
      <c r="S188" s="2" t="s">
        <v>1448</v>
      </c>
      <c r="T188" s="2" t="s">
        <v>1449</v>
      </c>
      <c r="U188" s="2" t="s">
        <v>1450</v>
      </c>
      <c r="V188" s="2" t="s">
        <v>80</v>
      </c>
    </row>
    <row r="189" spans="1:22" ht="28.8">
      <c r="A189" s="2" t="s">
        <v>276</v>
      </c>
      <c r="B189" s="2" t="s">
        <v>1451</v>
      </c>
      <c r="C189" s="2" t="s">
        <v>1452</v>
      </c>
      <c r="D189" s="2">
        <v>2025</v>
      </c>
      <c r="E189" s="3">
        <v>45901</v>
      </c>
      <c r="F189" s="2" t="s">
        <v>167</v>
      </c>
      <c r="G189" s="2">
        <v>17</v>
      </c>
      <c r="H189" s="2">
        <v>18</v>
      </c>
      <c r="I189" s="2" t="s">
        <v>43</v>
      </c>
      <c r="J189" s="2" t="s">
        <v>279</v>
      </c>
      <c r="K189" s="2" t="s">
        <v>61</v>
      </c>
      <c r="L189" s="2" t="s">
        <v>29</v>
      </c>
      <c r="M189" s="2" t="s">
        <v>1285</v>
      </c>
      <c r="N189" s="2" t="s">
        <v>247</v>
      </c>
      <c r="O189" s="4">
        <v>1499</v>
      </c>
      <c r="P189" s="2" t="s">
        <v>1453</v>
      </c>
      <c r="Q189" s="2" t="s">
        <v>49</v>
      </c>
      <c r="R189" s="2" t="s">
        <v>1454</v>
      </c>
      <c r="S189" s="2" t="s">
        <v>1455</v>
      </c>
      <c r="T189" s="2" t="s">
        <v>1456</v>
      </c>
      <c r="U189" s="2" t="s">
        <v>1457</v>
      </c>
      <c r="V189" s="2" t="s">
        <v>1044</v>
      </c>
    </row>
    <row r="190" spans="1:22">
      <c r="A190" s="2" t="s">
        <v>897</v>
      </c>
      <c r="B190" s="2" t="s">
        <v>1458</v>
      </c>
      <c r="C190" s="2" t="s">
        <v>1459</v>
      </c>
      <c r="D190" s="2">
        <v>2025</v>
      </c>
      <c r="E190" s="3">
        <v>45717</v>
      </c>
      <c r="F190" s="2" t="s">
        <v>1460</v>
      </c>
      <c r="G190" s="2">
        <v>40</v>
      </c>
      <c r="H190" s="2">
        <v>1</v>
      </c>
      <c r="I190" s="2" t="s">
        <v>43</v>
      </c>
      <c r="J190" s="2" t="s">
        <v>1461</v>
      </c>
      <c r="K190" s="2" t="s">
        <v>1462</v>
      </c>
      <c r="L190" s="2" t="s">
        <v>29</v>
      </c>
      <c r="M190" s="2" t="s">
        <v>1463</v>
      </c>
      <c r="N190" s="2" t="s">
        <v>476</v>
      </c>
      <c r="O190" s="4">
        <v>1217</v>
      </c>
      <c r="P190" s="2" t="s">
        <v>1464</v>
      </c>
      <c r="Q190" s="2" t="s">
        <v>33</v>
      </c>
      <c r="R190" s="2" t="s">
        <v>1465</v>
      </c>
      <c r="S190" s="2" t="s">
        <v>908</v>
      </c>
      <c r="T190" s="2" t="s">
        <v>1466</v>
      </c>
      <c r="U190" s="2" t="s">
        <v>1467</v>
      </c>
      <c r="V190" s="2" t="s">
        <v>911</v>
      </c>
    </row>
    <row r="191" spans="1:22" ht="28.8">
      <c r="A191" s="2" t="s">
        <v>276</v>
      </c>
      <c r="B191" s="2" t="s">
        <v>1468</v>
      </c>
      <c r="C191" s="2" t="s">
        <v>1469</v>
      </c>
      <c r="D191" s="2">
        <v>2024</v>
      </c>
      <c r="E191" s="3">
        <v>45444</v>
      </c>
      <c r="F191" s="2" t="s">
        <v>1470</v>
      </c>
      <c r="G191" s="2">
        <v>14</v>
      </c>
      <c r="H191" s="2">
        <v>12</v>
      </c>
      <c r="I191" s="2" t="s">
        <v>43</v>
      </c>
      <c r="J191" s="2" t="s">
        <v>1471</v>
      </c>
      <c r="K191" s="2" t="s">
        <v>61</v>
      </c>
      <c r="L191" s="2" t="s">
        <v>29</v>
      </c>
      <c r="M191" s="2" t="s">
        <v>1472</v>
      </c>
      <c r="N191" s="2" t="s">
        <v>1473</v>
      </c>
      <c r="O191" s="2" t="s">
        <v>1474</v>
      </c>
      <c r="P191" s="2" t="s">
        <v>1475</v>
      </c>
      <c r="Q191" s="2" t="s">
        <v>33</v>
      </c>
      <c r="R191" s="2" t="s">
        <v>1476</v>
      </c>
      <c r="S191" s="2" t="s">
        <v>1477</v>
      </c>
      <c r="T191" s="2" t="s">
        <v>1478</v>
      </c>
      <c r="U191" s="2" t="s">
        <v>1479</v>
      </c>
      <c r="V191" s="2" t="s">
        <v>594</v>
      </c>
    </row>
    <row r="192" spans="1:22" ht="100.8">
      <c r="A192" s="2" t="s">
        <v>1480</v>
      </c>
      <c r="B192" s="2" t="s">
        <v>1481</v>
      </c>
      <c r="C192" s="2" t="s">
        <v>1482</v>
      </c>
      <c r="D192" s="2">
        <v>2024</v>
      </c>
      <c r="E192" s="3">
        <v>45536</v>
      </c>
      <c r="F192" s="2" t="s">
        <v>1483</v>
      </c>
      <c r="G192" s="2">
        <v>55</v>
      </c>
      <c r="H192" s="2" t="s">
        <v>43</v>
      </c>
      <c r="I192" s="2" t="s">
        <v>1484</v>
      </c>
      <c r="J192" s="2" t="s">
        <v>1485</v>
      </c>
      <c r="K192" s="2" t="s">
        <v>1486</v>
      </c>
      <c r="L192" s="2" t="s">
        <v>29</v>
      </c>
      <c r="M192" s="2" t="s">
        <v>1487</v>
      </c>
      <c r="N192" s="2" t="s">
        <v>1488</v>
      </c>
      <c r="O192" s="2" t="s">
        <v>1489</v>
      </c>
      <c r="P192" s="2" t="s">
        <v>1490</v>
      </c>
      <c r="Q192" s="2" t="s">
        <v>33</v>
      </c>
      <c r="R192" s="2" t="s">
        <v>1491</v>
      </c>
      <c r="S192" s="2" t="s">
        <v>1492</v>
      </c>
      <c r="T192" s="2" t="s">
        <v>1493</v>
      </c>
      <c r="U192" s="2" t="s">
        <v>1494</v>
      </c>
      <c r="V192" s="2" t="s">
        <v>1495</v>
      </c>
    </row>
    <row r="193" spans="1:22">
      <c r="A193" s="2" t="s">
        <v>39</v>
      </c>
      <c r="B193" s="2" t="s">
        <v>1496</v>
      </c>
      <c r="C193" s="2" t="s">
        <v>1497</v>
      </c>
      <c r="D193" s="2">
        <v>2025</v>
      </c>
      <c r="E193" s="3">
        <v>45962</v>
      </c>
      <c r="F193" s="2" t="s">
        <v>1498</v>
      </c>
      <c r="G193" s="2">
        <v>21</v>
      </c>
      <c r="H193" s="2">
        <v>11</v>
      </c>
      <c r="I193" s="2" t="s">
        <v>1499</v>
      </c>
      <c r="J193" s="2" t="s">
        <v>1500</v>
      </c>
      <c r="K193" s="2" t="s">
        <v>220</v>
      </c>
      <c r="L193" s="2" t="s">
        <v>29</v>
      </c>
      <c r="M193" s="2" t="s">
        <v>1501</v>
      </c>
      <c r="N193" s="2" t="s">
        <v>47</v>
      </c>
      <c r="O193" s="4">
        <v>9087</v>
      </c>
      <c r="P193" s="2" t="s">
        <v>1502</v>
      </c>
      <c r="Q193" s="2" t="s">
        <v>49</v>
      </c>
      <c r="R193" s="2" t="s">
        <v>1503</v>
      </c>
      <c r="S193" s="2" t="s">
        <v>1504</v>
      </c>
      <c r="T193" s="2" t="s">
        <v>1505</v>
      </c>
      <c r="U193" s="2" t="s">
        <v>1506</v>
      </c>
      <c r="V193" s="2" t="s">
        <v>621</v>
      </c>
    </row>
    <row r="194" spans="1:22">
      <c r="A194" s="2" t="s">
        <v>974</v>
      </c>
      <c r="B194" s="2" t="s">
        <v>1507</v>
      </c>
      <c r="C194" s="2" t="s">
        <v>1508</v>
      </c>
      <c r="D194" s="2">
        <v>2025</v>
      </c>
      <c r="E194" s="3">
        <v>45717</v>
      </c>
      <c r="F194" s="2" t="s">
        <v>167</v>
      </c>
      <c r="G194" s="2">
        <v>17</v>
      </c>
      <c r="H194" s="2">
        <v>6</v>
      </c>
      <c r="I194" s="2" t="s">
        <v>43</v>
      </c>
      <c r="J194" s="2" t="s">
        <v>279</v>
      </c>
      <c r="K194" s="2" t="s">
        <v>61</v>
      </c>
      <c r="L194" s="2" t="s">
        <v>29</v>
      </c>
      <c r="M194" s="2" t="s">
        <v>1285</v>
      </c>
      <c r="N194" s="2" t="s">
        <v>247</v>
      </c>
      <c r="O194" s="4">
        <v>1499</v>
      </c>
      <c r="P194" s="2" t="s">
        <v>1509</v>
      </c>
      <c r="Q194" s="2" t="s">
        <v>49</v>
      </c>
      <c r="R194" s="2" t="s">
        <v>1510</v>
      </c>
      <c r="S194" s="2" t="s">
        <v>79</v>
      </c>
      <c r="T194" s="2" t="s">
        <v>1511</v>
      </c>
      <c r="U194" s="2" t="s">
        <v>1512</v>
      </c>
      <c r="V194" s="2" t="s">
        <v>80</v>
      </c>
    </row>
    <row r="195" spans="1:22">
      <c r="A195" s="2" t="s">
        <v>1513</v>
      </c>
      <c r="B195" s="2" t="s">
        <v>1507</v>
      </c>
      <c r="C195" s="2" t="s">
        <v>1508</v>
      </c>
      <c r="D195" s="2">
        <v>2025</v>
      </c>
      <c r="E195" s="3">
        <v>45717</v>
      </c>
      <c r="F195" s="2" t="s">
        <v>167</v>
      </c>
      <c r="G195" s="2">
        <v>17</v>
      </c>
      <c r="H195" s="2">
        <v>6</v>
      </c>
      <c r="I195" s="2" t="s">
        <v>43</v>
      </c>
      <c r="J195" s="2" t="s">
        <v>279</v>
      </c>
      <c r="K195" s="2" t="s">
        <v>61</v>
      </c>
      <c r="L195" s="2" t="s">
        <v>29</v>
      </c>
      <c r="M195" s="2" t="s">
        <v>1285</v>
      </c>
      <c r="N195" s="2" t="s">
        <v>247</v>
      </c>
      <c r="O195" s="4">
        <v>1499</v>
      </c>
      <c r="P195" s="2" t="s">
        <v>1509</v>
      </c>
      <c r="Q195" s="2" t="s">
        <v>49</v>
      </c>
      <c r="R195" s="2" t="s">
        <v>1510</v>
      </c>
      <c r="S195" s="2" t="s">
        <v>79</v>
      </c>
      <c r="T195" s="2" t="s">
        <v>1511</v>
      </c>
      <c r="U195" s="2" t="s">
        <v>1512</v>
      </c>
      <c r="V195" s="2" t="s">
        <v>80</v>
      </c>
    </row>
    <row r="196" spans="1:22">
      <c r="A196" s="2" t="s">
        <v>1514</v>
      </c>
      <c r="B196" s="2" t="s">
        <v>1507</v>
      </c>
      <c r="C196" s="2" t="s">
        <v>1508</v>
      </c>
      <c r="D196" s="2">
        <v>2025</v>
      </c>
      <c r="E196" s="3">
        <v>45717</v>
      </c>
      <c r="F196" s="2" t="s">
        <v>167</v>
      </c>
      <c r="G196" s="2">
        <v>17</v>
      </c>
      <c r="H196" s="2">
        <v>6</v>
      </c>
      <c r="I196" s="2" t="s">
        <v>43</v>
      </c>
      <c r="J196" s="2" t="s">
        <v>279</v>
      </c>
      <c r="K196" s="2" t="s">
        <v>61</v>
      </c>
      <c r="L196" s="2" t="s">
        <v>29</v>
      </c>
      <c r="M196" s="2" t="s">
        <v>1285</v>
      </c>
      <c r="N196" s="2" t="s">
        <v>247</v>
      </c>
      <c r="O196" s="4">
        <v>1499</v>
      </c>
      <c r="P196" s="2" t="s">
        <v>1509</v>
      </c>
      <c r="Q196" s="2" t="s">
        <v>49</v>
      </c>
      <c r="R196" s="2" t="s">
        <v>1510</v>
      </c>
      <c r="S196" s="2" t="s">
        <v>79</v>
      </c>
      <c r="T196" s="2" t="s">
        <v>1511</v>
      </c>
      <c r="U196" s="2" t="s">
        <v>1512</v>
      </c>
      <c r="V196" s="2" t="s">
        <v>80</v>
      </c>
    </row>
    <row r="197" spans="1:22">
      <c r="A197" s="2" t="s">
        <v>975</v>
      </c>
      <c r="B197" s="2" t="s">
        <v>1507</v>
      </c>
      <c r="C197" s="2" t="s">
        <v>1508</v>
      </c>
      <c r="D197" s="2">
        <v>2025</v>
      </c>
      <c r="E197" s="3">
        <v>45717</v>
      </c>
      <c r="F197" s="2" t="s">
        <v>167</v>
      </c>
      <c r="G197" s="2">
        <v>17</v>
      </c>
      <c r="H197" s="2">
        <v>6</v>
      </c>
      <c r="I197" s="2" t="s">
        <v>43</v>
      </c>
      <c r="J197" s="2" t="s">
        <v>279</v>
      </c>
      <c r="K197" s="2" t="s">
        <v>61</v>
      </c>
      <c r="L197" s="2" t="s">
        <v>29</v>
      </c>
      <c r="M197" s="2" t="s">
        <v>1285</v>
      </c>
      <c r="N197" s="2" t="s">
        <v>247</v>
      </c>
      <c r="O197" s="4">
        <v>1499</v>
      </c>
      <c r="P197" s="2" t="s">
        <v>1509</v>
      </c>
      <c r="Q197" s="2" t="s">
        <v>49</v>
      </c>
      <c r="R197" s="2" t="s">
        <v>1510</v>
      </c>
      <c r="S197" s="2" t="s">
        <v>79</v>
      </c>
      <c r="T197" s="2" t="s">
        <v>1511</v>
      </c>
      <c r="U197" s="2" t="s">
        <v>1512</v>
      </c>
      <c r="V197" s="2" t="s">
        <v>80</v>
      </c>
    </row>
    <row r="198" spans="1:22">
      <c r="A198" s="2" t="s">
        <v>1515</v>
      </c>
      <c r="B198" s="2" t="s">
        <v>1507</v>
      </c>
      <c r="C198" s="2" t="s">
        <v>1508</v>
      </c>
      <c r="D198" s="2">
        <v>2025</v>
      </c>
      <c r="E198" s="3">
        <v>45717</v>
      </c>
      <c r="F198" s="2" t="s">
        <v>167</v>
      </c>
      <c r="G198" s="2">
        <v>17</v>
      </c>
      <c r="H198" s="2">
        <v>6</v>
      </c>
      <c r="I198" s="2" t="s">
        <v>43</v>
      </c>
      <c r="J198" s="2" t="s">
        <v>279</v>
      </c>
      <c r="K198" s="2" t="s">
        <v>61</v>
      </c>
      <c r="L198" s="2" t="s">
        <v>29</v>
      </c>
      <c r="M198" s="2" t="s">
        <v>1285</v>
      </c>
      <c r="N198" s="2" t="s">
        <v>247</v>
      </c>
      <c r="O198" s="4">
        <v>1499</v>
      </c>
      <c r="P198" s="2" t="s">
        <v>1509</v>
      </c>
      <c r="Q198" s="2" t="s">
        <v>49</v>
      </c>
      <c r="R198" s="2" t="s">
        <v>1510</v>
      </c>
      <c r="S198" s="2" t="s">
        <v>79</v>
      </c>
      <c r="T198" s="2" t="s">
        <v>1511</v>
      </c>
      <c r="U198" s="2" t="s">
        <v>1512</v>
      </c>
      <c r="V198" s="2" t="s">
        <v>80</v>
      </c>
    </row>
    <row r="199" spans="1:22">
      <c r="A199" s="2" t="s">
        <v>22</v>
      </c>
      <c r="B199" s="2" t="s">
        <v>1516</v>
      </c>
      <c r="C199" s="2" t="s">
        <v>1517</v>
      </c>
      <c r="D199" s="2">
        <v>2025</v>
      </c>
      <c r="E199" s="3">
        <v>45658</v>
      </c>
      <c r="F199" s="2" t="s">
        <v>1518</v>
      </c>
      <c r="G199" s="2">
        <v>43</v>
      </c>
      <c r="H199" s="2">
        <v>9</v>
      </c>
      <c r="I199" s="2" t="s">
        <v>390</v>
      </c>
      <c r="J199" s="2" t="s">
        <v>1519</v>
      </c>
      <c r="K199" s="2" t="s">
        <v>666</v>
      </c>
      <c r="L199" s="2" t="s">
        <v>29</v>
      </c>
      <c r="M199" s="2" t="s">
        <v>839</v>
      </c>
      <c r="N199" s="2" t="s">
        <v>1520</v>
      </c>
      <c r="O199" s="4">
        <v>1018</v>
      </c>
      <c r="P199" s="2" t="s">
        <v>1521</v>
      </c>
      <c r="Q199" s="2" t="s">
        <v>33</v>
      </c>
      <c r="R199" s="2" t="s">
        <v>1522</v>
      </c>
      <c r="S199" s="2" t="s">
        <v>1523</v>
      </c>
      <c r="T199" s="2" t="s">
        <v>1524</v>
      </c>
      <c r="U199" s="2" t="s">
        <v>1525</v>
      </c>
      <c r="V199" s="2" t="s">
        <v>1526</v>
      </c>
    </row>
    <row r="200" spans="1:22">
      <c r="A200" s="2" t="s">
        <v>1527</v>
      </c>
      <c r="B200" s="2" t="s">
        <v>1528</v>
      </c>
      <c r="C200" s="2" t="s">
        <v>1529</v>
      </c>
      <c r="D200" s="2">
        <v>2024</v>
      </c>
      <c r="E200" s="3">
        <v>45292</v>
      </c>
      <c r="F200" s="2" t="s">
        <v>1530</v>
      </c>
      <c r="G200" s="2">
        <v>30</v>
      </c>
      <c r="H200" s="2">
        <v>5</v>
      </c>
      <c r="I200" s="2" t="s">
        <v>1531</v>
      </c>
      <c r="J200" s="2" t="s">
        <v>1532</v>
      </c>
      <c r="K200" s="2" t="s">
        <v>666</v>
      </c>
      <c r="L200" s="2" t="s">
        <v>29</v>
      </c>
      <c r="M200" s="2" t="s">
        <v>304</v>
      </c>
      <c r="N200" s="2" t="s">
        <v>374</v>
      </c>
      <c r="O200" s="2" t="s">
        <v>1533</v>
      </c>
      <c r="P200" s="2" t="s">
        <v>1534</v>
      </c>
      <c r="Q200" s="2" t="s">
        <v>33</v>
      </c>
      <c r="R200" s="2" t="s">
        <v>1535</v>
      </c>
      <c r="S200" s="2" t="s">
        <v>1536</v>
      </c>
      <c r="T200" s="2" t="s">
        <v>1537</v>
      </c>
      <c r="U200" s="2" t="s">
        <v>1538</v>
      </c>
      <c r="V200" s="2" t="s">
        <v>80</v>
      </c>
    </row>
    <row r="201" spans="1:22">
      <c r="A201" s="2" t="s">
        <v>790</v>
      </c>
      <c r="B201" s="2" t="s">
        <v>1539</v>
      </c>
      <c r="C201" s="2" t="s">
        <v>1540</v>
      </c>
      <c r="D201" s="2">
        <v>2025</v>
      </c>
      <c r="E201" s="3">
        <v>45658</v>
      </c>
      <c r="F201" s="2" t="s">
        <v>1541</v>
      </c>
      <c r="G201" s="2">
        <v>34</v>
      </c>
      <c r="H201" s="2">
        <v>4</v>
      </c>
      <c r="I201" s="2" t="s">
        <v>1542</v>
      </c>
      <c r="J201" s="2" t="s">
        <v>1543</v>
      </c>
      <c r="K201" s="2" t="s">
        <v>666</v>
      </c>
      <c r="L201" s="2" t="s">
        <v>29</v>
      </c>
      <c r="M201" s="2" t="s">
        <v>870</v>
      </c>
      <c r="N201" s="2" t="s">
        <v>1544</v>
      </c>
      <c r="O201" s="2" t="s">
        <v>1545</v>
      </c>
      <c r="P201" s="2" t="s">
        <v>1546</v>
      </c>
      <c r="Q201" s="2" t="s">
        <v>33</v>
      </c>
      <c r="R201" s="2" t="s">
        <v>1547</v>
      </c>
      <c r="S201" s="2" t="s">
        <v>1548</v>
      </c>
      <c r="T201" s="2" t="s">
        <v>1549</v>
      </c>
      <c r="U201" s="2" t="s">
        <v>1550</v>
      </c>
      <c r="V201" s="2" t="s">
        <v>766</v>
      </c>
    </row>
    <row r="202" spans="1:22">
      <c r="A202" s="2" t="s">
        <v>1551</v>
      </c>
      <c r="B202" s="2" t="s">
        <v>1552</v>
      </c>
      <c r="C202" s="2" t="s">
        <v>1553</v>
      </c>
      <c r="D202" s="2">
        <v>2024</v>
      </c>
      <c r="E202" s="3">
        <v>45292</v>
      </c>
      <c r="F202" s="2" t="s">
        <v>203</v>
      </c>
      <c r="G202" s="2">
        <v>15</v>
      </c>
      <c r="H202" s="2" t="s">
        <v>43</v>
      </c>
      <c r="I202" s="2" t="s">
        <v>43</v>
      </c>
      <c r="J202" s="2" t="s">
        <v>204</v>
      </c>
      <c r="K202" s="2" t="s">
        <v>183</v>
      </c>
      <c r="L202" s="2" t="s">
        <v>29</v>
      </c>
      <c r="M202" s="2" t="s">
        <v>205</v>
      </c>
      <c r="N202" s="2" t="s">
        <v>63</v>
      </c>
      <c r="O202" s="2" t="s">
        <v>206</v>
      </c>
      <c r="P202" s="2" t="s">
        <v>1554</v>
      </c>
      <c r="Q202" s="2" t="s">
        <v>33</v>
      </c>
      <c r="R202" s="2" t="s">
        <v>1555</v>
      </c>
      <c r="S202" s="2" t="s">
        <v>1556</v>
      </c>
      <c r="T202" s="2" t="s">
        <v>1557</v>
      </c>
      <c r="U202" s="2" t="s">
        <v>1558</v>
      </c>
      <c r="V202" s="2" t="s">
        <v>80</v>
      </c>
    </row>
    <row r="203" spans="1:22">
      <c r="A203" s="2" t="s">
        <v>1559</v>
      </c>
      <c r="B203" s="2" t="s">
        <v>1552</v>
      </c>
      <c r="C203" s="2" t="s">
        <v>1553</v>
      </c>
      <c r="D203" s="2">
        <v>2024</v>
      </c>
      <c r="E203" s="3">
        <v>45292</v>
      </c>
      <c r="F203" s="2" t="s">
        <v>203</v>
      </c>
      <c r="G203" s="2">
        <v>15</v>
      </c>
      <c r="H203" s="2" t="s">
        <v>43</v>
      </c>
      <c r="I203" s="2" t="s">
        <v>43</v>
      </c>
      <c r="J203" s="2" t="s">
        <v>204</v>
      </c>
      <c r="K203" s="2" t="s">
        <v>183</v>
      </c>
      <c r="L203" s="2" t="s">
        <v>29</v>
      </c>
      <c r="M203" s="2" t="s">
        <v>205</v>
      </c>
      <c r="N203" s="2" t="s">
        <v>63</v>
      </c>
      <c r="O203" s="2" t="s">
        <v>206</v>
      </c>
      <c r="P203" s="2" t="s">
        <v>1554</v>
      </c>
      <c r="Q203" s="2" t="s">
        <v>33</v>
      </c>
      <c r="R203" s="2" t="s">
        <v>1555</v>
      </c>
      <c r="S203" s="2" t="s">
        <v>1556</v>
      </c>
      <c r="T203" s="2" t="s">
        <v>1557</v>
      </c>
      <c r="U203" s="2" t="s">
        <v>1558</v>
      </c>
      <c r="V203" s="2" t="s">
        <v>80</v>
      </c>
    </row>
    <row r="204" spans="1:22" ht="28.8">
      <c r="A204" s="2" t="s">
        <v>113</v>
      </c>
      <c r="B204" s="2" t="s">
        <v>1560</v>
      </c>
      <c r="C204" s="2" t="s">
        <v>1561</v>
      </c>
      <c r="D204" s="2">
        <v>2024</v>
      </c>
      <c r="E204" s="3">
        <v>45566</v>
      </c>
      <c r="F204" s="2" t="s">
        <v>576</v>
      </c>
      <c r="G204" s="2">
        <v>35</v>
      </c>
      <c r="H204" s="2">
        <v>10</v>
      </c>
      <c r="I204" s="2" t="s">
        <v>1562</v>
      </c>
      <c r="J204" s="2" t="s">
        <v>578</v>
      </c>
      <c r="K204" s="2" t="s">
        <v>119</v>
      </c>
      <c r="L204" s="2" t="s">
        <v>29</v>
      </c>
      <c r="M204" s="2" t="s">
        <v>579</v>
      </c>
      <c r="N204" s="2" t="s">
        <v>47</v>
      </c>
      <c r="O204" s="4">
        <v>1839</v>
      </c>
      <c r="P204" s="2" t="s">
        <v>1563</v>
      </c>
      <c r="Q204" s="2" t="s">
        <v>33</v>
      </c>
      <c r="R204" s="2" t="s">
        <v>1564</v>
      </c>
      <c r="S204" s="2" t="s">
        <v>1436</v>
      </c>
      <c r="T204" s="2" t="s">
        <v>1565</v>
      </c>
      <c r="U204" s="2" t="s">
        <v>1566</v>
      </c>
      <c r="V204" s="2" t="s">
        <v>1567</v>
      </c>
    </row>
    <row r="205" spans="1:22" ht="43.2">
      <c r="A205" s="2" t="s">
        <v>493</v>
      </c>
      <c r="B205" s="2" t="s">
        <v>1568</v>
      </c>
      <c r="C205" s="2" t="s">
        <v>1569</v>
      </c>
      <c r="D205" s="2">
        <v>2025</v>
      </c>
      <c r="E205" s="3">
        <v>45748</v>
      </c>
      <c r="F205" s="2" t="s">
        <v>1570</v>
      </c>
      <c r="G205" s="2">
        <v>77</v>
      </c>
      <c r="H205" s="2" t="s">
        <v>43</v>
      </c>
      <c r="I205" s="2" t="s">
        <v>43</v>
      </c>
      <c r="J205" s="2" t="s">
        <v>1571</v>
      </c>
      <c r="K205" s="2" t="s">
        <v>1572</v>
      </c>
      <c r="L205" s="2" t="s">
        <v>29</v>
      </c>
      <c r="M205" s="2" t="s">
        <v>234</v>
      </c>
      <c r="N205" s="2" t="s">
        <v>31</v>
      </c>
      <c r="O205" s="4">
        <v>2626</v>
      </c>
      <c r="P205" s="2" t="s">
        <v>1573</v>
      </c>
      <c r="Q205" s="2" t="s">
        <v>49</v>
      </c>
      <c r="R205" s="2" t="s">
        <v>1574</v>
      </c>
      <c r="S205" s="2" t="s">
        <v>1575</v>
      </c>
      <c r="T205" s="2" t="s">
        <v>1576</v>
      </c>
      <c r="U205" s="2" t="s">
        <v>1577</v>
      </c>
      <c r="V205" s="2" t="s">
        <v>1578</v>
      </c>
    </row>
    <row r="206" spans="1:22">
      <c r="A206" s="2" t="s">
        <v>276</v>
      </c>
      <c r="B206" s="2" t="s">
        <v>1579</v>
      </c>
      <c r="C206" s="2" t="s">
        <v>1580</v>
      </c>
      <c r="D206" s="2">
        <v>2024</v>
      </c>
      <c r="E206" s="3">
        <v>45536</v>
      </c>
      <c r="F206" s="2" t="s">
        <v>1193</v>
      </c>
      <c r="G206" s="2">
        <v>17</v>
      </c>
      <c r="H206" s="2">
        <v>9</v>
      </c>
      <c r="I206" s="2" t="s">
        <v>43</v>
      </c>
      <c r="J206" s="2" t="s">
        <v>1194</v>
      </c>
      <c r="K206" s="2" t="s">
        <v>61</v>
      </c>
      <c r="L206" s="2" t="s">
        <v>29</v>
      </c>
      <c r="M206" s="2" t="s">
        <v>330</v>
      </c>
      <c r="N206" s="2" t="s">
        <v>1581</v>
      </c>
      <c r="O206" s="4">
        <v>1019</v>
      </c>
      <c r="P206" s="2" t="s">
        <v>1582</v>
      </c>
      <c r="Q206" s="2" t="s">
        <v>49</v>
      </c>
      <c r="R206" s="2" t="s">
        <v>1583</v>
      </c>
      <c r="S206" s="2" t="s">
        <v>1584</v>
      </c>
      <c r="T206" s="2" t="s">
        <v>1585</v>
      </c>
      <c r="U206" s="2" t="s">
        <v>1586</v>
      </c>
      <c r="V206" s="2" t="s">
        <v>80</v>
      </c>
    </row>
    <row r="207" spans="1:22">
      <c r="A207" s="2" t="s">
        <v>83</v>
      </c>
      <c r="B207" s="2" t="s">
        <v>1587</v>
      </c>
      <c r="C207" s="2" t="s">
        <v>1588</v>
      </c>
      <c r="D207" s="2">
        <v>2025</v>
      </c>
      <c r="E207" s="3">
        <v>45870</v>
      </c>
      <c r="F207" s="2" t="s">
        <v>676</v>
      </c>
      <c r="G207" s="2">
        <v>189</v>
      </c>
      <c r="H207" s="2" t="s">
        <v>43</v>
      </c>
      <c r="I207" s="2" t="s">
        <v>43</v>
      </c>
      <c r="J207" s="2" t="s">
        <v>677</v>
      </c>
      <c r="K207" s="2" t="s">
        <v>678</v>
      </c>
      <c r="L207" s="2" t="s">
        <v>29</v>
      </c>
      <c r="M207" s="2" t="s">
        <v>1589</v>
      </c>
      <c r="N207" s="2" t="s">
        <v>464</v>
      </c>
      <c r="O207" s="4">
        <v>2074</v>
      </c>
      <c r="P207" s="2" t="s">
        <v>1590</v>
      </c>
      <c r="Q207" s="2" t="s">
        <v>33</v>
      </c>
      <c r="R207" s="2" t="s">
        <v>1591</v>
      </c>
      <c r="S207" s="2" t="s">
        <v>1592</v>
      </c>
      <c r="T207" s="2" t="s">
        <v>1593</v>
      </c>
      <c r="U207" s="2" t="s">
        <v>1594</v>
      </c>
      <c r="V207" s="2" t="s">
        <v>80</v>
      </c>
    </row>
    <row r="208" spans="1:22">
      <c r="A208" s="2" t="s">
        <v>82</v>
      </c>
      <c r="B208" s="2" t="s">
        <v>1587</v>
      </c>
      <c r="C208" s="2" t="s">
        <v>1588</v>
      </c>
      <c r="D208" s="2">
        <v>2025</v>
      </c>
      <c r="E208" s="3">
        <v>45870</v>
      </c>
      <c r="F208" s="2" t="s">
        <v>676</v>
      </c>
      <c r="G208" s="2">
        <v>189</v>
      </c>
      <c r="H208" s="2" t="s">
        <v>43</v>
      </c>
      <c r="I208" s="2" t="s">
        <v>43</v>
      </c>
      <c r="J208" s="2" t="s">
        <v>677</v>
      </c>
      <c r="K208" s="2" t="s">
        <v>678</v>
      </c>
      <c r="L208" s="2" t="s">
        <v>29</v>
      </c>
      <c r="M208" s="2" t="s">
        <v>1589</v>
      </c>
      <c r="N208" s="2" t="s">
        <v>464</v>
      </c>
      <c r="O208" s="4">
        <v>2074</v>
      </c>
      <c r="P208" s="2" t="s">
        <v>1590</v>
      </c>
      <c r="Q208" s="2" t="s">
        <v>33</v>
      </c>
      <c r="R208" s="2" t="s">
        <v>1591</v>
      </c>
      <c r="S208" s="2" t="s">
        <v>1592</v>
      </c>
      <c r="T208" s="2" t="s">
        <v>1593</v>
      </c>
      <c r="U208" s="2" t="s">
        <v>1594</v>
      </c>
      <c r="V208" s="2" t="s">
        <v>80</v>
      </c>
    </row>
    <row r="209" spans="1:22" ht="28.8">
      <c r="A209" s="2" t="s">
        <v>276</v>
      </c>
      <c r="B209" s="2" t="s">
        <v>1595</v>
      </c>
      <c r="C209" s="2" t="s">
        <v>1596</v>
      </c>
      <c r="D209" s="2">
        <v>2024</v>
      </c>
      <c r="E209" s="3">
        <v>45474</v>
      </c>
      <c r="F209" s="2" t="s">
        <v>1470</v>
      </c>
      <c r="G209" s="2">
        <v>14</v>
      </c>
      <c r="H209" s="2">
        <v>13</v>
      </c>
      <c r="I209" s="2" t="s">
        <v>43</v>
      </c>
      <c r="J209" s="2" t="s">
        <v>1471</v>
      </c>
      <c r="K209" s="2" t="s">
        <v>61</v>
      </c>
      <c r="L209" s="2" t="s">
        <v>29</v>
      </c>
      <c r="M209" s="2" t="s">
        <v>1472</v>
      </c>
      <c r="N209" s="2" t="s">
        <v>1473</v>
      </c>
      <c r="O209" s="2" t="s">
        <v>1474</v>
      </c>
      <c r="P209" s="2" t="s">
        <v>1597</v>
      </c>
      <c r="Q209" s="2" t="s">
        <v>49</v>
      </c>
      <c r="R209" s="2" t="s">
        <v>1598</v>
      </c>
      <c r="S209" s="2" t="s">
        <v>1599</v>
      </c>
      <c r="T209" s="2" t="s">
        <v>1600</v>
      </c>
      <c r="U209" s="2" t="s">
        <v>1601</v>
      </c>
      <c r="V209" s="2" t="s">
        <v>1602</v>
      </c>
    </row>
    <row r="210" spans="1:22">
      <c r="A210" s="2" t="s">
        <v>128</v>
      </c>
      <c r="B210" s="2" t="s">
        <v>1603</v>
      </c>
      <c r="C210" s="2" t="s">
        <v>130</v>
      </c>
      <c r="D210" s="2">
        <v>2025</v>
      </c>
      <c r="E210" s="3">
        <v>45992</v>
      </c>
      <c r="F210" s="2" t="s">
        <v>804</v>
      </c>
      <c r="G210" s="2">
        <v>107</v>
      </c>
      <c r="H210" s="2">
        <v>12</v>
      </c>
      <c r="I210" s="2" t="s">
        <v>1604</v>
      </c>
      <c r="J210" s="2" t="s">
        <v>806</v>
      </c>
      <c r="K210" s="2" t="s">
        <v>718</v>
      </c>
      <c r="L210" s="2" t="s">
        <v>29</v>
      </c>
      <c r="M210" s="2" t="s">
        <v>719</v>
      </c>
      <c r="N210" s="2" t="s">
        <v>807</v>
      </c>
      <c r="O210" s="2" t="s">
        <v>808</v>
      </c>
      <c r="P210" s="2" t="s">
        <v>1605</v>
      </c>
      <c r="Q210" s="2" t="s">
        <v>33</v>
      </c>
      <c r="R210" s="2" t="s">
        <v>1606</v>
      </c>
      <c r="S210" s="2" t="s">
        <v>138</v>
      </c>
      <c r="T210" s="2" t="s">
        <v>340</v>
      </c>
      <c r="U210" s="2" t="s">
        <v>341</v>
      </c>
      <c r="V210" s="2" t="s">
        <v>141</v>
      </c>
    </row>
    <row r="211" spans="1:22">
      <c r="A211" s="2" t="s">
        <v>128</v>
      </c>
      <c r="B211" s="2" t="s">
        <v>1607</v>
      </c>
      <c r="C211" s="2" t="s">
        <v>130</v>
      </c>
      <c r="D211" s="2">
        <v>2024</v>
      </c>
      <c r="E211" s="3">
        <v>45292</v>
      </c>
      <c r="F211" s="2" t="s">
        <v>1608</v>
      </c>
      <c r="G211" s="2" t="s">
        <v>43</v>
      </c>
      <c r="H211" s="2" t="s">
        <v>43</v>
      </c>
      <c r="I211" s="2" t="s">
        <v>1609</v>
      </c>
      <c r="J211" s="2" t="s">
        <v>43</v>
      </c>
      <c r="K211" s="2" t="s">
        <v>1423</v>
      </c>
      <c r="L211" s="2" t="s">
        <v>29</v>
      </c>
      <c r="M211" s="2" t="s">
        <v>43</v>
      </c>
      <c r="N211" s="2" t="s">
        <v>43</v>
      </c>
      <c r="O211" s="2" t="s">
        <v>43</v>
      </c>
      <c r="P211" s="2" t="s">
        <v>43</v>
      </c>
      <c r="Q211" s="2" t="s">
        <v>1125</v>
      </c>
      <c r="R211" s="2" t="s">
        <v>1610</v>
      </c>
      <c r="S211" s="2" t="s">
        <v>138</v>
      </c>
      <c r="T211" s="2" t="s">
        <v>340</v>
      </c>
      <c r="U211" s="2" t="s">
        <v>341</v>
      </c>
      <c r="V211" s="2" t="s">
        <v>141</v>
      </c>
    </row>
    <row r="212" spans="1:22" ht="28.8">
      <c r="A212" s="2" t="s">
        <v>276</v>
      </c>
      <c r="B212" s="2" t="s">
        <v>1611</v>
      </c>
      <c r="C212" s="2" t="s">
        <v>1612</v>
      </c>
      <c r="D212" s="2">
        <v>2024</v>
      </c>
      <c r="E212" s="3">
        <v>45627</v>
      </c>
      <c r="F212" s="2" t="s">
        <v>1470</v>
      </c>
      <c r="G212" s="2">
        <v>14</v>
      </c>
      <c r="H212" s="2">
        <v>23</v>
      </c>
      <c r="I212" s="2" t="s">
        <v>43</v>
      </c>
      <c r="J212" s="2" t="s">
        <v>1471</v>
      </c>
      <c r="K212" s="2" t="s">
        <v>61</v>
      </c>
      <c r="L212" s="2" t="s">
        <v>29</v>
      </c>
      <c r="M212" s="2" t="s">
        <v>1472</v>
      </c>
      <c r="N212" s="2" t="s">
        <v>1473</v>
      </c>
      <c r="O212" s="2" t="s">
        <v>1474</v>
      </c>
      <c r="P212" s="2" t="s">
        <v>1613</v>
      </c>
      <c r="Q212" s="2" t="s">
        <v>49</v>
      </c>
      <c r="R212" s="2" t="s">
        <v>1614</v>
      </c>
      <c r="S212" s="2" t="s">
        <v>1615</v>
      </c>
      <c r="T212" s="2" t="s">
        <v>1616</v>
      </c>
      <c r="U212" s="2" t="s">
        <v>1617</v>
      </c>
      <c r="V212" s="2" t="s">
        <v>1618</v>
      </c>
    </row>
    <row r="213" spans="1:22">
      <c r="A213" s="2" t="s">
        <v>1619</v>
      </c>
      <c r="B213" s="2" t="s">
        <v>1620</v>
      </c>
      <c r="C213" s="2" t="s">
        <v>1621</v>
      </c>
      <c r="D213" s="2">
        <v>2024</v>
      </c>
      <c r="E213" s="3">
        <v>45505</v>
      </c>
      <c r="F213" s="2" t="s">
        <v>1622</v>
      </c>
      <c r="G213" s="2">
        <v>5</v>
      </c>
      <c r="H213" s="2">
        <v>6</v>
      </c>
      <c r="I213" s="2" t="s">
        <v>43</v>
      </c>
      <c r="J213" s="2" t="s">
        <v>1623</v>
      </c>
      <c r="K213" s="2" t="s">
        <v>1624</v>
      </c>
      <c r="L213" s="2" t="s">
        <v>29</v>
      </c>
      <c r="M213" s="2" t="s">
        <v>1625</v>
      </c>
      <c r="N213" s="2" t="s">
        <v>1544</v>
      </c>
      <c r="O213" s="2" t="s">
        <v>1626</v>
      </c>
      <c r="P213" s="2" t="s">
        <v>1627</v>
      </c>
      <c r="Q213" s="2" t="s">
        <v>49</v>
      </c>
      <c r="R213" s="2" t="s">
        <v>1628</v>
      </c>
      <c r="S213" s="2" t="s">
        <v>1629</v>
      </c>
      <c r="T213" s="2" t="s">
        <v>1630</v>
      </c>
      <c r="U213" s="2" t="s">
        <v>1631</v>
      </c>
      <c r="V213" s="2" t="s">
        <v>594</v>
      </c>
    </row>
    <row r="214" spans="1:22" ht="28.8">
      <c r="A214" s="2" t="s">
        <v>514</v>
      </c>
      <c r="B214" s="2" t="s">
        <v>1632</v>
      </c>
      <c r="C214" s="2" t="s">
        <v>1633</v>
      </c>
      <c r="D214" s="2">
        <v>2024</v>
      </c>
      <c r="E214" s="3">
        <v>45597</v>
      </c>
      <c r="F214" s="2" t="s">
        <v>1634</v>
      </c>
      <c r="G214" s="2">
        <v>40</v>
      </c>
      <c r="H214" s="2">
        <v>4</v>
      </c>
      <c r="I214" s="2" t="s">
        <v>1635</v>
      </c>
      <c r="J214" s="2" t="s">
        <v>1636</v>
      </c>
      <c r="K214" s="2" t="s">
        <v>796</v>
      </c>
      <c r="L214" s="2" t="s">
        <v>29</v>
      </c>
      <c r="M214" s="2" t="s">
        <v>1637</v>
      </c>
      <c r="N214" s="2" t="s">
        <v>75</v>
      </c>
      <c r="O214" s="2" t="s">
        <v>1638</v>
      </c>
      <c r="P214" s="2" t="s">
        <v>1639</v>
      </c>
      <c r="Q214" s="2" t="s">
        <v>33</v>
      </c>
      <c r="R214" s="2" t="s">
        <v>1640</v>
      </c>
      <c r="S214" s="2" t="s">
        <v>1641</v>
      </c>
      <c r="T214" s="2" t="s">
        <v>1642</v>
      </c>
      <c r="U214" s="2" t="s">
        <v>1643</v>
      </c>
      <c r="V214" s="2" t="s">
        <v>621</v>
      </c>
    </row>
    <row r="215" spans="1:22">
      <c r="A215" s="2" t="s">
        <v>1644</v>
      </c>
      <c r="B215" s="2" t="s">
        <v>1645</v>
      </c>
      <c r="C215" s="2" t="s">
        <v>1646</v>
      </c>
      <c r="D215" s="2">
        <v>2024</v>
      </c>
      <c r="E215" s="3">
        <v>45627</v>
      </c>
      <c r="F215" s="2" t="s">
        <v>1647</v>
      </c>
      <c r="G215" s="2">
        <v>13</v>
      </c>
      <c r="H215" s="2">
        <v>1</v>
      </c>
      <c r="I215" s="2" t="s">
        <v>43</v>
      </c>
      <c r="J215" s="2" t="s">
        <v>1648</v>
      </c>
      <c r="K215" s="2" t="s">
        <v>718</v>
      </c>
      <c r="L215" s="2" t="s">
        <v>29</v>
      </c>
      <c r="M215" s="2" t="s">
        <v>1463</v>
      </c>
      <c r="N215" s="2" t="s">
        <v>348</v>
      </c>
      <c r="O215" s="2" t="s">
        <v>1649</v>
      </c>
      <c r="P215" s="2" t="s">
        <v>1650</v>
      </c>
      <c r="Q215" s="2" t="s">
        <v>33</v>
      </c>
      <c r="R215" s="2" t="s">
        <v>1651</v>
      </c>
      <c r="S215" s="2" t="s">
        <v>1652</v>
      </c>
      <c r="T215" s="2" t="s">
        <v>1653</v>
      </c>
      <c r="U215" s="2" t="s">
        <v>1654</v>
      </c>
      <c r="V215" s="2" t="s">
        <v>1655</v>
      </c>
    </row>
    <row r="216" spans="1:22">
      <c r="A216" s="2" t="s">
        <v>178</v>
      </c>
      <c r="B216" s="2" t="s">
        <v>1656</v>
      </c>
      <c r="C216" s="2" t="s">
        <v>1657</v>
      </c>
      <c r="D216" s="2">
        <v>2025</v>
      </c>
      <c r="E216" s="3">
        <v>45658</v>
      </c>
      <c r="F216" s="2" t="s">
        <v>1132</v>
      </c>
      <c r="G216" s="2">
        <v>12</v>
      </c>
      <c r="H216" s="2">
        <v>1</v>
      </c>
      <c r="I216" s="2" t="s">
        <v>43</v>
      </c>
      <c r="J216" s="2" t="s">
        <v>1133</v>
      </c>
      <c r="K216" s="2" t="s">
        <v>1134</v>
      </c>
      <c r="L216" s="2" t="s">
        <v>29</v>
      </c>
      <c r="M216" s="2" t="s">
        <v>839</v>
      </c>
      <c r="N216" s="2" t="s">
        <v>1520</v>
      </c>
      <c r="O216" s="2" t="s">
        <v>1658</v>
      </c>
      <c r="P216" s="2" t="s">
        <v>1659</v>
      </c>
      <c r="Q216" s="2" t="s">
        <v>33</v>
      </c>
      <c r="R216" s="2" t="s">
        <v>1660</v>
      </c>
      <c r="S216" s="2" t="s">
        <v>819</v>
      </c>
      <c r="T216" s="2" t="s">
        <v>1661</v>
      </c>
      <c r="U216" s="2" t="s">
        <v>1662</v>
      </c>
      <c r="V216" s="2" t="s">
        <v>80</v>
      </c>
    </row>
    <row r="217" spans="1:22">
      <c r="A217" s="2" t="s">
        <v>897</v>
      </c>
      <c r="B217" s="2" t="s">
        <v>1663</v>
      </c>
      <c r="C217" s="2" t="s">
        <v>1664</v>
      </c>
      <c r="D217" s="2">
        <v>2024</v>
      </c>
      <c r="E217" s="3">
        <v>45383</v>
      </c>
      <c r="F217" s="2" t="s">
        <v>1665</v>
      </c>
      <c r="G217" s="2">
        <v>88</v>
      </c>
      <c r="H217" s="2">
        <v>3</v>
      </c>
      <c r="I217" s="2" t="s">
        <v>1666</v>
      </c>
      <c r="J217" s="2" t="s">
        <v>1667</v>
      </c>
      <c r="K217" s="2" t="s">
        <v>718</v>
      </c>
      <c r="L217" s="2" t="s">
        <v>29</v>
      </c>
      <c r="M217" s="2" t="s">
        <v>144</v>
      </c>
      <c r="N217" s="2" t="s">
        <v>75</v>
      </c>
      <c r="O217" s="4">
        <v>1034</v>
      </c>
      <c r="P217" s="2" t="s">
        <v>1668</v>
      </c>
      <c r="Q217" s="2" t="s">
        <v>33</v>
      </c>
      <c r="R217" s="2" t="s">
        <v>1669</v>
      </c>
      <c r="S217" s="2" t="s">
        <v>1670</v>
      </c>
      <c r="T217" s="2" t="s">
        <v>1671</v>
      </c>
      <c r="U217" s="2" t="s">
        <v>1672</v>
      </c>
      <c r="V217" s="2" t="s">
        <v>911</v>
      </c>
    </row>
    <row r="218" spans="1:22">
      <c r="A218" s="2" t="s">
        <v>1673</v>
      </c>
      <c r="B218" s="2" t="s">
        <v>1674</v>
      </c>
      <c r="C218" s="2" t="s">
        <v>1675</v>
      </c>
      <c r="D218" s="2">
        <v>2024</v>
      </c>
      <c r="E218" s="3">
        <v>45444</v>
      </c>
      <c r="F218" s="2" t="s">
        <v>1676</v>
      </c>
      <c r="G218" s="2">
        <v>34</v>
      </c>
      <c r="H218" s="2">
        <v>6</v>
      </c>
      <c r="I218" s="2" t="s">
        <v>1677</v>
      </c>
      <c r="J218" s="2" t="s">
        <v>1678</v>
      </c>
      <c r="K218" s="2" t="s">
        <v>1624</v>
      </c>
      <c r="L218" s="2" t="s">
        <v>29</v>
      </c>
      <c r="M218" s="2" t="s">
        <v>1472</v>
      </c>
      <c r="N218" s="2" t="s">
        <v>247</v>
      </c>
      <c r="O218" s="4">
        <v>1148</v>
      </c>
      <c r="P218" s="2" t="s">
        <v>1679</v>
      </c>
      <c r="Q218" s="2" t="s">
        <v>33</v>
      </c>
      <c r="R218" s="2" t="s">
        <v>1680</v>
      </c>
      <c r="S218" s="2" t="s">
        <v>1681</v>
      </c>
      <c r="T218" s="2" t="s">
        <v>1682</v>
      </c>
      <c r="U218" s="2" t="s">
        <v>1683</v>
      </c>
      <c r="V218" s="2" t="s">
        <v>80</v>
      </c>
    </row>
    <row r="219" spans="1:22">
      <c r="A219" s="2" t="s">
        <v>1684</v>
      </c>
      <c r="B219" s="2" t="s">
        <v>1674</v>
      </c>
      <c r="C219" s="2" t="s">
        <v>1675</v>
      </c>
      <c r="D219" s="2">
        <v>2024</v>
      </c>
      <c r="E219" s="3">
        <v>45444</v>
      </c>
      <c r="F219" s="2" t="s">
        <v>1676</v>
      </c>
      <c r="G219" s="2">
        <v>34</v>
      </c>
      <c r="H219" s="2">
        <v>6</v>
      </c>
      <c r="I219" s="2" t="s">
        <v>1677</v>
      </c>
      <c r="J219" s="2" t="s">
        <v>1678</v>
      </c>
      <c r="K219" s="2" t="s">
        <v>1624</v>
      </c>
      <c r="L219" s="2" t="s">
        <v>29</v>
      </c>
      <c r="M219" s="2" t="s">
        <v>1472</v>
      </c>
      <c r="N219" s="2" t="s">
        <v>247</v>
      </c>
      <c r="O219" s="4">
        <v>1148</v>
      </c>
      <c r="P219" s="2" t="s">
        <v>1679</v>
      </c>
      <c r="Q219" s="2" t="s">
        <v>33</v>
      </c>
      <c r="R219" s="2" t="s">
        <v>1680</v>
      </c>
      <c r="S219" s="2" t="s">
        <v>1681</v>
      </c>
      <c r="T219" s="2" t="s">
        <v>1682</v>
      </c>
      <c r="U219" s="2" t="s">
        <v>1683</v>
      </c>
      <c r="V219" s="2" t="s">
        <v>80</v>
      </c>
    </row>
    <row r="220" spans="1:22">
      <c r="A220" s="2" t="s">
        <v>1282</v>
      </c>
      <c r="B220" s="2" t="s">
        <v>1674</v>
      </c>
      <c r="C220" s="2" t="s">
        <v>1675</v>
      </c>
      <c r="D220" s="2">
        <v>2024</v>
      </c>
      <c r="E220" s="3">
        <v>45444</v>
      </c>
      <c r="F220" s="2" t="s">
        <v>1676</v>
      </c>
      <c r="G220" s="2">
        <v>34</v>
      </c>
      <c r="H220" s="2">
        <v>6</v>
      </c>
      <c r="I220" s="2" t="s">
        <v>1677</v>
      </c>
      <c r="J220" s="2" t="s">
        <v>1678</v>
      </c>
      <c r="K220" s="2" t="s">
        <v>1624</v>
      </c>
      <c r="L220" s="2" t="s">
        <v>29</v>
      </c>
      <c r="M220" s="2" t="s">
        <v>1472</v>
      </c>
      <c r="N220" s="2" t="s">
        <v>247</v>
      </c>
      <c r="O220" s="4">
        <v>1148</v>
      </c>
      <c r="P220" s="2" t="s">
        <v>1679</v>
      </c>
      <c r="Q220" s="2" t="s">
        <v>33</v>
      </c>
      <c r="R220" s="2" t="s">
        <v>1680</v>
      </c>
      <c r="S220" s="2" t="s">
        <v>1681</v>
      </c>
      <c r="T220" s="2" t="s">
        <v>1682</v>
      </c>
      <c r="U220" s="2" t="s">
        <v>1683</v>
      </c>
      <c r="V220" s="2" t="s">
        <v>80</v>
      </c>
    </row>
    <row r="221" spans="1:22">
      <c r="A221" s="2" t="s">
        <v>996</v>
      </c>
      <c r="B221" s="2" t="s">
        <v>1685</v>
      </c>
      <c r="C221" s="2" t="s">
        <v>1686</v>
      </c>
      <c r="D221" s="2">
        <v>2025</v>
      </c>
      <c r="E221" s="3">
        <v>45658</v>
      </c>
      <c r="F221" s="2" t="s">
        <v>1687</v>
      </c>
      <c r="G221" s="2">
        <v>90</v>
      </c>
      <c r="H221" s="2">
        <v>1</v>
      </c>
      <c r="I221" s="2" t="s">
        <v>1688</v>
      </c>
      <c r="J221" s="2" t="s">
        <v>1689</v>
      </c>
      <c r="K221" s="2" t="s">
        <v>1690</v>
      </c>
      <c r="L221" s="2" t="s">
        <v>773</v>
      </c>
      <c r="M221" s="2" t="s">
        <v>1691</v>
      </c>
      <c r="N221" s="2" t="s">
        <v>428</v>
      </c>
      <c r="O221" s="2" t="s">
        <v>1692</v>
      </c>
      <c r="P221" s="2" t="s">
        <v>1693</v>
      </c>
      <c r="Q221" s="2" t="s">
        <v>33</v>
      </c>
      <c r="R221" s="2" t="s">
        <v>1694</v>
      </c>
      <c r="S221" s="2" t="s">
        <v>844</v>
      </c>
      <c r="T221" s="2" t="s">
        <v>1695</v>
      </c>
      <c r="U221" s="2" t="s">
        <v>1696</v>
      </c>
      <c r="V221" s="2" t="s">
        <v>80</v>
      </c>
    </row>
    <row r="222" spans="1:22" ht="28.8">
      <c r="A222" s="2" t="s">
        <v>22</v>
      </c>
      <c r="B222" s="2" t="s">
        <v>1697</v>
      </c>
      <c r="C222" s="2" t="s">
        <v>1698</v>
      </c>
      <c r="D222" s="2">
        <v>2025</v>
      </c>
      <c r="E222" s="3">
        <v>45901</v>
      </c>
      <c r="F222" s="2" t="s">
        <v>357</v>
      </c>
      <c r="G222" s="2">
        <v>20</v>
      </c>
      <c r="H222" s="2">
        <v>9</v>
      </c>
      <c r="I222" s="2" t="s">
        <v>1699</v>
      </c>
      <c r="J222" s="2" t="s">
        <v>359</v>
      </c>
      <c r="K222" s="2" t="s">
        <v>360</v>
      </c>
      <c r="L222" s="2" t="s">
        <v>29</v>
      </c>
      <c r="M222" s="2" t="s">
        <v>361</v>
      </c>
      <c r="N222" s="2" t="s">
        <v>121</v>
      </c>
      <c r="O222" s="4">
        <v>1833</v>
      </c>
      <c r="P222" s="2" t="s">
        <v>1700</v>
      </c>
      <c r="Q222" s="2" t="s">
        <v>33</v>
      </c>
      <c r="R222" s="2" t="s">
        <v>1701</v>
      </c>
      <c r="S222" s="2" t="s">
        <v>1702</v>
      </c>
      <c r="T222" s="2" t="s">
        <v>1703</v>
      </c>
      <c r="U222" s="2" t="s">
        <v>1704</v>
      </c>
      <c r="V222" s="2" t="s">
        <v>1705</v>
      </c>
    </row>
    <row r="223" spans="1:22" ht="28.8">
      <c r="A223" s="2" t="s">
        <v>276</v>
      </c>
      <c r="B223" s="2" t="s">
        <v>1706</v>
      </c>
      <c r="C223" s="2" t="s">
        <v>1707</v>
      </c>
      <c r="D223" s="2">
        <v>2024</v>
      </c>
      <c r="E223" s="3">
        <v>45627</v>
      </c>
      <c r="F223" s="2" t="s">
        <v>1293</v>
      </c>
      <c r="G223" s="2">
        <v>14</v>
      </c>
      <c r="H223" s="2">
        <v>1</v>
      </c>
      <c r="I223" s="2" t="s">
        <v>43</v>
      </c>
      <c r="J223" s="2" t="s">
        <v>1294</v>
      </c>
      <c r="K223" s="2" t="s">
        <v>220</v>
      </c>
      <c r="L223" s="2" t="s">
        <v>29</v>
      </c>
      <c r="M223" s="2" t="s">
        <v>614</v>
      </c>
      <c r="N223" s="2" t="s">
        <v>374</v>
      </c>
      <c r="O223" s="2" t="s">
        <v>1295</v>
      </c>
      <c r="P223" s="2" t="s">
        <v>1708</v>
      </c>
      <c r="Q223" s="2" t="s">
        <v>33</v>
      </c>
      <c r="R223" s="2" t="s">
        <v>1709</v>
      </c>
      <c r="S223" s="2" t="s">
        <v>1710</v>
      </c>
      <c r="T223" s="2" t="s">
        <v>1711</v>
      </c>
      <c r="U223" s="2" t="s">
        <v>1712</v>
      </c>
      <c r="V223" s="2" t="s">
        <v>1713</v>
      </c>
    </row>
    <row r="224" spans="1:22" ht="28.8">
      <c r="A224" s="2" t="s">
        <v>1714</v>
      </c>
      <c r="B224" s="2" t="s">
        <v>1715</v>
      </c>
      <c r="C224" s="2" t="s">
        <v>1716</v>
      </c>
      <c r="D224" s="2">
        <v>2025</v>
      </c>
      <c r="E224" s="3">
        <v>45992</v>
      </c>
      <c r="F224" s="2" t="s">
        <v>1293</v>
      </c>
      <c r="G224" s="2">
        <v>15</v>
      </c>
      <c r="H224" s="2">
        <v>1</v>
      </c>
      <c r="I224" s="2" t="s">
        <v>43</v>
      </c>
      <c r="J224" s="2" t="s">
        <v>1294</v>
      </c>
      <c r="K224" s="2" t="s">
        <v>220</v>
      </c>
      <c r="L224" s="2" t="s">
        <v>29</v>
      </c>
      <c r="M224" s="2" t="s">
        <v>120</v>
      </c>
      <c r="N224" s="2" t="s">
        <v>348</v>
      </c>
      <c r="O224" s="2" t="s">
        <v>1717</v>
      </c>
      <c r="P224" s="2" t="s">
        <v>1718</v>
      </c>
      <c r="Q224" s="2" t="s">
        <v>33</v>
      </c>
      <c r="R224" s="2" t="s">
        <v>1719</v>
      </c>
      <c r="S224" s="2" t="s">
        <v>1720</v>
      </c>
      <c r="T224" s="2" t="s">
        <v>1721</v>
      </c>
      <c r="U224" s="2" t="s">
        <v>1722</v>
      </c>
      <c r="V224" s="2" t="s">
        <v>80</v>
      </c>
    </row>
    <row r="225" spans="1:22" ht="230.4">
      <c r="A225" s="2" t="s">
        <v>1723</v>
      </c>
      <c r="B225" s="2" t="s">
        <v>1724</v>
      </c>
      <c r="C225" s="2" t="s">
        <v>1725</v>
      </c>
      <c r="D225" s="2">
        <v>2025</v>
      </c>
      <c r="E225" s="3">
        <v>45992</v>
      </c>
      <c r="F225" s="2" t="s">
        <v>167</v>
      </c>
      <c r="G225" s="2">
        <v>16</v>
      </c>
      <c r="H225" s="2">
        <v>1</v>
      </c>
      <c r="I225" s="2" t="s">
        <v>43</v>
      </c>
      <c r="J225" s="2" t="s">
        <v>414</v>
      </c>
      <c r="K225" s="2" t="s">
        <v>220</v>
      </c>
      <c r="L225" s="2" t="s">
        <v>29</v>
      </c>
      <c r="M225" s="2" t="s">
        <v>1726</v>
      </c>
      <c r="N225" s="2" t="s">
        <v>105</v>
      </c>
      <c r="O225" s="4">
        <v>4904</v>
      </c>
      <c r="P225" s="2" t="s">
        <v>1727</v>
      </c>
      <c r="Q225" s="2" t="s">
        <v>33</v>
      </c>
      <c r="R225" s="2" t="s">
        <v>1728</v>
      </c>
      <c r="S225" s="2" t="s">
        <v>1729</v>
      </c>
      <c r="T225" s="2" t="s">
        <v>1730</v>
      </c>
      <c r="U225" s="2" t="s">
        <v>1731</v>
      </c>
      <c r="V225" s="2" t="s">
        <v>1732</v>
      </c>
    </row>
    <row r="226" spans="1:22">
      <c r="A226" s="2" t="s">
        <v>1733</v>
      </c>
      <c r="B226" s="2" t="s">
        <v>1734</v>
      </c>
      <c r="C226" s="2" t="s">
        <v>1735</v>
      </c>
      <c r="D226" s="2">
        <v>2025</v>
      </c>
      <c r="E226" s="3">
        <v>45868</v>
      </c>
      <c r="F226" s="2" t="s">
        <v>1736</v>
      </c>
      <c r="G226" s="2">
        <v>481</v>
      </c>
      <c r="H226" s="2" t="s">
        <v>43</v>
      </c>
      <c r="I226" s="2" t="s">
        <v>43</v>
      </c>
      <c r="J226" s="2" t="s">
        <v>1737</v>
      </c>
      <c r="K226" s="2" t="s">
        <v>45</v>
      </c>
      <c r="L226" s="2" t="s">
        <v>29</v>
      </c>
      <c r="M226" s="2" t="s">
        <v>1738</v>
      </c>
      <c r="N226" s="2" t="s">
        <v>31</v>
      </c>
      <c r="O226" s="4">
        <v>1865</v>
      </c>
      <c r="P226" s="2" t="s">
        <v>1739</v>
      </c>
      <c r="Q226" s="2" t="s">
        <v>33</v>
      </c>
      <c r="R226" s="2" t="s">
        <v>1740</v>
      </c>
      <c r="S226" s="2" t="s">
        <v>1741</v>
      </c>
      <c r="T226" s="2" t="s">
        <v>1742</v>
      </c>
      <c r="U226" s="2" t="s">
        <v>1743</v>
      </c>
      <c r="V226" s="2" t="s">
        <v>594</v>
      </c>
    </row>
    <row r="227" spans="1:22">
      <c r="A227" s="2" t="s">
        <v>265</v>
      </c>
      <c r="B227" s="2" t="s">
        <v>1744</v>
      </c>
      <c r="C227" s="2" t="s">
        <v>1745</v>
      </c>
      <c r="D227" s="2">
        <v>2025</v>
      </c>
      <c r="E227" s="3">
        <v>45839</v>
      </c>
      <c r="F227" s="2" t="s">
        <v>268</v>
      </c>
      <c r="G227" s="2">
        <v>14</v>
      </c>
      <c r="H227" s="2">
        <v>13</v>
      </c>
      <c r="I227" s="2" t="s">
        <v>43</v>
      </c>
      <c r="J227" s="2" t="s">
        <v>269</v>
      </c>
      <c r="K227" s="2" t="s">
        <v>61</v>
      </c>
      <c r="L227" s="2" t="s">
        <v>29</v>
      </c>
      <c r="M227" s="2" t="s">
        <v>259</v>
      </c>
      <c r="N227" s="2" t="s">
        <v>47</v>
      </c>
      <c r="O227" s="4">
        <v>1061</v>
      </c>
      <c r="P227" s="2" t="s">
        <v>1746</v>
      </c>
      <c r="Q227" s="2" t="s">
        <v>33</v>
      </c>
      <c r="R227" s="2" t="s">
        <v>1747</v>
      </c>
      <c r="S227" s="2" t="s">
        <v>1748</v>
      </c>
      <c r="T227" s="2" t="s">
        <v>1749</v>
      </c>
      <c r="U227" s="2" t="s">
        <v>1750</v>
      </c>
      <c r="V227" s="2" t="s">
        <v>80</v>
      </c>
    </row>
    <row r="228" spans="1:22">
      <c r="A228" s="2" t="s">
        <v>1751</v>
      </c>
      <c r="B228" s="2" t="s">
        <v>1752</v>
      </c>
      <c r="C228" s="2" t="s">
        <v>1753</v>
      </c>
      <c r="D228" s="2">
        <v>2025</v>
      </c>
      <c r="E228" s="3">
        <v>45688</v>
      </c>
      <c r="F228" s="2" t="s">
        <v>1754</v>
      </c>
      <c r="G228" s="2">
        <v>39</v>
      </c>
      <c r="H228" s="2">
        <v>2</v>
      </c>
      <c r="I228" s="2" t="s">
        <v>43</v>
      </c>
      <c r="J228" s="2" t="s">
        <v>1755</v>
      </c>
      <c r="K228" s="2" t="s">
        <v>119</v>
      </c>
      <c r="L228" s="2" t="s">
        <v>29</v>
      </c>
      <c r="M228" s="2" t="s">
        <v>1472</v>
      </c>
      <c r="N228" s="2" t="s">
        <v>451</v>
      </c>
      <c r="O228" s="4">
        <v>1255</v>
      </c>
      <c r="P228" s="2" t="s">
        <v>1756</v>
      </c>
      <c r="Q228" s="2" t="s">
        <v>33</v>
      </c>
      <c r="R228" s="2" t="s">
        <v>1757</v>
      </c>
      <c r="S228" s="2" t="s">
        <v>1758</v>
      </c>
      <c r="T228" s="2" t="s">
        <v>1759</v>
      </c>
      <c r="U228" s="2" t="s">
        <v>1760</v>
      </c>
      <c r="V228" s="2" t="s">
        <v>1761</v>
      </c>
    </row>
    <row r="229" spans="1:22">
      <c r="A229" s="2" t="s">
        <v>1762</v>
      </c>
      <c r="B229" s="2" t="s">
        <v>1763</v>
      </c>
      <c r="C229" s="2" t="s">
        <v>1764</v>
      </c>
      <c r="D229" s="2">
        <v>2024</v>
      </c>
      <c r="E229" s="3">
        <v>45627</v>
      </c>
      <c r="F229" s="2" t="s">
        <v>1765</v>
      </c>
      <c r="G229" s="2">
        <v>9</v>
      </c>
      <c r="H229" s="2">
        <v>6</v>
      </c>
      <c r="I229" s="2" t="s">
        <v>43</v>
      </c>
      <c r="J229" s="2" t="s">
        <v>1766</v>
      </c>
      <c r="K229" s="2" t="s">
        <v>734</v>
      </c>
      <c r="L229" s="2" t="s">
        <v>29</v>
      </c>
      <c r="M229" s="2" t="s">
        <v>1182</v>
      </c>
      <c r="N229" s="2" t="s">
        <v>440</v>
      </c>
      <c r="O229" s="4">
        <v>1472</v>
      </c>
      <c r="P229" s="2" t="s">
        <v>1767</v>
      </c>
      <c r="Q229" s="2" t="s">
        <v>33</v>
      </c>
      <c r="R229" s="2" t="s">
        <v>1768</v>
      </c>
      <c r="S229" s="2" t="s">
        <v>1681</v>
      </c>
      <c r="T229" s="2" t="s">
        <v>1769</v>
      </c>
      <c r="U229" s="2" t="s">
        <v>1770</v>
      </c>
      <c r="V229" s="2" t="s">
        <v>80</v>
      </c>
    </row>
    <row r="230" spans="1:22">
      <c r="A230" s="2" t="s">
        <v>1644</v>
      </c>
      <c r="B230" s="2" t="s">
        <v>1771</v>
      </c>
      <c r="C230" s="2" t="s">
        <v>1772</v>
      </c>
      <c r="D230" s="2">
        <v>2024</v>
      </c>
      <c r="E230" s="3">
        <v>45474</v>
      </c>
      <c r="F230" s="2" t="s">
        <v>1773</v>
      </c>
      <c r="G230" s="2">
        <v>73</v>
      </c>
      <c r="H230" s="2" t="s">
        <v>43</v>
      </c>
      <c r="I230" s="2" t="s">
        <v>43</v>
      </c>
      <c r="J230" s="2" t="s">
        <v>1774</v>
      </c>
      <c r="K230" s="2" t="s">
        <v>734</v>
      </c>
      <c r="L230" s="2" t="s">
        <v>29</v>
      </c>
      <c r="M230" s="2" t="s">
        <v>760</v>
      </c>
      <c r="N230" s="2" t="s">
        <v>348</v>
      </c>
      <c r="O230" s="2" t="s">
        <v>1775</v>
      </c>
      <c r="P230" s="2" t="s">
        <v>1776</v>
      </c>
      <c r="Q230" s="2" t="s">
        <v>33</v>
      </c>
      <c r="R230" s="2" t="s">
        <v>1777</v>
      </c>
      <c r="S230" s="2" t="s">
        <v>1778</v>
      </c>
      <c r="T230" s="2" t="s">
        <v>1779</v>
      </c>
      <c r="U230" s="2" t="s">
        <v>1780</v>
      </c>
      <c r="V230" s="2" t="s">
        <v>80</v>
      </c>
    </row>
    <row r="231" spans="1:22" ht="28.8">
      <c r="A231" s="2" t="s">
        <v>1781</v>
      </c>
      <c r="B231" s="2" t="s">
        <v>1782</v>
      </c>
      <c r="C231" s="2" t="s">
        <v>1783</v>
      </c>
      <c r="D231" s="2">
        <v>2024</v>
      </c>
      <c r="E231" s="3">
        <v>45536</v>
      </c>
      <c r="F231" s="2" t="s">
        <v>1784</v>
      </c>
      <c r="G231" s="2">
        <v>12</v>
      </c>
      <c r="H231" s="2">
        <v>9</v>
      </c>
      <c r="I231" s="2" t="s">
        <v>43</v>
      </c>
      <c r="J231" s="2" t="s">
        <v>1785</v>
      </c>
      <c r="K231" s="2" t="s">
        <v>61</v>
      </c>
      <c r="L231" s="2" t="s">
        <v>29</v>
      </c>
      <c r="M231" s="2" t="s">
        <v>1786</v>
      </c>
      <c r="N231" s="2" t="s">
        <v>234</v>
      </c>
      <c r="O231" s="4">
        <v>1114</v>
      </c>
      <c r="P231" s="2" t="s">
        <v>1787</v>
      </c>
      <c r="Q231" s="2" t="s">
        <v>33</v>
      </c>
      <c r="R231" s="2" t="s">
        <v>1788</v>
      </c>
      <c r="S231" s="2" t="s">
        <v>1789</v>
      </c>
      <c r="T231" s="2" t="s">
        <v>1790</v>
      </c>
      <c r="U231" s="2" t="s">
        <v>1791</v>
      </c>
      <c r="V231" s="2" t="s">
        <v>1792</v>
      </c>
    </row>
    <row r="232" spans="1:22" ht="43.2">
      <c r="A232" s="2" t="s">
        <v>1282</v>
      </c>
      <c r="B232" s="2" t="s">
        <v>1793</v>
      </c>
      <c r="C232" s="2" t="s">
        <v>1794</v>
      </c>
      <c r="D232" s="2">
        <v>2025</v>
      </c>
      <c r="E232" s="3">
        <v>45717</v>
      </c>
      <c r="F232" s="2" t="s">
        <v>1795</v>
      </c>
      <c r="G232" s="2">
        <v>369</v>
      </c>
      <c r="H232" s="2" t="s">
        <v>43</v>
      </c>
      <c r="I232" s="2" t="s">
        <v>43</v>
      </c>
      <c r="J232" s="2" t="s">
        <v>1796</v>
      </c>
      <c r="K232" s="2" t="s">
        <v>45</v>
      </c>
      <c r="L232" s="2" t="s">
        <v>29</v>
      </c>
      <c r="M232" s="2" t="s">
        <v>1797</v>
      </c>
      <c r="N232" s="2" t="s">
        <v>105</v>
      </c>
      <c r="O232" s="4">
        <v>1851</v>
      </c>
      <c r="P232" s="2" t="s">
        <v>1798</v>
      </c>
      <c r="Q232" s="2" t="s">
        <v>49</v>
      </c>
      <c r="R232" s="2" t="s">
        <v>1799</v>
      </c>
      <c r="S232" s="2" t="s">
        <v>1800</v>
      </c>
      <c r="T232" s="2" t="s">
        <v>1801</v>
      </c>
      <c r="U232" s="2" t="s">
        <v>1802</v>
      </c>
      <c r="V232" s="2" t="s">
        <v>1023</v>
      </c>
    </row>
    <row r="233" spans="1:22">
      <c r="A233" s="2" t="s">
        <v>1803</v>
      </c>
      <c r="B233" s="2" t="s">
        <v>1804</v>
      </c>
      <c r="C233" s="2" t="s">
        <v>1805</v>
      </c>
      <c r="D233" s="2">
        <v>2024</v>
      </c>
      <c r="E233" s="3">
        <v>45345</v>
      </c>
      <c r="F233" s="2" t="s">
        <v>1442</v>
      </c>
      <c r="G233" s="2">
        <v>103</v>
      </c>
      <c r="H233" s="2">
        <v>8</v>
      </c>
      <c r="I233" s="2" t="s">
        <v>43</v>
      </c>
      <c r="J233" s="2" t="s">
        <v>1443</v>
      </c>
      <c r="K233" s="2" t="s">
        <v>566</v>
      </c>
      <c r="L233" s="2" t="s">
        <v>29</v>
      </c>
      <c r="M233" s="2" t="s">
        <v>393</v>
      </c>
      <c r="N233" s="2" t="s">
        <v>1444</v>
      </c>
      <c r="O233" s="2" t="s">
        <v>1445</v>
      </c>
      <c r="P233" s="2" t="s">
        <v>1806</v>
      </c>
      <c r="Q233" s="2" t="s">
        <v>33</v>
      </c>
      <c r="R233" s="2" t="s">
        <v>1807</v>
      </c>
      <c r="S233" s="2" t="s">
        <v>1808</v>
      </c>
      <c r="T233" s="2" t="s">
        <v>1809</v>
      </c>
      <c r="U233" s="2" t="s">
        <v>1810</v>
      </c>
      <c r="V233" s="2" t="s">
        <v>80</v>
      </c>
    </row>
    <row r="234" spans="1:22">
      <c r="A234" s="2" t="s">
        <v>128</v>
      </c>
      <c r="B234" s="2" t="s">
        <v>1811</v>
      </c>
      <c r="C234" s="2" t="s">
        <v>130</v>
      </c>
      <c r="D234" s="2">
        <v>2024</v>
      </c>
      <c r="E234" s="3">
        <v>45292</v>
      </c>
      <c r="F234" s="2" t="s">
        <v>1812</v>
      </c>
      <c r="G234" s="2" t="s">
        <v>43</v>
      </c>
      <c r="H234" s="2" t="s">
        <v>43</v>
      </c>
      <c r="I234" s="2" t="s">
        <v>1813</v>
      </c>
      <c r="J234" s="2" t="s">
        <v>43</v>
      </c>
      <c r="K234" s="2" t="s">
        <v>1814</v>
      </c>
      <c r="L234" s="2" t="s">
        <v>29</v>
      </c>
      <c r="M234" s="2" t="s">
        <v>43</v>
      </c>
      <c r="N234" s="2" t="s">
        <v>43</v>
      </c>
      <c r="O234" s="2" t="s">
        <v>43</v>
      </c>
      <c r="P234" s="2" t="s">
        <v>1815</v>
      </c>
      <c r="Q234" s="2" t="s">
        <v>1125</v>
      </c>
      <c r="R234" s="2" t="s">
        <v>1816</v>
      </c>
      <c r="S234" s="2" t="s">
        <v>138</v>
      </c>
      <c r="T234" s="2" t="s">
        <v>139</v>
      </c>
      <c r="U234" s="2" t="s">
        <v>140</v>
      </c>
      <c r="V234" s="2" t="s">
        <v>141</v>
      </c>
    </row>
    <row r="235" spans="1:22" ht="28.8">
      <c r="A235" s="2" t="s">
        <v>1480</v>
      </c>
      <c r="B235" s="2" t="s">
        <v>1817</v>
      </c>
      <c r="C235" s="2" t="s">
        <v>1818</v>
      </c>
      <c r="D235" s="2">
        <v>2024</v>
      </c>
      <c r="E235" s="3">
        <v>45413</v>
      </c>
      <c r="F235" s="2" t="s">
        <v>1819</v>
      </c>
      <c r="G235" s="2">
        <v>185</v>
      </c>
      <c r="H235" s="2" t="s">
        <v>43</v>
      </c>
      <c r="I235" s="2" t="s">
        <v>1820</v>
      </c>
      <c r="J235" s="2" t="s">
        <v>1821</v>
      </c>
      <c r="K235" s="2" t="s">
        <v>734</v>
      </c>
      <c r="L235" s="2" t="s">
        <v>29</v>
      </c>
      <c r="M235" s="2" t="s">
        <v>1182</v>
      </c>
      <c r="N235" s="2" t="s">
        <v>840</v>
      </c>
      <c r="O235" s="2" t="s">
        <v>1822</v>
      </c>
      <c r="P235" s="2" t="s">
        <v>1823</v>
      </c>
      <c r="Q235" s="2" t="s">
        <v>33</v>
      </c>
      <c r="R235" s="2" t="s">
        <v>1824</v>
      </c>
      <c r="S235" s="2" t="s">
        <v>1825</v>
      </c>
      <c r="T235" s="2" t="s">
        <v>1826</v>
      </c>
      <c r="U235" s="2" t="s">
        <v>1827</v>
      </c>
      <c r="V235" s="2" t="s">
        <v>1828</v>
      </c>
    </row>
    <row r="236" spans="1:22">
      <c r="A236" s="2" t="s">
        <v>685</v>
      </c>
      <c r="B236" s="2" t="s">
        <v>1829</v>
      </c>
      <c r="C236" s="2" t="s">
        <v>1830</v>
      </c>
      <c r="D236" s="2">
        <v>2025</v>
      </c>
      <c r="E236" s="3">
        <v>45962</v>
      </c>
      <c r="F236" s="2" t="s">
        <v>1831</v>
      </c>
      <c r="G236" s="2">
        <v>33</v>
      </c>
      <c r="H236" s="2">
        <v>1</v>
      </c>
      <c r="I236" s="2" t="s">
        <v>1832</v>
      </c>
      <c r="J236" s="2" t="s">
        <v>1833</v>
      </c>
      <c r="K236" s="2" t="s">
        <v>1258</v>
      </c>
      <c r="L236" s="2" t="s">
        <v>29</v>
      </c>
      <c r="M236" s="2" t="s">
        <v>735</v>
      </c>
      <c r="N236" s="2" t="s">
        <v>105</v>
      </c>
      <c r="O236" s="4">
        <v>1799</v>
      </c>
      <c r="P236" s="2" t="s">
        <v>1834</v>
      </c>
      <c r="Q236" s="2" t="s">
        <v>33</v>
      </c>
      <c r="R236" s="2" t="s">
        <v>1835</v>
      </c>
      <c r="S236" s="2" t="s">
        <v>821</v>
      </c>
      <c r="T236" s="2" t="s">
        <v>1836</v>
      </c>
      <c r="U236" s="2" t="s">
        <v>1837</v>
      </c>
      <c r="V236" s="2" t="s">
        <v>80</v>
      </c>
    </row>
    <row r="237" spans="1:22">
      <c r="A237" s="2" t="s">
        <v>1838</v>
      </c>
      <c r="B237" s="2" t="s">
        <v>1839</v>
      </c>
      <c r="C237" s="2" t="s">
        <v>1840</v>
      </c>
      <c r="D237" s="2">
        <v>2024</v>
      </c>
      <c r="E237" s="3">
        <v>45383</v>
      </c>
      <c r="F237" s="2" t="s">
        <v>1841</v>
      </c>
      <c r="G237" s="2">
        <v>135</v>
      </c>
      <c r="H237" s="2" t="s">
        <v>43</v>
      </c>
      <c r="I237" s="2" t="s">
        <v>43</v>
      </c>
      <c r="J237" s="2" t="s">
        <v>1842</v>
      </c>
      <c r="K237" s="2" t="s">
        <v>1843</v>
      </c>
      <c r="L237" s="2" t="s">
        <v>29</v>
      </c>
      <c r="M237" s="2" t="s">
        <v>347</v>
      </c>
      <c r="N237" s="2" t="s">
        <v>105</v>
      </c>
      <c r="O237" s="4">
        <v>1483</v>
      </c>
      <c r="P237" s="2" t="s">
        <v>1844</v>
      </c>
      <c r="Q237" s="2" t="s">
        <v>33</v>
      </c>
      <c r="R237" s="2" t="s">
        <v>1845</v>
      </c>
      <c r="S237" s="2" t="s">
        <v>1846</v>
      </c>
      <c r="T237" s="2" t="s">
        <v>1847</v>
      </c>
      <c r="U237" s="2" t="s">
        <v>1848</v>
      </c>
      <c r="V237" s="2" t="s">
        <v>1849</v>
      </c>
    </row>
    <row r="238" spans="1:22">
      <c r="A238" s="2" t="s">
        <v>1850</v>
      </c>
      <c r="B238" s="2" t="s">
        <v>1839</v>
      </c>
      <c r="C238" s="2" t="s">
        <v>1840</v>
      </c>
      <c r="D238" s="2">
        <v>2024</v>
      </c>
      <c r="E238" s="3">
        <v>45383</v>
      </c>
      <c r="F238" s="2" t="s">
        <v>1841</v>
      </c>
      <c r="G238" s="2">
        <v>135</v>
      </c>
      <c r="H238" s="2" t="s">
        <v>43</v>
      </c>
      <c r="I238" s="2" t="s">
        <v>43</v>
      </c>
      <c r="J238" s="2" t="s">
        <v>1842</v>
      </c>
      <c r="K238" s="2" t="s">
        <v>1843</v>
      </c>
      <c r="L238" s="2" t="s">
        <v>29</v>
      </c>
      <c r="M238" s="2" t="s">
        <v>347</v>
      </c>
      <c r="N238" s="2" t="s">
        <v>105</v>
      </c>
      <c r="O238" s="4">
        <v>1483</v>
      </c>
      <c r="P238" s="2" t="s">
        <v>1844</v>
      </c>
      <c r="Q238" s="2" t="s">
        <v>33</v>
      </c>
      <c r="R238" s="2" t="s">
        <v>1845</v>
      </c>
      <c r="S238" s="2" t="s">
        <v>1846</v>
      </c>
      <c r="T238" s="2" t="s">
        <v>1847</v>
      </c>
      <c r="U238" s="2" t="s">
        <v>1848</v>
      </c>
      <c r="V238" s="2" t="s">
        <v>1849</v>
      </c>
    </row>
    <row r="239" spans="1:22">
      <c r="A239" s="2" t="s">
        <v>22</v>
      </c>
      <c r="B239" s="2" t="s">
        <v>1851</v>
      </c>
      <c r="C239" s="2" t="s">
        <v>1852</v>
      </c>
      <c r="D239" s="2">
        <v>2025</v>
      </c>
      <c r="E239" s="3">
        <v>45992</v>
      </c>
      <c r="F239" s="2" t="s">
        <v>357</v>
      </c>
      <c r="G239" s="2">
        <v>20</v>
      </c>
      <c r="H239" s="2">
        <v>12</v>
      </c>
      <c r="I239" s="2" t="s">
        <v>1853</v>
      </c>
      <c r="J239" s="2" t="s">
        <v>359</v>
      </c>
      <c r="K239" s="2" t="s">
        <v>360</v>
      </c>
      <c r="L239" s="2" t="s">
        <v>29</v>
      </c>
      <c r="M239" s="2" t="s">
        <v>361</v>
      </c>
      <c r="N239" s="2" t="s">
        <v>121</v>
      </c>
      <c r="O239" s="4">
        <v>1833</v>
      </c>
      <c r="P239" s="2" t="s">
        <v>1854</v>
      </c>
      <c r="Q239" s="2" t="s">
        <v>33</v>
      </c>
      <c r="R239" s="2" t="s">
        <v>1855</v>
      </c>
      <c r="S239" s="2" t="s">
        <v>1856</v>
      </c>
      <c r="T239" s="2" t="s">
        <v>1857</v>
      </c>
      <c r="U239" s="2" t="s">
        <v>1858</v>
      </c>
      <c r="V239" s="2" t="s">
        <v>1859</v>
      </c>
    </row>
    <row r="240" spans="1:22">
      <c r="A240" s="2" t="s">
        <v>1860</v>
      </c>
      <c r="B240" s="2" t="s">
        <v>1861</v>
      </c>
      <c r="C240" s="2" t="s">
        <v>1862</v>
      </c>
      <c r="D240" s="2">
        <v>2024</v>
      </c>
      <c r="E240" s="3">
        <v>45292</v>
      </c>
      <c r="F240" s="2" t="s">
        <v>1863</v>
      </c>
      <c r="G240" s="2">
        <v>8</v>
      </c>
      <c r="H240" s="2">
        <v>2</v>
      </c>
      <c r="I240" s="2" t="s">
        <v>1864</v>
      </c>
      <c r="J240" s="2" t="s">
        <v>1865</v>
      </c>
      <c r="K240" s="2" t="s">
        <v>1866</v>
      </c>
      <c r="L240" s="2" t="s">
        <v>1867</v>
      </c>
      <c r="M240" s="2" t="s">
        <v>47</v>
      </c>
      <c r="N240" s="2" t="s">
        <v>1868</v>
      </c>
      <c r="O240" s="2" t="s">
        <v>1869</v>
      </c>
      <c r="P240" s="2" t="s">
        <v>1870</v>
      </c>
      <c r="Q240" s="2" t="s">
        <v>33</v>
      </c>
      <c r="R240" s="2" t="s">
        <v>1871</v>
      </c>
      <c r="S240" s="2" t="s">
        <v>1872</v>
      </c>
      <c r="T240" s="2" t="s">
        <v>1873</v>
      </c>
      <c r="U240" s="2" t="s">
        <v>1874</v>
      </c>
      <c r="V240" s="2" t="s">
        <v>80</v>
      </c>
    </row>
    <row r="241" spans="1:22" ht="28.8">
      <c r="A241" s="2" t="s">
        <v>311</v>
      </c>
      <c r="B241" s="2" t="s">
        <v>1875</v>
      </c>
      <c r="C241" s="2" t="s">
        <v>1876</v>
      </c>
      <c r="D241" s="2">
        <v>2025</v>
      </c>
      <c r="E241" s="3">
        <v>45931</v>
      </c>
      <c r="F241" s="2" t="s">
        <v>1877</v>
      </c>
      <c r="G241" s="2">
        <v>86</v>
      </c>
      <c r="H241" s="2" t="s">
        <v>43</v>
      </c>
      <c r="I241" s="2" t="s">
        <v>43</v>
      </c>
      <c r="J241" s="2" t="s">
        <v>1878</v>
      </c>
      <c r="K241" s="2" t="s">
        <v>103</v>
      </c>
      <c r="L241" s="2" t="s">
        <v>29</v>
      </c>
      <c r="M241" s="2" t="s">
        <v>1879</v>
      </c>
      <c r="N241" s="2" t="s">
        <v>171</v>
      </c>
      <c r="O241" s="4">
        <v>4059</v>
      </c>
      <c r="P241" s="2" t="s">
        <v>1880</v>
      </c>
      <c r="Q241" s="2" t="s">
        <v>33</v>
      </c>
      <c r="R241" s="2" t="s">
        <v>1881</v>
      </c>
      <c r="S241" s="2" t="s">
        <v>1882</v>
      </c>
      <c r="T241" s="2" t="s">
        <v>1883</v>
      </c>
      <c r="U241" s="2" t="s">
        <v>1884</v>
      </c>
      <c r="V241" s="2" t="s">
        <v>1885</v>
      </c>
    </row>
    <row r="242" spans="1:22">
      <c r="A242" s="2" t="s">
        <v>342</v>
      </c>
      <c r="B242" s="2" t="s">
        <v>1886</v>
      </c>
      <c r="C242" s="2" t="s">
        <v>1887</v>
      </c>
      <c r="D242" s="2">
        <v>2025</v>
      </c>
      <c r="E242" s="3">
        <v>45672</v>
      </c>
      <c r="F242" s="2" t="s">
        <v>1888</v>
      </c>
      <c r="G242" s="2">
        <v>125</v>
      </c>
      <c r="H242" s="2">
        <v>2</v>
      </c>
      <c r="I242" s="2" t="s">
        <v>43</v>
      </c>
      <c r="J242" s="2" t="s">
        <v>1889</v>
      </c>
      <c r="K242" s="2" t="s">
        <v>119</v>
      </c>
      <c r="L242" s="2" t="s">
        <v>29</v>
      </c>
      <c r="M242" s="2" t="s">
        <v>719</v>
      </c>
      <c r="N242" s="2" t="s">
        <v>854</v>
      </c>
      <c r="O242" s="2" t="s">
        <v>1890</v>
      </c>
      <c r="P242" s="2" t="s">
        <v>1891</v>
      </c>
      <c r="Q242" s="2" t="s">
        <v>33</v>
      </c>
      <c r="R242" s="2" t="s">
        <v>1892</v>
      </c>
      <c r="S242" s="2" t="s">
        <v>1893</v>
      </c>
      <c r="T242" s="2" t="s">
        <v>1894</v>
      </c>
      <c r="U242" s="2" t="s">
        <v>1895</v>
      </c>
      <c r="V242" s="2" t="s">
        <v>80</v>
      </c>
    </row>
    <row r="243" spans="1:22" ht="28.8">
      <c r="A243" s="2" t="s">
        <v>1396</v>
      </c>
      <c r="B243" s="2" t="s">
        <v>1896</v>
      </c>
      <c r="C243" s="2" t="s">
        <v>1897</v>
      </c>
      <c r="D243" s="2">
        <v>2025</v>
      </c>
      <c r="E243" s="3">
        <v>45689</v>
      </c>
      <c r="F243" s="2" t="s">
        <v>1898</v>
      </c>
      <c r="G243" s="2">
        <v>276</v>
      </c>
      <c r="H243" s="2" t="s">
        <v>43</v>
      </c>
      <c r="I243" s="2" t="s">
        <v>1899</v>
      </c>
      <c r="J243" s="2" t="s">
        <v>1900</v>
      </c>
      <c r="K243" s="2" t="s">
        <v>103</v>
      </c>
      <c r="L243" s="2" t="s">
        <v>29</v>
      </c>
      <c r="M243" s="2" t="s">
        <v>667</v>
      </c>
      <c r="N243" s="2" t="s">
        <v>331</v>
      </c>
      <c r="O243" s="2" t="s">
        <v>1901</v>
      </c>
      <c r="P243" s="2" t="s">
        <v>1902</v>
      </c>
      <c r="Q243" s="2" t="s">
        <v>33</v>
      </c>
      <c r="R243" s="2" t="s">
        <v>1903</v>
      </c>
      <c r="S243" s="2" t="s">
        <v>1904</v>
      </c>
      <c r="T243" s="2" t="s">
        <v>1905</v>
      </c>
      <c r="U243" s="2" t="s">
        <v>1906</v>
      </c>
      <c r="V243" s="2" t="s">
        <v>1907</v>
      </c>
    </row>
    <row r="244" spans="1:22" ht="28.8">
      <c r="A244" s="2" t="s">
        <v>1908</v>
      </c>
      <c r="B244" s="2" t="s">
        <v>1896</v>
      </c>
      <c r="C244" s="2" t="s">
        <v>1897</v>
      </c>
      <c r="D244" s="2">
        <v>2025</v>
      </c>
      <c r="E244" s="3">
        <v>45689</v>
      </c>
      <c r="F244" s="2" t="s">
        <v>1898</v>
      </c>
      <c r="G244" s="2">
        <v>276</v>
      </c>
      <c r="H244" s="2" t="s">
        <v>43</v>
      </c>
      <c r="I244" s="2" t="s">
        <v>1899</v>
      </c>
      <c r="J244" s="2" t="s">
        <v>1900</v>
      </c>
      <c r="K244" s="2" t="s">
        <v>103</v>
      </c>
      <c r="L244" s="2" t="s">
        <v>29</v>
      </c>
      <c r="M244" s="2" t="s">
        <v>667</v>
      </c>
      <c r="N244" s="2" t="s">
        <v>331</v>
      </c>
      <c r="O244" s="2" t="s">
        <v>1901</v>
      </c>
      <c r="P244" s="2" t="s">
        <v>1902</v>
      </c>
      <c r="Q244" s="2" t="s">
        <v>33</v>
      </c>
      <c r="R244" s="2" t="s">
        <v>1903</v>
      </c>
      <c r="S244" s="2" t="s">
        <v>1904</v>
      </c>
      <c r="T244" s="2" t="s">
        <v>1905</v>
      </c>
      <c r="U244" s="2" t="s">
        <v>1906</v>
      </c>
      <c r="V244" s="2" t="s">
        <v>1907</v>
      </c>
    </row>
    <row r="245" spans="1:22" ht="28.8">
      <c r="A245" s="2" t="s">
        <v>1909</v>
      </c>
      <c r="B245" s="2" t="s">
        <v>1896</v>
      </c>
      <c r="C245" s="2" t="s">
        <v>1897</v>
      </c>
      <c r="D245" s="2">
        <v>2025</v>
      </c>
      <c r="E245" s="3">
        <v>45689</v>
      </c>
      <c r="F245" s="2" t="s">
        <v>1898</v>
      </c>
      <c r="G245" s="2">
        <v>276</v>
      </c>
      <c r="H245" s="2" t="s">
        <v>43</v>
      </c>
      <c r="I245" s="2" t="s">
        <v>1899</v>
      </c>
      <c r="J245" s="2" t="s">
        <v>1900</v>
      </c>
      <c r="K245" s="2" t="s">
        <v>103</v>
      </c>
      <c r="L245" s="2" t="s">
        <v>29</v>
      </c>
      <c r="M245" s="2" t="s">
        <v>667</v>
      </c>
      <c r="N245" s="2" t="s">
        <v>331</v>
      </c>
      <c r="O245" s="2" t="s">
        <v>1901</v>
      </c>
      <c r="P245" s="2" t="s">
        <v>1902</v>
      </c>
      <c r="Q245" s="2" t="s">
        <v>33</v>
      </c>
      <c r="R245" s="2" t="s">
        <v>1903</v>
      </c>
      <c r="S245" s="2" t="s">
        <v>1904</v>
      </c>
      <c r="T245" s="2" t="s">
        <v>1905</v>
      </c>
      <c r="U245" s="2" t="s">
        <v>1906</v>
      </c>
      <c r="V245" s="2" t="s">
        <v>1907</v>
      </c>
    </row>
    <row r="246" spans="1:22">
      <c r="A246" s="2" t="s">
        <v>178</v>
      </c>
      <c r="B246" s="2" t="s">
        <v>1910</v>
      </c>
      <c r="C246" s="2" t="s">
        <v>1657</v>
      </c>
      <c r="D246" s="2">
        <v>2024</v>
      </c>
      <c r="E246" s="3">
        <v>45292</v>
      </c>
      <c r="F246" s="2" t="s">
        <v>181</v>
      </c>
      <c r="G246" s="2">
        <v>9</v>
      </c>
      <c r="H246" s="2" t="s">
        <v>43</v>
      </c>
      <c r="I246" s="2" t="s">
        <v>43</v>
      </c>
      <c r="J246" s="2" t="s">
        <v>182</v>
      </c>
      <c r="K246" s="2" t="s">
        <v>183</v>
      </c>
      <c r="L246" s="2" t="s">
        <v>29</v>
      </c>
      <c r="M246" s="2" t="s">
        <v>184</v>
      </c>
      <c r="N246" s="2" t="s">
        <v>145</v>
      </c>
      <c r="O246" s="2" t="s">
        <v>185</v>
      </c>
      <c r="P246" s="2" t="s">
        <v>1911</v>
      </c>
      <c r="Q246" s="2" t="s">
        <v>33</v>
      </c>
      <c r="R246" s="2" t="s">
        <v>1912</v>
      </c>
      <c r="S246" s="2" t="s">
        <v>1913</v>
      </c>
      <c r="T246" s="2" t="s">
        <v>1914</v>
      </c>
      <c r="U246" s="2" t="s">
        <v>1915</v>
      </c>
      <c r="V246" s="2" t="s">
        <v>80</v>
      </c>
    </row>
    <row r="247" spans="1:22">
      <c r="A247" s="2" t="s">
        <v>1916</v>
      </c>
      <c r="B247" s="2" t="s">
        <v>1917</v>
      </c>
      <c r="C247" s="2" t="s">
        <v>1918</v>
      </c>
      <c r="D247" s="2">
        <v>2025</v>
      </c>
      <c r="E247" s="3">
        <v>45870</v>
      </c>
      <c r="F247" s="2" t="s">
        <v>651</v>
      </c>
      <c r="G247" s="2">
        <v>14</v>
      </c>
      <c r="H247" s="2">
        <v>16</v>
      </c>
      <c r="I247" s="2" t="s">
        <v>43</v>
      </c>
      <c r="J247" s="2" t="s">
        <v>652</v>
      </c>
      <c r="K247" s="2" t="s">
        <v>61</v>
      </c>
      <c r="L247" s="2" t="s">
        <v>29</v>
      </c>
      <c r="M247" s="2" t="s">
        <v>653</v>
      </c>
      <c r="N247" s="2" t="s">
        <v>476</v>
      </c>
      <c r="O247" s="2" t="s">
        <v>1919</v>
      </c>
      <c r="P247" s="2" t="s">
        <v>1920</v>
      </c>
      <c r="Q247" s="2" t="s">
        <v>33</v>
      </c>
      <c r="R247" s="2" t="s">
        <v>1921</v>
      </c>
      <c r="S247" s="2" t="s">
        <v>1922</v>
      </c>
      <c r="T247" s="2" t="s">
        <v>1923</v>
      </c>
      <c r="U247" s="2" t="s">
        <v>1924</v>
      </c>
      <c r="V247" s="2" t="s">
        <v>594</v>
      </c>
    </row>
    <row r="248" spans="1:22">
      <c r="A248" s="2" t="s">
        <v>1925</v>
      </c>
      <c r="B248" s="2" t="s">
        <v>1926</v>
      </c>
      <c r="C248" s="2" t="s">
        <v>1927</v>
      </c>
      <c r="D248" s="2">
        <v>2025</v>
      </c>
      <c r="E248" s="3">
        <v>45658</v>
      </c>
      <c r="F248" s="2" t="s">
        <v>1928</v>
      </c>
      <c r="G248" s="2">
        <v>18</v>
      </c>
      <c r="H248" s="2">
        <v>1</v>
      </c>
      <c r="I248" s="2" t="s">
        <v>43</v>
      </c>
      <c r="J248" s="2" t="s">
        <v>1929</v>
      </c>
      <c r="K248" s="2" t="s">
        <v>1134</v>
      </c>
      <c r="L248" s="2" t="s">
        <v>29</v>
      </c>
      <c r="M248" s="2" t="s">
        <v>839</v>
      </c>
      <c r="N248" s="2" t="s">
        <v>145</v>
      </c>
      <c r="O248" s="2" t="s">
        <v>1930</v>
      </c>
      <c r="P248" s="2" t="s">
        <v>1931</v>
      </c>
      <c r="Q248" s="2" t="s">
        <v>49</v>
      </c>
      <c r="R248" s="2" t="s">
        <v>1932</v>
      </c>
      <c r="S248" s="2" t="s">
        <v>1933</v>
      </c>
      <c r="T248" s="2" t="s">
        <v>1934</v>
      </c>
      <c r="U248" s="2" t="s">
        <v>1935</v>
      </c>
      <c r="V248" s="2" t="s">
        <v>141</v>
      </c>
    </row>
    <row r="249" spans="1:22">
      <c r="A249" s="2" t="s">
        <v>265</v>
      </c>
      <c r="B249" s="2" t="s">
        <v>1936</v>
      </c>
      <c r="C249" s="2" t="s">
        <v>1937</v>
      </c>
      <c r="D249" s="2">
        <v>2025</v>
      </c>
      <c r="E249" s="3">
        <v>45915</v>
      </c>
      <c r="F249" s="2" t="s">
        <v>879</v>
      </c>
      <c r="G249" s="2">
        <v>232</v>
      </c>
      <c r="H249" s="2" t="s">
        <v>43</v>
      </c>
      <c r="I249" s="2" t="s">
        <v>43</v>
      </c>
      <c r="J249" s="2" t="s">
        <v>880</v>
      </c>
      <c r="K249" s="2" t="s">
        <v>881</v>
      </c>
      <c r="L249" s="2" t="s">
        <v>29</v>
      </c>
      <c r="M249" s="2" t="s">
        <v>735</v>
      </c>
      <c r="N249" s="2" t="s">
        <v>464</v>
      </c>
      <c r="O249" s="4">
        <v>1394</v>
      </c>
      <c r="P249" s="2" t="s">
        <v>1938</v>
      </c>
      <c r="Q249" s="2" t="s">
        <v>33</v>
      </c>
      <c r="R249" s="2" t="s">
        <v>1939</v>
      </c>
      <c r="S249" s="2" t="s">
        <v>1940</v>
      </c>
      <c r="T249" s="2" t="s">
        <v>1941</v>
      </c>
      <c r="U249" s="2" t="s">
        <v>1942</v>
      </c>
      <c r="V249" s="2" t="s">
        <v>275</v>
      </c>
    </row>
    <row r="250" spans="1:22">
      <c r="A250" s="2" t="s">
        <v>113</v>
      </c>
      <c r="B250" s="2" t="s">
        <v>1943</v>
      </c>
      <c r="C250" s="2" t="s">
        <v>1944</v>
      </c>
      <c r="D250" s="2">
        <v>2025</v>
      </c>
      <c r="E250" s="3">
        <v>45784</v>
      </c>
      <c r="F250" s="2" t="s">
        <v>1945</v>
      </c>
      <c r="G250" s="2">
        <v>135</v>
      </c>
      <c r="H250" s="2">
        <v>2</v>
      </c>
      <c r="I250" s="2" t="s">
        <v>1946</v>
      </c>
      <c r="J250" s="2" t="s">
        <v>1947</v>
      </c>
      <c r="K250" s="2" t="s">
        <v>43</v>
      </c>
      <c r="L250" s="2" t="s">
        <v>29</v>
      </c>
      <c r="M250" s="2" t="s">
        <v>1948</v>
      </c>
      <c r="N250" s="2" t="s">
        <v>1327</v>
      </c>
      <c r="O250" s="2" t="s">
        <v>1949</v>
      </c>
      <c r="P250" s="2" t="s">
        <v>1950</v>
      </c>
      <c r="Q250" s="2" t="s">
        <v>33</v>
      </c>
      <c r="R250" s="2" t="s">
        <v>1951</v>
      </c>
      <c r="S250" s="2" t="s">
        <v>1952</v>
      </c>
      <c r="T250" s="2" t="s">
        <v>1953</v>
      </c>
      <c r="U250" s="2" t="s">
        <v>1954</v>
      </c>
      <c r="V250" s="2" t="s">
        <v>1955</v>
      </c>
    </row>
    <row r="251" spans="1:22">
      <c r="A251" s="2" t="s">
        <v>1344</v>
      </c>
      <c r="B251" s="2" t="s">
        <v>1956</v>
      </c>
      <c r="C251" s="2" t="s">
        <v>1957</v>
      </c>
      <c r="D251" s="2">
        <v>2025</v>
      </c>
      <c r="E251" s="3">
        <v>45778</v>
      </c>
      <c r="F251" s="2" t="s">
        <v>1958</v>
      </c>
      <c r="G251" s="2">
        <v>40</v>
      </c>
      <c r="H251" s="2">
        <v>4</v>
      </c>
      <c r="I251" s="2" t="s">
        <v>1959</v>
      </c>
      <c r="J251" s="2" t="s">
        <v>1960</v>
      </c>
      <c r="K251" s="2" t="s">
        <v>302</v>
      </c>
      <c r="L251" s="2" t="s">
        <v>29</v>
      </c>
      <c r="M251" s="2" t="s">
        <v>1362</v>
      </c>
      <c r="N251" s="2" t="s">
        <v>281</v>
      </c>
      <c r="O251" s="2" t="s">
        <v>1961</v>
      </c>
      <c r="P251" s="2" t="s">
        <v>1962</v>
      </c>
      <c r="Q251" s="2" t="s">
        <v>33</v>
      </c>
      <c r="R251" s="2" t="s">
        <v>1963</v>
      </c>
      <c r="S251" s="2" t="s">
        <v>1964</v>
      </c>
      <c r="T251" s="2" t="s">
        <v>1965</v>
      </c>
      <c r="U251" s="2" t="s">
        <v>1966</v>
      </c>
      <c r="V251" s="2" t="s">
        <v>621</v>
      </c>
    </row>
    <row r="252" spans="1:22">
      <c r="A252" s="2" t="s">
        <v>1916</v>
      </c>
      <c r="B252" s="2" t="s">
        <v>1956</v>
      </c>
      <c r="C252" s="2" t="s">
        <v>1957</v>
      </c>
      <c r="D252" s="2">
        <v>2025</v>
      </c>
      <c r="E252" s="3">
        <v>45778</v>
      </c>
      <c r="F252" s="2" t="s">
        <v>1958</v>
      </c>
      <c r="G252" s="2">
        <v>40</v>
      </c>
      <c r="H252" s="2">
        <v>4</v>
      </c>
      <c r="I252" s="2" t="s">
        <v>1959</v>
      </c>
      <c r="J252" s="2" t="s">
        <v>1960</v>
      </c>
      <c r="K252" s="2" t="s">
        <v>302</v>
      </c>
      <c r="L252" s="2" t="s">
        <v>29</v>
      </c>
      <c r="M252" s="2" t="s">
        <v>1362</v>
      </c>
      <c r="N252" s="2" t="s">
        <v>281</v>
      </c>
      <c r="O252" s="2" t="s">
        <v>1961</v>
      </c>
      <c r="P252" s="2" t="s">
        <v>1962</v>
      </c>
      <c r="Q252" s="2" t="s">
        <v>33</v>
      </c>
      <c r="R252" s="2" t="s">
        <v>1963</v>
      </c>
      <c r="S252" s="2" t="s">
        <v>1964</v>
      </c>
      <c r="T252" s="2" t="s">
        <v>1965</v>
      </c>
      <c r="U252" s="2" t="s">
        <v>1966</v>
      </c>
      <c r="V252" s="2" t="s">
        <v>621</v>
      </c>
    </row>
    <row r="253" spans="1:22">
      <c r="A253" s="2" t="s">
        <v>1967</v>
      </c>
      <c r="B253" s="2" t="s">
        <v>1956</v>
      </c>
      <c r="C253" s="2" t="s">
        <v>1957</v>
      </c>
      <c r="D253" s="2">
        <v>2025</v>
      </c>
      <c r="E253" s="3">
        <v>45778</v>
      </c>
      <c r="F253" s="2" t="s">
        <v>1958</v>
      </c>
      <c r="G253" s="2">
        <v>40</v>
      </c>
      <c r="H253" s="2">
        <v>4</v>
      </c>
      <c r="I253" s="2" t="s">
        <v>1959</v>
      </c>
      <c r="J253" s="2" t="s">
        <v>1960</v>
      </c>
      <c r="K253" s="2" t="s">
        <v>302</v>
      </c>
      <c r="L253" s="2" t="s">
        <v>29</v>
      </c>
      <c r="M253" s="2" t="s">
        <v>1362</v>
      </c>
      <c r="N253" s="2" t="s">
        <v>281</v>
      </c>
      <c r="O253" s="2" t="s">
        <v>1961</v>
      </c>
      <c r="P253" s="2" t="s">
        <v>1962</v>
      </c>
      <c r="Q253" s="2" t="s">
        <v>33</v>
      </c>
      <c r="R253" s="2" t="s">
        <v>1963</v>
      </c>
      <c r="S253" s="2" t="s">
        <v>1964</v>
      </c>
      <c r="T253" s="2" t="s">
        <v>1965</v>
      </c>
      <c r="U253" s="2" t="s">
        <v>1966</v>
      </c>
      <c r="V253" s="2" t="s">
        <v>621</v>
      </c>
    </row>
    <row r="254" spans="1:22">
      <c r="A254" s="2" t="s">
        <v>1968</v>
      </c>
      <c r="B254" s="2" t="s">
        <v>1956</v>
      </c>
      <c r="C254" s="2" t="s">
        <v>1957</v>
      </c>
      <c r="D254" s="2">
        <v>2025</v>
      </c>
      <c r="E254" s="3">
        <v>45778</v>
      </c>
      <c r="F254" s="2" t="s">
        <v>1958</v>
      </c>
      <c r="G254" s="2">
        <v>40</v>
      </c>
      <c r="H254" s="2">
        <v>4</v>
      </c>
      <c r="I254" s="2" t="s">
        <v>1959</v>
      </c>
      <c r="J254" s="2" t="s">
        <v>1960</v>
      </c>
      <c r="K254" s="2" t="s">
        <v>302</v>
      </c>
      <c r="L254" s="2" t="s">
        <v>29</v>
      </c>
      <c r="M254" s="2" t="s">
        <v>1362</v>
      </c>
      <c r="N254" s="2" t="s">
        <v>281</v>
      </c>
      <c r="O254" s="2" t="s">
        <v>1961</v>
      </c>
      <c r="P254" s="2" t="s">
        <v>1962</v>
      </c>
      <c r="Q254" s="2" t="s">
        <v>33</v>
      </c>
      <c r="R254" s="2" t="s">
        <v>1963</v>
      </c>
      <c r="S254" s="2" t="s">
        <v>1964</v>
      </c>
      <c r="T254" s="2" t="s">
        <v>1965</v>
      </c>
      <c r="U254" s="2" t="s">
        <v>1966</v>
      </c>
      <c r="V254" s="2" t="s">
        <v>621</v>
      </c>
    </row>
    <row r="255" spans="1:22">
      <c r="A255" s="2" t="s">
        <v>433</v>
      </c>
      <c r="B255" s="2" t="s">
        <v>1956</v>
      </c>
      <c r="C255" s="2" t="s">
        <v>1957</v>
      </c>
      <c r="D255" s="2">
        <v>2025</v>
      </c>
      <c r="E255" s="3">
        <v>45778</v>
      </c>
      <c r="F255" s="2" t="s">
        <v>1958</v>
      </c>
      <c r="G255" s="2">
        <v>40</v>
      </c>
      <c r="H255" s="2">
        <v>4</v>
      </c>
      <c r="I255" s="2" t="s">
        <v>1959</v>
      </c>
      <c r="J255" s="2" t="s">
        <v>1960</v>
      </c>
      <c r="K255" s="2" t="s">
        <v>302</v>
      </c>
      <c r="L255" s="2" t="s">
        <v>29</v>
      </c>
      <c r="M255" s="2" t="s">
        <v>1362</v>
      </c>
      <c r="N255" s="2" t="s">
        <v>281</v>
      </c>
      <c r="O255" s="2" t="s">
        <v>1961</v>
      </c>
      <c r="P255" s="2" t="s">
        <v>1962</v>
      </c>
      <c r="Q255" s="2" t="s">
        <v>33</v>
      </c>
      <c r="R255" s="2" t="s">
        <v>1963</v>
      </c>
      <c r="S255" s="2" t="s">
        <v>1964</v>
      </c>
      <c r="T255" s="2" t="s">
        <v>1965</v>
      </c>
      <c r="U255" s="2" t="s">
        <v>1966</v>
      </c>
      <c r="V255" s="2" t="s">
        <v>621</v>
      </c>
    </row>
    <row r="256" spans="1:22">
      <c r="A256" s="2" t="s">
        <v>1969</v>
      </c>
      <c r="B256" s="2" t="s">
        <v>1956</v>
      </c>
      <c r="C256" s="2" t="s">
        <v>1957</v>
      </c>
      <c r="D256" s="2">
        <v>2025</v>
      </c>
      <c r="E256" s="3">
        <v>45778</v>
      </c>
      <c r="F256" s="2" t="s">
        <v>1958</v>
      </c>
      <c r="G256" s="2">
        <v>40</v>
      </c>
      <c r="H256" s="2">
        <v>4</v>
      </c>
      <c r="I256" s="2" t="s">
        <v>1959</v>
      </c>
      <c r="J256" s="2" t="s">
        <v>1960</v>
      </c>
      <c r="K256" s="2" t="s">
        <v>302</v>
      </c>
      <c r="L256" s="2" t="s">
        <v>29</v>
      </c>
      <c r="M256" s="2" t="s">
        <v>1362</v>
      </c>
      <c r="N256" s="2" t="s">
        <v>281</v>
      </c>
      <c r="O256" s="2" t="s">
        <v>1961</v>
      </c>
      <c r="P256" s="2" t="s">
        <v>1962</v>
      </c>
      <c r="Q256" s="2" t="s">
        <v>33</v>
      </c>
      <c r="R256" s="2" t="s">
        <v>1963</v>
      </c>
      <c r="S256" s="2" t="s">
        <v>1964</v>
      </c>
      <c r="T256" s="2" t="s">
        <v>1965</v>
      </c>
      <c r="U256" s="2" t="s">
        <v>1966</v>
      </c>
      <c r="V256" s="2" t="s">
        <v>621</v>
      </c>
    </row>
    <row r="257" spans="1:22">
      <c r="A257" s="2" t="s">
        <v>113</v>
      </c>
      <c r="B257" s="2" t="s">
        <v>1970</v>
      </c>
      <c r="C257" s="2" t="s">
        <v>1971</v>
      </c>
      <c r="D257" s="2">
        <v>2024</v>
      </c>
      <c r="E257" s="3">
        <v>45505</v>
      </c>
      <c r="F257" s="2" t="s">
        <v>1972</v>
      </c>
      <c r="G257" s="2">
        <v>50</v>
      </c>
      <c r="H257" s="2">
        <v>4</v>
      </c>
      <c r="I257" s="2" t="s">
        <v>1973</v>
      </c>
      <c r="J257" s="2" t="s">
        <v>1974</v>
      </c>
      <c r="K257" s="2" t="s">
        <v>1975</v>
      </c>
      <c r="L257" s="2" t="s">
        <v>29</v>
      </c>
      <c r="M257" s="2" t="s">
        <v>105</v>
      </c>
      <c r="N257" s="2" t="s">
        <v>1976</v>
      </c>
      <c r="O257" s="2" t="s">
        <v>1977</v>
      </c>
      <c r="P257" s="2" t="s">
        <v>1978</v>
      </c>
      <c r="Q257" s="2" t="s">
        <v>33</v>
      </c>
      <c r="R257" s="2" t="s">
        <v>1979</v>
      </c>
      <c r="S257" s="2" t="s">
        <v>1980</v>
      </c>
      <c r="T257" s="2" t="s">
        <v>1981</v>
      </c>
      <c r="U257" s="2" t="s">
        <v>1982</v>
      </c>
      <c r="V257" s="2" t="s">
        <v>1060</v>
      </c>
    </row>
    <row r="258" spans="1:22">
      <c r="A258" s="2" t="s">
        <v>1983</v>
      </c>
      <c r="B258" s="2" t="s">
        <v>1984</v>
      </c>
      <c r="C258" s="2" t="s">
        <v>1985</v>
      </c>
      <c r="D258" s="2">
        <v>2024</v>
      </c>
      <c r="E258" s="3">
        <v>45292</v>
      </c>
      <c r="F258" s="2" t="s">
        <v>181</v>
      </c>
      <c r="G258" s="2">
        <v>9</v>
      </c>
      <c r="H258" s="2" t="s">
        <v>43</v>
      </c>
      <c r="I258" s="2" t="s">
        <v>43</v>
      </c>
      <c r="J258" s="2" t="s">
        <v>182</v>
      </c>
      <c r="K258" s="2" t="s">
        <v>183</v>
      </c>
      <c r="L258" s="2" t="s">
        <v>29</v>
      </c>
      <c r="M258" s="2" t="s">
        <v>184</v>
      </c>
      <c r="N258" s="2" t="s">
        <v>145</v>
      </c>
      <c r="O258" s="2" t="s">
        <v>185</v>
      </c>
      <c r="P258" s="2" t="s">
        <v>1986</v>
      </c>
      <c r="Q258" s="2" t="s">
        <v>33</v>
      </c>
      <c r="R258" s="2" t="s">
        <v>1987</v>
      </c>
      <c r="S258" s="2" t="s">
        <v>1988</v>
      </c>
      <c r="T258" s="2" t="s">
        <v>1989</v>
      </c>
      <c r="U258" s="2" t="s">
        <v>1990</v>
      </c>
      <c r="V258" s="2" t="s">
        <v>80</v>
      </c>
    </row>
    <row r="259" spans="1:22">
      <c r="A259" s="2" t="s">
        <v>113</v>
      </c>
      <c r="B259" s="2" t="s">
        <v>1991</v>
      </c>
      <c r="C259" s="2" t="s">
        <v>1992</v>
      </c>
      <c r="D259" s="2">
        <v>2024</v>
      </c>
      <c r="E259" s="3">
        <v>45413</v>
      </c>
      <c r="F259" s="2" t="s">
        <v>1993</v>
      </c>
      <c r="G259" s="2">
        <v>51</v>
      </c>
      <c r="H259" s="2">
        <v>5</v>
      </c>
      <c r="I259" s="2" t="s">
        <v>1994</v>
      </c>
      <c r="J259" s="2" t="s">
        <v>1995</v>
      </c>
      <c r="K259" s="2" t="s">
        <v>119</v>
      </c>
      <c r="L259" s="2" t="s">
        <v>29</v>
      </c>
      <c r="M259" s="2" t="s">
        <v>1996</v>
      </c>
      <c r="N259" s="2" t="s">
        <v>464</v>
      </c>
      <c r="O259" s="4">
        <v>2543</v>
      </c>
      <c r="P259" s="2" t="s">
        <v>1997</v>
      </c>
      <c r="Q259" s="2" t="s">
        <v>33</v>
      </c>
      <c r="R259" s="2" t="s">
        <v>1998</v>
      </c>
      <c r="S259" s="2" t="s">
        <v>1999</v>
      </c>
      <c r="T259" s="2" t="s">
        <v>2000</v>
      </c>
      <c r="U259" s="2" t="s">
        <v>2001</v>
      </c>
      <c r="V259" s="2" t="s">
        <v>1213</v>
      </c>
    </row>
    <row r="260" spans="1:22">
      <c r="A260" s="2" t="s">
        <v>1282</v>
      </c>
      <c r="B260" s="2" t="s">
        <v>2002</v>
      </c>
      <c r="C260" s="2" t="s">
        <v>2003</v>
      </c>
      <c r="D260" s="2">
        <v>2024</v>
      </c>
      <c r="E260" s="3">
        <v>45536</v>
      </c>
      <c r="F260" s="2" t="s">
        <v>889</v>
      </c>
      <c r="G260" s="2">
        <v>13</v>
      </c>
      <c r="H260" s="2">
        <v>9</v>
      </c>
      <c r="I260" s="2" t="s">
        <v>43</v>
      </c>
      <c r="J260" s="2" t="s">
        <v>890</v>
      </c>
      <c r="K260" s="2" t="s">
        <v>61</v>
      </c>
      <c r="L260" s="2" t="s">
        <v>29</v>
      </c>
      <c r="M260" s="2" t="s">
        <v>891</v>
      </c>
      <c r="N260" s="2" t="s">
        <v>498</v>
      </c>
      <c r="O260" s="4">
        <v>1484</v>
      </c>
      <c r="P260" s="2" t="s">
        <v>2004</v>
      </c>
      <c r="Q260" s="2" t="s">
        <v>49</v>
      </c>
      <c r="R260" s="2" t="s">
        <v>2005</v>
      </c>
      <c r="S260" s="2" t="s">
        <v>1288</v>
      </c>
      <c r="T260" s="2" t="s">
        <v>1289</v>
      </c>
      <c r="U260" s="2" t="s">
        <v>1290</v>
      </c>
      <c r="V260" s="2" t="s">
        <v>80</v>
      </c>
    </row>
    <row r="261" spans="1:22">
      <c r="A261" s="2" t="s">
        <v>2006</v>
      </c>
      <c r="B261" s="2" t="s">
        <v>2007</v>
      </c>
      <c r="C261" s="2" t="s">
        <v>2008</v>
      </c>
      <c r="D261" s="2">
        <v>2024</v>
      </c>
      <c r="E261" s="3">
        <v>45292</v>
      </c>
      <c r="F261" s="2" t="s">
        <v>2009</v>
      </c>
      <c r="G261" s="2">
        <v>37</v>
      </c>
      <c r="H261" s="2">
        <v>7</v>
      </c>
      <c r="I261" s="2" t="s">
        <v>2010</v>
      </c>
      <c r="J261" s="2" t="s">
        <v>2011</v>
      </c>
      <c r="K261" s="2" t="s">
        <v>666</v>
      </c>
      <c r="L261" s="2" t="s">
        <v>29</v>
      </c>
      <c r="M261" s="2" t="s">
        <v>1487</v>
      </c>
      <c r="N261" s="2" t="s">
        <v>196</v>
      </c>
      <c r="O261" s="2" t="s">
        <v>2012</v>
      </c>
      <c r="P261" s="2" t="s">
        <v>2013</v>
      </c>
      <c r="Q261" s="2" t="s">
        <v>33</v>
      </c>
      <c r="R261" s="2" t="s">
        <v>2014</v>
      </c>
      <c r="S261" s="2" t="s">
        <v>2015</v>
      </c>
      <c r="T261" s="2" t="s">
        <v>2016</v>
      </c>
      <c r="U261" s="2" t="s">
        <v>2017</v>
      </c>
      <c r="V261" s="2" t="s">
        <v>80</v>
      </c>
    </row>
    <row r="262" spans="1:22">
      <c r="A262" s="2" t="s">
        <v>2018</v>
      </c>
      <c r="B262" s="2" t="s">
        <v>2019</v>
      </c>
      <c r="C262" s="2" t="s">
        <v>2020</v>
      </c>
      <c r="D262" s="2">
        <v>2025</v>
      </c>
      <c r="E262" s="3">
        <v>45658</v>
      </c>
      <c r="F262" s="2" t="s">
        <v>2021</v>
      </c>
      <c r="G262" s="2">
        <v>47</v>
      </c>
      <c r="H262" s="2">
        <v>17</v>
      </c>
      <c r="I262" s="2" t="s">
        <v>2022</v>
      </c>
      <c r="J262" s="2" t="s">
        <v>2023</v>
      </c>
      <c r="K262" s="2" t="s">
        <v>666</v>
      </c>
      <c r="L262" s="2" t="s">
        <v>29</v>
      </c>
      <c r="M262" s="2" t="s">
        <v>144</v>
      </c>
      <c r="N262" s="2" t="s">
        <v>293</v>
      </c>
      <c r="O262" s="2" t="s">
        <v>2024</v>
      </c>
      <c r="P262" s="2" t="s">
        <v>2025</v>
      </c>
      <c r="Q262" s="2" t="s">
        <v>33</v>
      </c>
      <c r="R262" s="2" t="s">
        <v>2026</v>
      </c>
      <c r="S262" s="2" t="s">
        <v>2027</v>
      </c>
      <c r="T262" s="2" t="s">
        <v>2028</v>
      </c>
      <c r="U262" s="2" t="s">
        <v>2029</v>
      </c>
      <c r="V262" s="2" t="s">
        <v>80</v>
      </c>
    </row>
    <row r="263" spans="1:22">
      <c r="A263" s="2" t="s">
        <v>164</v>
      </c>
      <c r="B263" s="2" t="s">
        <v>2030</v>
      </c>
      <c r="C263" s="2" t="s">
        <v>2031</v>
      </c>
      <c r="D263" s="2">
        <v>2025</v>
      </c>
      <c r="E263" s="3">
        <v>45778</v>
      </c>
      <c r="F263" s="2" t="s">
        <v>1877</v>
      </c>
      <c r="G263" s="2">
        <v>82</v>
      </c>
      <c r="H263" s="2" t="s">
        <v>43</v>
      </c>
      <c r="I263" s="2" t="s">
        <v>43</v>
      </c>
      <c r="J263" s="2" t="s">
        <v>1878</v>
      </c>
      <c r="K263" s="2" t="s">
        <v>103</v>
      </c>
      <c r="L263" s="2" t="s">
        <v>29</v>
      </c>
      <c r="M263" s="2" t="s">
        <v>1879</v>
      </c>
      <c r="N263" s="2" t="s">
        <v>171</v>
      </c>
      <c r="O263" s="4">
        <v>4059</v>
      </c>
      <c r="P263" s="2" t="s">
        <v>2032</v>
      </c>
      <c r="Q263" s="2" t="s">
        <v>33</v>
      </c>
      <c r="R263" s="2" t="s">
        <v>2033</v>
      </c>
      <c r="S263" s="2" t="s">
        <v>2034</v>
      </c>
      <c r="T263" s="2" t="s">
        <v>2035</v>
      </c>
      <c r="U263" s="2" t="s">
        <v>2036</v>
      </c>
      <c r="V263" s="2" t="s">
        <v>2037</v>
      </c>
    </row>
    <row r="264" spans="1:22" ht="28.8">
      <c r="A264" s="2" t="s">
        <v>560</v>
      </c>
      <c r="B264" s="2" t="s">
        <v>2038</v>
      </c>
      <c r="C264" s="2" t="s">
        <v>2039</v>
      </c>
      <c r="D264" s="2">
        <v>2025</v>
      </c>
      <c r="E264" s="3">
        <v>45658</v>
      </c>
      <c r="F264" s="2" t="s">
        <v>1372</v>
      </c>
      <c r="G264" s="2">
        <v>13</v>
      </c>
      <c r="H264" s="2" t="s">
        <v>43</v>
      </c>
      <c r="I264" s="2" t="s">
        <v>43</v>
      </c>
      <c r="J264" s="2" t="s">
        <v>1373</v>
      </c>
      <c r="K264" s="2" t="s">
        <v>183</v>
      </c>
      <c r="L264" s="2" t="s">
        <v>29</v>
      </c>
      <c r="M264" s="2" t="s">
        <v>2040</v>
      </c>
      <c r="N264" s="2" t="s">
        <v>1520</v>
      </c>
      <c r="O264" s="2" t="s">
        <v>2041</v>
      </c>
      <c r="P264" s="2" t="s">
        <v>2042</v>
      </c>
      <c r="Q264" s="2" t="s">
        <v>33</v>
      </c>
      <c r="R264" s="2" t="s">
        <v>2043</v>
      </c>
      <c r="S264" s="2" t="s">
        <v>409</v>
      </c>
      <c r="T264" s="2" t="s">
        <v>2044</v>
      </c>
      <c r="U264" s="2" t="s">
        <v>2045</v>
      </c>
      <c r="V264" s="2" t="s">
        <v>80</v>
      </c>
    </row>
    <row r="265" spans="1:22">
      <c r="A265" s="2" t="s">
        <v>2046</v>
      </c>
      <c r="B265" s="2" t="s">
        <v>2047</v>
      </c>
      <c r="C265" s="2" t="s">
        <v>2048</v>
      </c>
      <c r="D265" s="2">
        <v>2024</v>
      </c>
      <c r="E265" s="3">
        <v>45383</v>
      </c>
      <c r="F265" s="2" t="s">
        <v>2049</v>
      </c>
      <c r="G265" s="2">
        <v>20</v>
      </c>
      <c r="H265" s="2">
        <v>2</v>
      </c>
      <c r="I265" s="2" t="s">
        <v>2050</v>
      </c>
      <c r="J265" s="2" t="s">
        <v>2051</v>
      </c>
      <c r="K265" s="2" t="s">
        <v>119</v>
      </c>
      <c r="L265" s="2" t="s">
        <v>29</v>
      </c>
      <c r="M265" s="2" t="s">
        <v>2052</v>
      </c>
      <c r="N265" s="2" t="s">
        <v>2053</v>
      </c>
      <c r="O265" s="2" t="s">
        <v>2054</v>
      </c>
      <c r="P265" s="2" t="s">
        <v>2055</v>
      </c>
      <c r="Q265" s="2" t="s">
        <v>33</v>
      </c>
      <c r="R265" s="2" t="s">
        <v>2056</v>
      </c>
      <c r="S265" s="2" t="s">
        <v>2057</v>
      </c>
      <c r="T265" s="2" t="s">
        <v>2058</v>
      </c>
      <c r="U265" s="2" t="s">
        <v>2059</v>
      </c>
      <c r="V265" s="2" t="s">
        <v>80</v>
      </c>
    </row>
    <row r="266" spans="1:22" ht="28.8">
      <c r="A266" s="2" t="s">
        <v>2060</v>
      </c>
      <c r="B266" s="2" t="s">
        <v>2061</v>
      </c>
      <c r="C266" s="2" t="s">
        <v>2062</v>
      </c>
      <c r="D266" s="2">
        <v>2024</v>
      </c>
      <c r="E266" s="3">
        <v>45292</v>
      </c>
      <c r="F266" s="2" t="s">
        <v>2063</v>
      </c>
      <c r="G266" s="2">
        <v>40</v>
      </c>
      <c r="H266" s="2">
        <v>3</v>
      </c>
      <c r="I266" s="2" t="s">
        <v>2064</v>
      </c>
      <c r="J266" s="2" t="s">
        <v>2065</v>
      </c>
      <c r="K266" s="2" t="s">
        <v>1134</v>
      </c>
      <c r="L266" s="2" t="s">
        <v>29</v>
      </c>
      <c r="M266" s="2" t="s">
        <v>184</v>
      </c>
      <c r="N266" s="2" t="s">
        <v>2066</v>
      </c>
      <c r="O266" s="2" t="s">
        <v>2067</v>
      </c>
      <c r="P266" s="2" t="s">
        <v>2068</v>
      </c>
      <c r="Q266" s="2" t="s">
        <v>33</v>
      </c>
      <c r="R266" s="2" t="s">
        <v>2069</v>
      </c>
      <c r="S266" s="2" t="s">
        <v>2070</v>
      </c>
      <c r="T266" s="2" t="s">
        <v>2071</v>
      </c>
      <c r="U266" s="2" t="s">
        <v>2072</v>
      </c>
      <c r="V266" s="2" t="s">
        <v>621</v>
      </c>
    </row>
    <row r="267" spans="1:22" ht="28.8">
      <c r="A267" s="2" t="s">
        <v>276</v>
      </c>
      <c r="B267" s="2" t="s">
        <v>2073</v>
      </c>
      <c r="C267" s="2" t="s">
        <v>2074</v>
      </c>
      <c r="D267" s="2">
        <v>2024</v>
      </c>
      <c r="E267" s="3">
        <v>45627</v>
      </c>
      <c r="F267" s="2" t="s">
        <v>849</v>
      </c>
      <c r="G267" s="2">
        <v>46</v>
      </c>
      <c r="H267" s="2">
        <v>12</v>
      </c>
      <c r="I267" s="2" t="s">
        <v>2075</v>
      </c>
      <c r="J267" s="2" t="s">
        <v>851</v>
      </c>
      <c r="K267" s="2" t="s">
        <v>852</v>
      </c>
      <c r="L267" s="2" t="s">
        <v>29</v>
      </c>
      <c r="M267" s="2" t="s">
        <v>853</v>
      </c>
      <c r="N267" s="2" t="s">
        <v>854</v>
      </c>
      <c r="O267" s="2" t="s">
        <v>855</v>
      </c>
      <c r="P267" s="2" t="s">
        <v>2076</v>
      </c>
      <c r="Q267" s="2" t="s">
        <v>33</v>
      </c>
      <c r="R267" s="2" t="s">
        <v>2077</v>
      </c>
      <c r="S267" s="2" t="s">
        <v>2078</v>
      </c>
      <c r="T267" s="2" t="s">
        <v>2079</v>
      </c>
      <c r="U267" s="2" t="s">
        <v>2080</v>
      </c>
      <c r="V267" s="2" t="s">
        <v>2081</v>
      </c>
    </row>
    <row r="268" spans="1:22">
      <c r="A268" s="2" t="s">
        <v>422</v>
      </c>
      <c r="B268" s="2" t="s">
        <v>2082</v>
      </c>
      <c r="C268" s="2" t="s">
        <v>424</v>
      </c>
      <c r="D268" s="2">
        <v>2024</v>
      </c>
      <c r="E268" s="3">
        <v>45292</v>
      </c>
      <c r="F268" s="2" t="s">
        <v>2083</v>
      </c>
      <c r="G268" s="2">
        <v>119</v>
      </c>
      <c r="H268" s="2" t="s">
        <v>43</v>
      </c>
      <c r="I268" s="2" t="s">
        <v>2084</v>
      </c>
      <c r="J268" s="2" t="s">
        <v>2085</v>
      </c>
      <c r="K268" s="2" t="s">
        <v>1572</v>
      </c>
      <c r="L268" s="2" t="s">
        <v>29</v>
      </c>
      <c r="M268" s="2" t="s">
        <v>1306</v>
      </c>
      <c r="N268" s="2" t="s">
        <v>63</v>
      </c>
      <c r="O268" s="2" t="s">
        <v>2086</v>
      </c>
      <c r="P268" s="2" t="s">
        <v>2087</v>
      </c>
      <c r="Q268" s="2" t="s">
        <v>1125</v>
      </c>
      <c r="R268" s="2" t="s">
        <v>2088</v>
      </c>
      <c r="S268" s="2" t="s">
        <v>79</v>
      </c>
      <c r="T268" s="5">
        <v>601053680000000</v>
      </c>
      <c r="U268" s="2" t="s">
        <v>79</v>
      </c>
      <c r="V268" s="2" t="s">
        <v>80</v>
      </c>
    </row>
    <row r="269" spans="1:22">
      <c r="A269" s="2" t="s">
        <v>1619</v>
      </c>
      <c r="B269" s="2" t="s">
        <v>2089</v>
      </c>
      <c r="C269" s="2" t="s">
        <v>2090</v>
      </c>
      <c r="D269" s="2">
        <v>2025</v>
      </c>
      <c r="E269" s="3">
        <v>45658</v>
      </c>
      <c r="F269" s="2" t="s">
        <v>2091</v>
      </c>
      <c r="G269" s="2">
        <v>13</v>
      </c>
      <c r="H269" s="2">
        <v>1</v>
      </c>
      <c r="I269" s="2" t="s">
        <v>43</v>
      </c>
      <c r="J269" s="2" t="s">
        <v>2092</v>
      </c>
      <c r="K269" s="2" t="s">
        <v>61</v>
      </c>
      <c r="L269" s="2" t="s">
        <v>29</v>
      </c>
      <c r="M269" s="2" t="s">
        <v>439</v>
      </c>
      <c r="N269" s="2" t="s">
        <v>196</v>
      </c>
      <c r="O269" s="2" t="s">
        <v>2093</v>
      </c>
      <c r="P269" s="2" t="s">
        <v>2094</v>
      </c>
      <c r="Q269" s="2" t="s">
        <v>33</v>
      </c>
      <c r="R269" s="2" t="s">
        <v>2095</v>
      </c>
      <c r="S269" s="2" t="s">
        <v>2096</v>
      </c>
      <c r="T269" s="2" t="s">
        <v>2097</v>
      </c>
      <c r="U269" s="2" t="s">
        <v>2098</v>
      </c>
      <c r="V269" s="2" t="s">
        <v>80</v>
      </c>
    </row>
    <row r="270" spans="1:22">
      <c r="A270" s="2" t="s">
        <v>2099</v>
      </c>
      <c r="B270" s="2" t="s">
        <v>2089</v>
      </c>
      <c r="C270" s="2" t="s">
        <v>2090</v>
      </c>
      <c r="D270" s="2">
        <v>2025</v>
      </c>
      <c r="E270" s="3">
        <v>45658</v>
      </c>
      <c r="F270" s="2" t="s">
        <v>2091</v>
      </c>
      <c r="G270" s="2">
        <v>13</v>
      </c>
      <c r="H270" s="2">
        <v>1</v>
      </c>
      <c r="I270" s="2" t="s">
        <v>43</v>
      </c>
      <c r="J270" s="2" t="s">
        <v>2092</v>
      </c>
      <c r="K270" s="2" t="s">
        <v>61</v>
      </c>
      <c r="L270" s="2" t="s">
        <v>29</v>
      </c>
      <c r="M270" s="2" t="s">
        <v>439</v>
      </c>
      <c r="N270" s="2" t="s">
        <v>196</v>
      </c>
      <c r="O270" s="2" t="s">
        <v>2093</v>
      </c>
      <c r="P270" s="2" t="s">
        <v>2094</v>
      </c>
      <c r="Q270" s="2" t="s">
        <v>33</v>
      </c>
      <c r="R270" s="2" t="s">
        <v>2095</v>
      </c>
      <c r="S270" s="2" t="s">
        <v>2096</v>
      </c>
      <c r="T270" s="2" t="s">
        <v>2097</v>
      </c>
      <c r="U270" s="2" t="s">
        <v>2098</v>
      </c>
      <c r="V270" s="2" t="s">
        <v>80</v>
      </c>
    </row>
    <row r="271" spans="1:22">
      <c r="A271" s="2" t="s">
        <v>2100</v>
      </c>
      <c r="B271" s="2" t="s">
        <v>2089</v>
      </c>
      <c r="C271" s="2" t="s">
        <v>2090</v>
      </c>
      <c r="D271" s="2">
        <v>2025</v>
      </c>
      <c r="E271" s="3">
        <v>45658</v>
      </c>
      <c r="F271" s="2" t="s">
        <v>2091</v>
      </c>
      <c r="G271" s="2">
        <v>13</v>
      </c>
      <c r="H271" s="2">
        <v>1</v>
      </c>
      <c r="I271" s="2" t="s">
        <v>43</v>
      </c>
      <c r="J271" s="2" t="s">
        <v>2092</v>
      </c>
      <c r="K271" s="2" t="s">
        <v>61</v>
      </c>
      <c r="L271" s="2" t="s">
        <v>29</v>
      </c>
      <c r="M271" s="2" t="s">
        <v>439</v>
      </c>
      <c r="N271" s="2" t="s">
        <v>196</v>
      </c>
      <c r="O271" s="2" t="s">
        <v>2093</v>
      </c>
      <c r="P271" s="2" t="s">
        <v>2094</v>
      </c>
      <c r="Q271" s="2" t="s">
        <v>33</v>
      </c>
      <c r="R271" s="2" t="s">
        <v>2095</v>
      </c>
      <c r="S271" s="2" t="s">
        <v>2096</v>
      </c>
      <c r="T271" s="2" t="s">
        <v>2097</v>
      </c>
      <c r="U271" s="2" t="s">
        <v>2098</v>
      </c>
      <c r="V271" s="2" t="s">
        <v>80</v>
      </c>
    </row>
    <row r="272" spans="1:22">
      <c r="A272" s="2" t="s">
        <v>276</v>
      </c>
      <c r="B272" s="2" t="s">
        <v>2101</v>
      </c>
      <c r="C272" s="2" t="s">
        <v>2102</v>
      </c>
      <c r="D272" s="2">
        <v>2024</v>
      </c>
      <c r="E272" s="3">
        <v>45474</v>
      </c>
      <c r="F272" s="2" t="s">
        <v>1193</v>
      </c>
      <c r="G272" s="2">
        <v>17</v>
      </c>
      <c r="H272" s="2">
        <v>7</v>
      </c>
      <c r="I272" s="2" t="s">
        <v>43</v>
      </c>
      <c r="J272" s="2" t="s">
        <v>1194</v>
      </c>
      <c r="K272" s="2" t="s">
        <v>61</v>
      </c>
      <c r="L272" s="2" t="s">
        <v>29</v>
      </c>
      <c r="M272" s="2" t="s">
        <v>330</v>
      </c>
      <c r="N272" s="2" t="s">
        <v>1581</v>
      </c>
      <c r="O272" s="4">
        <v>1019</v>
      </c>
      <c r="P272" s="2" t="s">
        <v>2103</v>
      </c>
      <c r="Q272" s="2" t="s">
        <v>49</v>
      </c>
      <c r="R272" s="2" t="s">
        <v>2104</v>
      </c>
      <c r="S272" s="2" t="s">
        <v>284</v>
      </c>
      <c r="T272" s="2" t="s">
        <v>285</v>
      </c>
      <c r="U272" s="2" t="s">
        <v>286</v>
      </c>
      <c r="V272" s="2" t="s">
        <v>287</v>
      </c>
    </row>
    <row r="273" spans="1:22">
      <c r="A273" s="2" t="s">
        <v>2099</v>
      </c>
      <c r="B273" s="2" t="s">
        <v>2105</v>
      </c>
      <c r="C273" s="2" t="s">
        <v>2106</v>
      </c>
      <c r="D273" s="2">
        <v>2024</v>
      </c>
      <c r="E273" s="3">
        <v>45292</v>
      </c>
      <c r="F273" s="2" t="s">
        <v>2107</v>
      </c>
      <c r="G273" s="2">
        <v>242</v>
      </c>
      <c r="H273" s="2" t="s">
        <v>43</v>
      </c>
      <c r="I273" s="2" t="s">
        <v>2108</v>
      </c>
      <c r="J273" s="2" t="s">
        <v>2109</v>
      </c>
      <c r="K273" s="2" t="s">
        <v>103</v>
      </c>
      <c r="L273" s="2" t="s">
        <v>29</v>
      </c>
      <c r="M273" s="2" t="s">
        <v>2110</v>
      </c>
      <c r="N273" s="2" t="s">
        <v>1136</v>
      </c>
      <c r="O273" s="2" t="s">
        <v>43</v>
      </c>
      <c r="P273" s="2" t="s">
        <v>2111</v>
      </c>
      <c r="Q273" s="2" t="s">
        <v>2112</v>
      </c>
      <c r="R273" s="2" t="s">
        <v>2113</v>
      </c>
      <c r="S273" s="2" t="s">
        <v>79</v>
      </c>
      <c r="T273" s="2" t="s">
        <v>2114</v>
      </c>
      <c r="U273" s="2" t="s">
        <v>2115</v>
      </c>
      <c r="V273" s="2" t="s">
        <v>80</v>
      </c>
    </row>
    <row r="274" spans="1:22" ht="28.8">
      <c r="A274" s="2" t="s">
        <v>22</v>
      </c>
      <c r="B274" s="2" t="s">
        <v>2116</v>
      </c>
      <c r="C274" s="2" t="s">
        <v>2117</v>
      </c>
      <c r="D274" s="2">
        <v>2025</v>
      </c>
      <c r="E274" s="3">
        <v>45992</v>
      </c>
      <c r="F274" s="2" t="s">
        <v>1399</v>
      </c>
      <c r="G274" s="2">
        <v>125</v>
      </c>
      <c r="H274" s="2">
        <v>12</v>
      </c>
      <c r="I274" s="2" t="s">
        <v>2118</v>
      </c>
      <c r="J274" s="2" t="s">
        <v>1401</v>
      </c>
      <c r="K274" s="2" t="s">
        <v>718</v>
      </c>
      <c r="L274" s="2" t="s">
        <v>29</v>
      </c>
      <c r="M274" s="2" t="s">
        <v>2119</v>
      </c>
      <c r="N274" s="2" t="s">
        <v>961</v>
      </c>
      <c r="O274" s="2" t="s">
        <v>2120</v>
      </c>
      <c r="P274" s="2" t="s">
        <v>2121</v>
      </c>
      <c r="Q274" s="2" t="s">
        <v>49</v>
      </c>
      <c r="R274" s="2" t="s">
        <v>2122</v>
      </c>
      <c r="S274" s="2" t="s">
        <v>2123</v>
      </c>
      <c r="T274" s="2" t="s">
        <v>2124</v>
      </c>
      <c r="U274" s="2" t="s">
        <v>2125</v>
      </c>
      <c r="V274" s="2" t="s">
        <v>2126</v>
      </c>
    </row>
    <row r="275" spans="1:22" ht="28.8">
      <c r="A275" s="2" t="s">
        <v>276</v>
      </c>
      <c r="B275" s="2" t="s">
        <v>2127</v>
      </c>
      <c r="C275" s="2" t="s">
        <v>2128</v>
      </c>
      <c r="D275" s="2">
        <v>2025</v>
      </c>
      <c r="E275" s="3">
        <v>45748</v>
      </c>
      <c r="F275" s="2" t="s">
        <v>2129</v>
      </c>
      <c r="G275" s="2">
        <v>61</v>
      </c>
      <c r="H275" s="2">
        <v>4</v>
      </c>
      <c r="I275" s="2" t="s">
        <v>43</v>
      </c>
      <c r="J275" s="2" t="s">
        <v>2130</v>
      </c>
      <c r="K275" s="2" t="s">
        <v>61</v>
      </c>
      <c r="L275" s="2" t="s">
        <v>29</v>
      </c>
      <c r="M275" s="2" t="s">
        <v>2131</v>
      </c>
      <c r="N275" s="2" t="s">
        <v>234</v>
      </c>
      <c r="O275" s="2" t="s">
        <v>1649</v>
      </c>
      <c r="P275" s="2" t="s">
        <v>2132</v>
      </c>
      <c r="Q275" s="2" t="s">
        <v>49</v>
      </c>
      <c r="R275" s="2" t="s">
        <v>2133</v>
      </c>
      <c r="S275" s="2" t="s">
        <v>2134</v>
      </c>
      <c r="T275" s="2" t="s">
        <v>2135</v>
      </c>
      <c r="U275" s="2" t="s">
        <v>2136</v>
      </c>
      <c r="V275" s="2" t="s">
        <v>2137</v>
      </c>
    </row>
    <row r="276" spans="1:22">
      <c r="A276" s="2" t="s">
        <v>1644</v>
      </c>
      <c r="B276" s="2" t="s">
        <v>2138</v>
      </c>
      <c r="C276" s="2" t="s">
        <v>2139</v>
      </c>
      <c r="D276" s="2">
        <v>2024</v>
      </c>
      <c r="E276" s="3">
        <v>45627</v>
      </c>
      <c r="F276" s="2" t="s">
        <v>2140</v>
      </c>
      <c r="G276" s="2">
        <v>32</v>
      </c>
      <c r="H276" s="2">
        <v>4</v>
      </c>
      <c r="I276" s="2" t="s">
        <v>2141</v>
      </c>
      <c r="J276" s="2" t="s">
        <v>2142</v>
      </c>
      <c r="K276" s="2" t="s">
        <v>718</v>
      </c>
      <c r="L276" s="2" t="s">
        <v>29</v>
      </c>
      <c r="M276" s="2" t="s">
        <v>2143</v>
      </c>
      <c r="N276" s="2" t="s">
        <v>2144</v>
      </c>
      <c r="O276" s="2" t="s">
        <v>2145</v>
      </c>
      <c r="P276" s="2" t="s">
        <v>2146</v>
      </c>
      <c r="Q276" s="2" t="s">
        <v>33</v>
      </c>
      <c r="R276" s="2" t="s">
        <v>2147</v>
      </c>
      <c r="S276" s="2" t="s">
        <v>2148</v>
      </c>
      <c r="T276" s="2" t="s">
        <v>2149</v>
      </c>
      <c r="U276" s="2" t="s">
        <v>2148</v>
      </c>
      <c r="V276" s="2" t="s">
        <v>1249</v>
      </c>
    </row>
    <row r="277" spans="1:22" ht="28.8">
      <c r="A277" s="2" t="s">
        <v>622</v>
      </c>
      <c r="B277" s="2" t="s">
        <v>2150</v>
      </c>
      <c r="C277" s="2" t="s">
        <v>2151</v>
      </c>
      <c r="D277" s="2">
        <v>2025</v>
      </c>
      <c r="E277" s="3">
        <v>45992</v>
      </c>
      <c r="F277" s="2" t="s">
        <v>2152</v>
      </c>
      <c r="G277" s="2">
        <v>5</v>
      </c>
      <c r="H277" s="2">
        <v>1</v>
      </c>
      <c r="I277" s="2" t="s">
        <v>43</v>
      </c>
      <c r="J277" s="2" t="s">
        <v>2153</v>
      </c>
      <c r="K277" s="2" t="s">
        <v>2154</v>
      </c>
      <c r="L277" s="2" t="s">
        <v>29</v>
      </c>
      <c r="M277" s="2" t="s">
        <v>2155</v>
      </c>
      <c r="N277" s="2" t="s">
        <v>2156</v>
      </c>
      <c r="O277" s="2" t="s">
        <v>2157</v>
      </c>
      <c r="P277" s="2" t="s">
        <v>2158</v>
      </c>
      <c r="Q277" s="2" t="s">
        <v>49</v>
      </c>
      <c r="R277" s="2" t="s">
        <v>2159</v>
      </c>
      <c r="S277" s="2" t="s">
        <v>2160</v>
      </c>
      <c r="T277" s="2" t="s">
        <v>2161</v>
      </c>
      <c r="U277" s="2" t="s">
        <v>2162</v>
      </c>
      <c r="V277" s="2" t="s">
        <v>2163</v>
      </c>
    </row>
    <row r="278" spans="1:22">
      <c r="A278" s="2" t="s">
        <v>383</v>
      </c>
      <c r="B278" s="2" t="s">
        <v>2164</v>
      </c>
      <c r="C278" s="2" t="s">
        <v>2165</v>
      </c>
      <c r="D278" s="2">
        <v>2025</v>
      </c>
      <c r="E278" s="3">
        <v>45931</v>
      </c>
      <c r="F278" s="2" t="s">
        <v>2166</v>
      </c>
      <c r="G278" s="2">
        <v>72</v>
      </c>
      <c r="H278" s="2" t="s">
        <v>43</v>
      </c>
      <c r="I278" s="2" t="s">
        <v>43</v>
      </c>
      <c r="J278" s="2" t="s">
        <v>2167</v>
      </c>
      <c r="K278" s="2" t="s">
        <v>45</v>
      </c>
      <c r="L278" s="2" t="s">
        <v>29</v>
      </c>
      <c r="M278" s="2" t="s">
        <v>247</v>
      </c>
      <c r="N278" s="2" t="s">
        <v>807</v>
      </c>
      <c r="O278" s="4">
        <v>1119</v>
      </c>
      <c r="P278" s="2" t="s">
        <v>2168</v>
      </c>
      <c r="Q278" s="2" t="s">
        <v>33</v>
      </c>
      <c r="R278" s="2" t="s">
        <v>2169</v>
      </c>
      <c r="S278" s="2" t="s">
        <v>682</v>
      </c>
      <c r="T278" s="2" t="s">
        <v>2170</v>
      </c>
      <c r="U278" s="2" t="s">
        <v>2171</v>
      </c>
      <c r="V278" s="2" t="s">
        <v>80</v>
      </c>
    </row>
    <row r="279" spans="1:22">
      <c r="A279" s="2" t="s">
        <v>2172</v>
      </c>
      <c r="B279" s="2" t="s">
        <v>2164</v>
      </c>
      <c r="C279" s="2" t="s">
        <v>2165</v>
      </c>
      <c r="D279" s="2">
        <v>2025</v>
      </c>
      <c r="E279" s="3">
        <v>45931</v>
      </c>
      <c r="F279" s="2" t="s">
        <v>2166</v>
      </c>
      <c r="G279" s="2">
        <v>72</v>
      </c>
      <c r="H279" s="2" t="s">
        <v>43</v>
      </c>
      <c r="I279" s="2" t="s">
        <v>43</v>
      </c>
      <c r="J279" s="2" t="s">
        <v>2167</v>
      </c>
      <c r="K279" s="2" t="s">
        <v>45</v>
      </c>
      <c r="L279" s="2" t="s">
        <v>29</v>
      </c>
      <c r="M279" s="2" t="s">
        <v>247</v>
      </c>
      <c r="N279" s="2" t="s">
        <v>807</v>
      </c>
      <c r="O279" s="4">
        <v>1119</v>
      </c>
      <c r="P279" s="2" t="s">
        <v>2168</v>
      </c>
      <c r="Q279" s="2" t="s">
        <v>33</v>
      </c>
      <c r="R279" s="2" t="s">
        <v>2169</v>
      </c>
      <c r="S279" s="2" t="s">
        <v>682</v>
      </c>
      <c r="T279" s="2" t="s">
        <v>2170</v>
      </c>
      <c r="U279" s="2" t="s">
        <v>2171</v>
      </c>
      <c r="V279" s="2" t="s">
        <v>80</v>
      </c>
    </row>
    <row r="280" spans="1:22">
      <c r="A280" s="2" t="s">
        <v>965</v>
      </c>
      <c r="B280" s="2" t="s">
        <v>2164</v>
      </c>
      <c r="C280" s="2" t="s">
        <v>2165</v>
      </c>
      <c r="D280" s="2">
        <v>2025</v>
      </c>
      <c r="E280" s="3">
        <v>45931</v>
      </c>
      <c r="F280" s="2" t="s">
        <v>2166</v>
      </c>
      <c r="G280" s="2">
        <v>72</v>
      </c>
      <c r="H280" s="2" t="s">
        <v>43</v>
      </c>
      <c r="I280" s="2" t="s">
        <v>43</v>
      </c>
      <c r="J280" s="2" t="s">
        <v>2167</v>
      </c>
      <c r="K280" s="2" t="s">
        <v>45</v>
      </c>
      <c r="L280" s="2" t="s">
        <v>29</v>
      </c>
      <c r="M280" s="2" t="s">
        <v>247</v>
      </c>
      <c r="N280" s="2" t="s">
        <v>807</v>
      </c>
      <c r="O280" s="4">
        <v>1119</v>
      </c>
      <c r="P280" s="2" t="s">
        <v>2168</v>
      </c>
      <c r="Q280" s="2" t="s">
        <v>33</v>
      </c>
      <c r="R280" s="2" t="s">
        <v>2169</v>
      </c>
      <c r="S280" s="2" t="s">
        <v>682</v>
      </c>
      <c r="T280" s="2" t="s">
        <v>2170</v>
      </c>
      <c r="U280" s="2" t="s">
        <v>2171</v>
      </c>
      <c r="V280" s="2" t="s">
        <v>80</v>
      </c>
    </row>
    <row r="281" spans="1:22">
      <c r="A281" s="2" t="s">
        <v>385</v>
      </c>
      <c r="B281" s="2" t="s">
        <v>2164</v>
      </c>
      <c r="C281" s="2" t="s">
        <v>2165</v>
      </c>
      <c r="D281" s="2">
        <v>2025</v>
      </c>
      <c r="E281" s="3">
        <v>45931</v>
      </c>
      <c r="F281" s="2" t="s">
        <v>2166</v>
      </c>
      <c r="G281" s="2">
        <v>72</v>
      </c>
      <c r="H281" s="2" t="s">
        <v>43</v>
      </c>
      <c r="I281" s="2" t="s">
        <v>43</v>
      </c>
      <c r="J281" s="2" t="s">
        <v>2167</v>
      </c>
      <c r="K281" s="2" t="s">
        <v>45</v>
      </c>
      <c r="L281" s="2" t="s">
        <v>29</v>
      </c>
      <c r="M281" s="2" t="s">
        <v>247</v>
      </c>
      <c r="N281" s="2" t="s">
        <v>807</v>
      </c>
      <c r="O281" s="4">
        <v>1119</v>
      </c>
      <c r="P281" s="2" t="s">
        <v>2168</v>
      </c>
      <c r="Q281" s="2" t="s">
        <v>33</v>
      </c>
      <c r="R281" s="2" t="s">
        <v>2169</v>
      </c>
      <c r="S281" s="2" t="s">
        <v>682</v>
      </c>
      <c r="T281" s="2" t="s">
        <v>2170</v>
      </c>
      <c r="U281" s="2" t="s">
        <v>2171</v>
      </c>
      <c r="V281" s="2" t="s">
        <v>80</v>
      </c>
    </row>
    <row r="282" spans="1:22">
      <c r="A282" s="2" t="s">
        <v>622</v>
      </c>
      <c r="B282" s="2" t="s">
        <v>2173</v>
      </c>
      <c r="C282" s="2" t="s">
        <v>2174</v>
      </c>
      <c r="D282" s="2">
        <v>2025</v>
      </c>
      <c r="E282" s="3">
        <v>45809</v>
      </c>
      <c r="F282" s="2" t="s">
        <v>2175</v>
      </c>
      <c r="G282" s="2">
        <v>6</v>
      </c>
      <c r="H282" s="2">
        <v>2</v>
      </c>
      <c r="I282" s="2" t="s">
        <v>43</v>
      </c>
      <c r="J282" s="2" t="s">
        <v>2176</v>
      </c>
      <c r="K282" s="2" t="s">
        <v>61</v>
      </c>
      <c r="L282" s="2" t="s">
        <v>29</v>
      </c>
      <c r="M282" s="2" t="s">
        <v>2177</v>
      </c>
      <c r="N282" s="2" t="s">
        <v>2178</v>
      </c>
      <c r="O282" s="2" t="s">
        <v>2179</v>
      </c>
      <c r="P282" s="2" t="s">
        <v>2180</v>
      </c>
      <c r="Q282" s="2" t="s">
        <v>49</v>
      </c>
      <c r="R282" s="2" t="s">
        <v>2181</v>
      </c>
      <c r="S282" s="2" t="s">
        <v>2182</v>
      </c>
      <c r="T282" s="2" t="s">
        <v>2183</v>
      </c>
      <c r="U282" s="2" t="s">
        <v>2184</v>
      </c>
      <c r="V282" s="2" t="s">
        <v>80</v>
      </c>
    </row>
    <row r="283" spans="1:22" ht="28.8">
      <c r="A283" s="2" t="s">
        <v>2185</v>
      </c>
      <c r="B283" s="2" t="s">
        <v>2186</v>
      </c>
      <c r="C283" s="2" t="s">
        <v>2187</v>
      </c>
      <c r="D283" s="2">
        <v>2025</v>
      </c>
      <c r="E283" s="3">
        <v>45992</v>
      </c>
      <c r="F283" s="2" t="s">
        <v>2188</v>
      </c>
      <c r="G283" s="2">
        <v>102</v>
      </c>
      <c r="H283" s="2" t="s">
        <v>43</v>
      </c>
      <c r="I283" s="2" t="s">
        <v>43</v>
      </c>
      <c r="J283" s="2" t="s">
        <v>2189</v>
      </c>
      <c r="K283" s="2" t="s">
        <v>2190</v>
      </c>
      <c r="L283" s="2" t="s">
        <v>29</v>
      </c>
      <c r="M283" s="2" t="s">
        <v>2191</v>
      </c>
      <c r="N283" s="2" t="s">
        <v>348</v>
      </c>
      <c r="O283" s="4">
        <v>2918</v>
      </c>
      <c r="P283" s="2" t="s">
        <v>2192</v>
      </c>
      <c r="Q283" s="2" t="s">
        <v>33</v>
      </c>
      <c r="R283" s="2" t="s">
        <v>2193</v>
      </c>
      <c r="S283" s="2" t="s">
        <v>2194</v>
      </c>
      <c r="T283" s="2" t="s">
        <v>2195</v>
      </c>
      <c r="U283" s="2" t="s">
        <v>2196</v>
      </c>
      <c r="V283" s="2" t="s">
        <v>177</v>
      </c>
    </row>
    <row r="284" spans="1:22">
      <c r="A284" s="2" t="s">
        <v>790</v>
      </c>
      <c r="B284" s="2" t="s">
        <v>2197</v>
      </c>
      <c r="C284" s="2" t="s">
        <v>2198</v>
      </c>
      <c r="D284" s="2">
        <v>2024</v>
      </c>
      <c r="E284" s="3">
        <v>45536</v>
      </c>
      <c r="F284" s="2" t="s">
        <v>2199</v>
      </c>
      <c r="G284" s="2" t="s">
        <v>43</v>
      </c>
      <c r="H284" s="2">
        <v>80</v>
      </c>
      <c r="I284" s="2" t="s">
        <v>2200</v>
      </c>
      <c r="J284" s="2" t="s">
        <v>2201</v>
      </c>
      <c r="K284" s="2" t="s">
        <v>2202</v>
      </c>
      <c r="L284" s="2" t="s">
        <v>1867</v>
      </c>
      <c r="M284" s="2" t="s">
        <v>2203</v>
      </c>
      <c r="N284" s="2" t="s">
        <v>1136</v>
      </c>
      <c r="O284" s="2" t="s">
        <v>2204</v>
      </c>
      <c r="P284" s="2" t="s">
        <v>2205</v>
      </c>
      <c r="Q284" s="2" t="s">
        <v>33</v>
      </c>
      <c r="R284" s="2" t="s">
        <v>2206</v>
      </c>
      <c r="S284" s="2" t="s">
        <v>2207</v>
      </c>
      <c r="T284" s="2" t="s">
        <v>2208</v>
      </c>
      <c r="U284" s="2" t="s">
        <v>2209</v>
      </c>
      <c r="V284" s="2" t="s">
        <v>80</v>
      </c>
    </row>
    <row r="285" spans="1:22">
      <c r="A285" s="2" t="s">
        <v>2210</v>
      </c>
      <c r="B285" s="2" t="s">
        <v>2211</v>
      </c>
      <c r="C285" s="2" t="s">
        <v>2212</v>
      </c>
      <c r="D285" s="2">
        <v>2025</v>
      </c>
      <c r="E285" s="3">
        <v>45992</v>
      </c>
      <c r="F285" s="2" t="s">
        <v>2213</v>
      </c>
      <c r="G285" s="2">
        <v>80</v>
      </c>
      <c r="H285" s="2" t="s">
        <v>43</v>
      </c>
      <c r="I285" s="2" t="s">
        <v>2214</v>
      </c>
      <c r="J285" s="2" t="s">
        <v>2215</v>
      </c>
      <c r="K285" s="2" t="s">
        <v>2216</v>
      </c>
      <c r="L285" s="2" t="s">
        <v>29</v>
      </c>
      <c r="M285" s="2" t="s">
        <v>1786</v>
      </c>
      <c r="N285" s="2" t="s">
        <v>121</v>
      </c>
      <c r="O285" s="4">
        <v>1503</v>
      </c>
      <c r="P285" s="2" t="s">
        <v>2217</v>
      </c>
      <c r="Q285" s="2" t="s">
        <v>33</v>
      </c>
      <c r="R285" s="2" t="s">
        <v>2218</v>
      </c>
      <c r="S285" s="2" t="s">
        <v>2219</v>
      </c>
      <c r="T285" s="2" t="s">
        <v>2220</v>
      </c>
      <c r="U285" s="2" t="s">
        <v>2221</v>
      </c>
      <c r="V285" s="2" t="s">
        <v>802</v>
      </c>
    </row>
    <row r="286" spans="1:22" ht="57.6">
      <c r="A286" s="2" t="s">
        <v>789</v>
      </c>
      <c r="B286" s="2" t="s">
        <v>2222</v>
      </c>
      <c r="C286" s="2" t="s">
        <v>2223</v>
      </c>
      <c r="D286" s="2">
        <v>2025</v>
      </c>
      <c r="E286" s="3">
        <v>45717</v>
      </c>
      <c r="F286" s="2" t="s">
        <v>2224</v>
      </c>
      <c r="G286" s="2">
        <v>194</v>
      </c>
      <c r="H286" s="2" t="s">
        <v>43</v>
      </c>
      <c r="I286" s="2" t="s">
        <v>43</v>
      </c>
      <c r="J286" s="2" t="s">
        <v>2225</v>
      </c>
      <c r="K286" s="2" t="s">
        <v>2226</v>
      </c>
      <c r="L286" s="2" t="s">
        <v>29</v>
      </c>
      <c r="M286" s="2" t="s">
        <v>1463</v>
      </c>
      <c r="N286" s="2" t="s">
        <v>76</v>
      </c>
      <c r="O286" s="4">
        <v>1163</v>
      </c>
      <c r="P286" s="2" t="s">
        <v>2227</v>
      </c>
      <c r="Q286" s="2" t="s">
        <v>33</v>
      </c>
      <c r="R286" s="2" t="s">
        <v>2228</v>
      </c>
      <c r="S286" s="2" t="s">
        <v>2229</v>
      </c>
      <c r="T286" s="2" t="s">
        <v>2230</v>
      </c>
      <c r="U286" s="2" t="s">
        <v>2231</v>
      </c>
      <c r="V286" s="2" t="s">
        <v>2232</v>
      </c>
    </row>
    <row r="287" spans="1:22">
      <c r="A287" s="2" t="s">
        <v>1916</v>
      </c>
      <c r="B287" s="2" t="s">
        <v>2233</v>
      </c>
      <c r="C287" s="2" t="s">
        <v>2234</v>
      </c>
      <c r="D287" s="2">
        <v>2025</v>
      </c>
      <c r="E287" s="3">
        <v>45658</v>
      </c>
      <c r="F287" s="2" t="s">
        <v>2235</v>
      </c>
      <c r="G287" s="2" t="s">
        <v>43</v>
      </c>
      <c r="H287" s="2" t="s">
        <v>43</v>
      </c>
      <c r="I287" s="2" t="s">
        <v>43</v>
      </c>
      <c r="J287" s="2" t="s">
        <v>2236</v>
      </c>
      <c r="K287" s="2" t="s">
        <v>734</v>
      </c>
      <c r="L287" s="2" t="s">
        <v>29</v>
      </c>
      <c r="M287" s="2" t="s">
        <v>870</v>
      </c>
      <c r="N287" s="2" t="s">
        <v>76</v>
      </c>
      <c r="O287" s="2" t="s">
        <v>2237</v>
      </c>
      <c r="P287" s="2" t="s">
        <v>2238</v>
      </c>
      <c r="Q287" s="2" t="s">
        <v>49</v>
      </c>
      <c r="R287" s="2" t="s">
        <v>2239</v>
      </c>
      <c r="S287" s="2" t="s">
        <v>1681</v>
      </c>
      <c r="T287" s="2" t="s">
        <v>2240</v>
      </c>
      <c r="U287" s="2" t="s">
        <v>2241</v>
      </c>
      <c r="V287" s="2" t="s">
        <v>80</v>
      </c>
    </row>
    <row r="288" spans="1:22">
      <c r="A288" s="2" t="s">
        <v>1344</v>
      </c>
      <c r="B288" s="2" t="s">
        <v>2233</v>
      </c>
      <c r="C288" s="2" t="s">
        <v>2234</v>
      </c>
      <c r="D288" s="2">
        <v>2025</v>
      </c>
      <c r="E288" s="3">
        <v>45658</v>
      </c>
      <c r="F288" s="2" t="s">
        <v>2235</v>
      </c>
      <c r="G288" s="2" t="s">
        <v>43</v>
      </c>
      <c r="H288" s="2" t="s">
        <v>43</v>
      </c>
      <c r="I288" s="2" t="s">
        <v>43</v>
      </c>
      <c r="J288" s="2" t="s">
        <v>2236</v>
      </c>
      <c r="K288" s="2" t="s">
        <v>734</v>
      </c>
      <c r="L288" s="2" t="s">
        <v>29</v>
      </c>
      <c r="M288" s="2" t="s">
        <v>870</v>
      </c>
      <c r="N288" s="2" t="s">
        <v>76</v>
      </c>
      <c r="O288" s="2" t="s">
        <v>2237</v>
      </c>
      <c r="P288" s="2" t="s">
        <v>2238</v>
      </c>
      <c r="Q288" s="2" t="s">
        <v>49</v>
      </c>
      <c r="R288" s="2" t="s">
        <v>2239</v>
      </c>
      <c r="S288" s="2" t="s">
        <v>1681</v>
      </c>
      <c r="T288" s="2" t="s">
        <v>2240</v>
      </c>
      <c r="U288" s="2" t="s">
        <v>2241</v>
      </c>
      <c r="V288" s="2" t="s">
        <v>80</v>
      </c>
    </row>
    <row r="289" spans="1:22" ht="86.4">
      <c r="A289" s="2" t="s">
        <v>2242</v>
      </c>
      <c r="B289" s="2" t="s">
        <v>2243</v>
      </c>
      <c r="C289" s="2" t="s">
        <v>2244</v>
      </c>
      <c r="D289" s="2">
        <v>2025</v>
      </c>
      <c r="E289" s="3">
        <v>45962</v>
      </c>
      <c r="F289" s="2" t="s">
        <v>2245</v>
      </c>
      <c r="G289" s="2">
        <v>53</v>
      </c>
      <c r="H289" s="2">
        <v>11</v>
      </c>
      <c r="I289" s="2" t="s">
        <v>2246</v>
      </c>
      <c r="J289" s="2" t="s">
        <v>2247</v>
      </c>
      <c r="K289" s="2" t="s">
        <v>566</v>
      </c>
      <c r="L289" s="2" t="s">
        <v>29</v>
      </c>
      <c r="M289" s="2" t="s">
        <v>2248</v>
      </c>
      <c r="N289" s="2" t="s">
        <v>121</v>
      </c>
      <c r="O289" s="4">
        <v>1921</v>
      </c>
      <c r="P289" s="2" t="s">
        <v>2249</v>
      </c>
      <c r="Q289" s="2" t="s">
        <v>49</v>
      </c>
      <c r="R289" s="2" t="s">
        <v>2250</v>
      </c>
      <c r="S289" s="2" t="s">
        <v>2251</v>
      </c>
      <c r="T289" s="2" t="s">
        <v>2252</v>
      </c>
      <c r="U289" s="2" t="s">
        <v>2253</v>
      </c>
      <c r="V289" s="2" t="s">
        <v>2254</v>
      </c>
    </row>
    <row r="290" spans="1:22">
      <c r="A290" s="2" t="s">
        <v>2255</v>
      </c>
      <c r="B290" s="2" t="s">
        <v>2256</v>
      </c>
      <c r="C290" s="2" t="s">
        <v>2257</v>
      </c>
      <c r="D290" s="2">
        <v>2024</v>
      </c>
      <c r="E290" s="3">
        <v>45510</v>
      </c>
      <c r="F290" s="2" t="s">
        <v>167</v>
      </c>
      <c r="G290" s="2">
        <v>13</v>
      </c>
      <c r="H290" s="2">
        <v>15</v>
      </c>
      <c r="I290" s="2" t="s">
        <v>43</v>
      </c>
      <c r="J290" s="2" t="s">
        <v>2258</v>
      </c>
      <c r="K290" s="2" t="s">
        <v>2259</v>
      </c>
      <c r="L290" s="2" t="s">
        <v>29</v>
      </c>
      <c r="M290" s="2" t="s">
        <v>579</v>
      </c>
      <c r="N290" s="2" t="s">
        <v>476</v>
      </c>
      <c r="O290" s="4">
        <v>2189</v>
      </c>
      <c r="P290" s="2" t="s">
        <v>2260</v>
      </c>
      <c r="Q290" s="2" t="s">
        <v>33</v>
      </c>
      <c r="R290" s="2" t="s">
        <v>2261</v>
      </c>
      <c r="S290" s="2" t="s">
        <v>2262</v>
      </c>
      <c r="T290" s="2" t="s">
        <v>2263</v>
      </c>
      <c r="U290" s="2" t="s">
        <v>2264</v>
      </c>
      <c r="V290" s="2" t="s">
        <v>2265</v>
      </c>
    </row>
    <row r="291" spans="1:22" ht="28.8">
      <c r="A291" s="2" t="s">
        <v>2266</v>
      </c>
      <c r="B291" s="2" t="s">
        <v>2267</v>
      </c>
      <c r="C291" s="2" t="s">
        <v>2268</v>
      </c>
      <c r="D291" s="2">
        <v>2024</v>
      </c>
      <c r="E291" s="3">
        <v>45383</v>
      </c>
      <c r="F291" s="2" t="s">
        <v>1470</v>
      </c>
      <c r="G291" s="2">
        <v>14</v>
      </c>
      <c r="H291" s="2">
        <v>7</v>
      </c>
      <c r="I291" s="2" t="s">
        <v>43</v>
      </c>
      <c r="J291" s="2" t="s">
        <v>1471</v>
      </c>
      <c r="K291" s="2" t="s">
        <v>61</v>
      </c>
      <c r="L291" s="2" t="s">
        <v>29</v>
      </c>
      <c r="M291" s="2" t="s">
        <v>1472</v>
      </c>
      <c r="N291" s="2" t="s">
        <v>1473</v>
      </c>
      <c r="O291" s="2" t="s">
        <v>1474</v>
      </c>
      <c r="P291" s="2" t="s">
        <v>2269</v>
      </c>
      <c r="Q291" s="2" t="s">
        <v>49</v>
      </c>
      <c r="R291" s="2" t="s">
        <v>2270</v>
      </c>
      <c r="S291" s="2" t="s">
        <v>2271</v>
      </c>
      <c r="T291" s="2" t="s">
        <v>2272</v>
      </c>
      <c r="U291" s="2" t="s">
        <v>2273</v>
      </c>
      <c r="V291" s="2" t="s">
        <v>2274</v>
      </c>
    </row>
    <row r="292" spans="1:22" ht="28.8">
      <c r="A292" s="2" t="s">
        <v>822</v>
      </c>
      <c r="B292" s="2" t="s">
        <v>2275</v>
      </c>
      <c r="C292" s="2" t="s">
        <v>2276</v>
      </c>
      <c r="D292" s="2">
        <v>2025</v>
      </c>
      <c r="E292" s="3">
        <v>45717</v>
      </c>
      <c r="F292" s="2" t="s">
        <v>2277</v>
      </c>
      <c r="G292" s="2">
        <v>46</v>
      </c>
      <c r="H292" s="2">
        <v>2</v>
      </c>
      <c r="I292" s="2" t="s">
        <v>2278</v>
      </c>
      <c r="J292" s="2" t="s">
        <v>2279</v>
      </c>
      <c r="K292" s="2" t="s">
        <v>119</v>
      </c>
      <c r="L292" s="2" t="s">
        <v>29</v>
      </c>
      <c r="M292" s="2" t="s">
        <v>719</v>
      </c>
      <c r="N292" s="2" t="s">
        <v>63</v>
      </c>
      <c r="O292" s="2" t="s">
        <v>2280</v>
      </c>
      <c r="P292" s="2" t="s">
        <v>2281</v>
      </c>
      <c r="Q292" s="2" t="s">
        <v>33</v>
      </c>
      <c r="R292" s="2" t="s">
        <v>2282</v>
      </c>
      <c r="S292" s="2" t="s">
        <v>2283</v>
      </c>
      <c r="T292" s="2" t="s">
        <v>2284</v>
      </c>
      <c r="U292" s="2" t="s">
        <v>2285</v>
      </c>
      <c r="V292" s="2" t="s">
        <v>80</v>
      </c>
    </row>
    <row r="293" spans="1:22">
      <c r="A293" s="2" t="s">
        <v>1252</v>
      </c>
      <c r="B293" s="2" t="s">
        <v>2286</v>
      </c>
      <c r="C293" s="2" t="s">
        <v>2287</v>
      </c>
      <c r="D293" s="2">
        <v>2024</v>
      </c>
      <c r="E293" s="3">
        <v>45323</v>
      </c>
      <c r="F293" s="2" t="s">
        <v>1255</v>
      </c>
      <c r="G293" s="2">
        <v>43</v>
      </c>
      <c r="H293" s="2">
        <v>2</v>
      </c>
      <c r="I293" s="2" t="s">
        <v>2288</v>
      </c>
      <c r="J293" s="2" t="s">
        <v>1257</v>
      </c>
      <c r="K293" s="2" t="s">
        <v>1258</v>
      </c>
      <c r="L293" s="2" t="s">
        <v>29</v>
      </c>
      <c r="M293" s="2" t="s">
        <v>464</v>
      </c>
      <c r="N293" s="2" t="s">
        <v>440</v>
      </c>
      <c r="O293" s="2" t="s">
        <v>1259</v>
      </c>
      <c r="P293" s="2" t="s">
        <v>2289</v>
      </c>
      <c r="Q293" s="2" t="s">
        <v>33</v>
      </c>
      <c r="R293" s="2" t="s">
        <v>2290</v>
      </c>
      <c r="S293" s="2" t="s">
        <v>398</v>
      </c>
      <c r="T293" s="2" t="s">
        <v>2291</v>
      </c>
      <c r="U293" s="2" t="s">
        <v>2292</v>
      </c>
      <c r="V293" s="2" t="s">
        <v>80</v>
      </c>
    </row>
    <row r="294" spans="1:22">
      <c r="A294" s="2" t="s">
        <v>2293</v>
      </c>
      <c r="B294" s="2" t="s">
        <v>2286</v>
      </c>
      <c r="C294" s="2" t="s">
        <v>2287</v>
      </c>
      <c r="D294" s="2">
        <v>2024</v>
      </c>
      <c r="E294" s="3">
        <v>45323</v>
      </c>
      <c r="F294" s="2" t="s">
        <v>1255</v>
      </c>
      <c r="G294" s="2">
        <v>43</v>
      </c>
      <c r="H294" s="2">
        <v>2</v>
      </c>
      <c r="I294" s="2" t="s">
        <v>2288</v>
      </c>
      <c r="J294" s="2" t="s">
        <v>1257</v>
      </c>
      <c r="K294" s="2" t="s">
        <v>1258</v>
      </c>
      <c r="L294" s="2" t="s">
        <v>29</v>
      </c>
      <c r="M294" s="2" t="s">
        <v>464</v>
      </c>
      <c r="N294" s="2" t="s">
        <v>440</v>
      </c>
      <c r="O294" s="2" t="s">
        <v>1259</v>
      </c>
      <c r="P294" s="2" t="s">
        <v>2289</v>
      </c>
      <c r="Q294" s="2" t="s">
        <v>33</v>
      </c>
      <c r="R294" s="2" t="s">
        <v>2290</v>
      </c>
      <c r="S294" s="2" t="s">
        <v>398</v>
      </c>
      <c r="T294" s="2" t="s">
        <v>2291</v>
      </c>
      <c r="U294" s="2" t="s">
        <v>2292</v>
      </c>
      <c r="V294" s="2" t="s">
        <v>80</v>
      </c>
    </row>
    <row r="295" spans="1:22">
      <c r="A295" s="2" t="s">
        <v>265</v>
      </c>
      <c r="B295" s="2" t="s">
        <v>2294</v>
      </c>
      <c r="C295" s="2" t="s">
        <v>2295</v>
      </c>
      <c r="D295" s="2">
        <v>2024</v>
      </c>
      <c r="E295" s="3">
        <v>45413</v>
      </c>
      <c r="F295" s="2" t="s">
        <v>167</v>
      </c>
      <c r="G295" s="2">
        <v>20</v>
      </c>
      <c r="H295" s="2">
        <v>5</v>
      </c>
      <c r="I295" s="2" t="s">
        <v>2296</v>
      </c>
      <c r="J295" s="2" t="s">
        <v>2297</v>
      </c>
      <c r="K295" s="2" t="s">
        <v>194</v>
      </c>
      <c r="L295" s="2" t="s">
        <v>29</v>
      </c>
      <c r="M295" s="2" t="s">
        <v>1182</v>
      </c>
      <c r="N295" s="2" t="s">
        <v>1136</v>
      </c>
      <c r="O295" s="2" t="s">
        <v>1890</v>
      </c>
      <c r="P295" s="2" t="s">
        <v>2298</v>
      </c>
      <c r="Q295" s="2" t="s">
        <v>33</v>
      </c>
      <c r="R295" s="2" t="s">
        <v>2299</v>
      </c>
      <c r="S295" s="2" t="s">
        <v>2300</v>
      </c>
      <c r="T295" s="2" t="s">
        <v>2301</v>
      </c>
      <c r="U295" s="2" t="s">
        <v>2302</v>
      </c>
      <c r="V295" s="2" t="s">
        <v>275</v>
      </c>
    </row>
    <row r="296" spans="1:22">
      <c r="A296" s="2" t="s">
        <v>965</v>
      </c>
      <c r="B296" s="2" t="s">
        <v>2303</v>
      </c>
      <c r="C296" s="2" t="s">
        <v>2304</v>
      </c>
      <c r="D296" s="2">
        <v>2025</v>
      </c>
      <c r="E296" s="3">
        <v>45658</v>
      </c>
      <c r="F296" s="2" t="s">
        <v>957</v>
      </c>
      <c r="G296" s="2" t="s">
        <v>43</v>
      </c>
      <c r="H296" s="2" t="s">
        <v>43</v>
      </c>
      <c r="I296" s="2" t="s">
        <v>43</v>
      </c>
      <c r="J296" s="2" t="s">
        <v>959</v>
      </c>
      <c r="K296" s="2" t="s">
        <v>119</v>
      </c>
      <c r="L296" s="2" t="s">
        <v>29</v>
      </c>
      <c r="M296" s="2" t="s">
        <v>567</v>
      </c>
      <c r="N296" s="2" t="s">
        <v>1520</v>
      </c>
      <c r="O296" s="4">
        <v>1476</v>
      </c>
      <c r="P296" s="2" t="s">
        <v>2305</v>
      </c>
      <c r="Q296" s="2" t="s">
        <v>49</v>
      </c>
      <c r="R296" s="2" t="s">
        <v>2306</v>
      </c>
      <c r="S296" s="2" t="s">
        <v>763</v>
      </c>
      <c r="T296" s="2" t="s">
        <v>2307</v>
      </c>
      <c r="U296" s="2" t="s">
        <v>2308</v>
      </c>
      <c r="V296" s="2" t="s">
        <v>766</v>
      </c>
    </row>
    <row r="297" spans="1:22">
      <c r="A297" s="2" t="s">
        <v>2172</v>
      </c>
      <c r="B297" s="2" t="s">
        <v>2303</v>
      </c>
      <c r="C297" s="2" t="s">
        <v>2304</v>
      </c>
      <c r="D297" s="2">
        <v>2025</v>
      </c>
      <c r="E297" s="3">
        <v>45658</v>
      </c>
      <c r="F297" s="2" t="s">
        <v>957</v>
      </c>
      <c r="G297" s="2" t="s">
        <v>43</v>
      </c>
      <c r="H297" s="2" t="s">
        <v>43</v>
      </c>
      <c r="I297" s="2" t="s">
        <v>43</v>
      </c>
      <c r="J297" s="2" t="s">
        <v>959</v>
      </c>
      <c r="K297" s="2" t="s">
        <v>119</v>
      </c>
      <c r="L297" s="2" t="s">
        <v>29</v>
      </c>
      <c r="M297" s="2" t="s">
        <v>567</v>
      </c>
      <c r="N297" s="2" t="s">
        <v>1520</v>
      </c>
      <c r="O297" s="4">
        <v>1476</v>
      </c>
      <c r="P297" s="2" t="s">
        <v>2305</v>
      </c>
      <c r="Q297" s="2" t="s">
        <v>49</v>
      </c>
      <c r="R297" s="2" t="s">
        <v>2306</v>
      </c>
      <c r="S297" s="2" t="s">
        <v>763</v>
      </c>
      <c r="T297" s="2" t="s">
        <v>2307</v>
      </c>
      <c r="U297" s="2" t="s">
        <v>2308</v>
      </c>
      <c r="V297" s="2" t="s">
        <v>766</v>
      </c>
    </row>
    <row r="298" spans="1:22">
      <c r="A298" s="2" t="s">
        <v>2309</v>
      </c>
      <c r="B298" s="2" t="s">
        <v>2303</v>
      </c>
      <c r="C298" s="2" t="s">
        <v>2304</v>
      </c>
      <c r="D298" s="2">
        <v>2025</v>
      </c>
      <c r="E298" s="3">
        <v>45658</v>
      </c>
      <c r="F298" s="2" t="s">
        <v>957</v>
      </c>
      <c r="G298" s="2" t="s">
        <v>43</v>
      </c>
      <c r="H298" s="2" t="s">
        <v>43</v>
      </c>
      <c r="I298" s="2" t="s">
        <v>43</v>
      </c>
      <c r="J298" s="2" t="s">
        <v>959</v>
      </c>
      <c r="K298" s="2" t="s">
        <v>119</v>
      </c>
      <c r="L298" s="2" t="s">
        <v>29</v>
      </c>
      <c r="M298" s="2" t="s">
        <v>567</v>
      </c>
      <c r="N298" s="2" t="s">
        <v>1520</v>
      </c>
      <c r="O298" s="4">
        <v>1476</v>
      </c>
      <c r="P298" s="2" t="s">
        <v>2305</v>
      </c>
      <c r="Q298" s="2" t="s">
        <v>49</v>
      </c>
      <c r="R298" s="2" t="s">
        <v>2306</v>
      </c>
      <c r="S298" s="2" t="s">
        <v>763</v>
      </c>
      <c r="T298" s="2" t="s">
        <v>2307</v>
      </c>
      <c r="U298" s="2" t="s">
        <v>2308</v>
      </c>
      <c r="V298" s="2" t="s">
        <v>766</v>
      </c>
    </row>
    <row r="299" spans="1:22">
      <c r="A299" s="2" t="s">
        <v>311</v>
      </c>
      <c r="B299" s="2" t="s">
        <v>2310</v>
      </c>
      <c r="C299" s="2" t="s">
        <v>2311</v>
      </c>
      <c r="D299" s="2">
        <v>2024</v>
      </c>
      <c r="E299" s="3">
        <v>45566</v>
      </c>
      <c r="F299" s="2" t="s">
        <v>2312</v>
      </c>
      <c r="G299" s="2">
        <v>165</v>
      </c>
      <c r="H299" s="2">
        <v>10</v>
      </c>
      <c r="I299" s="2" t="s">
        <v>43</v>
      </c>
      <c r="J299" s="2" t="s">
        <v>2313</v>
      </c>
      <c r="K299" s="2" t="s">
        <v>2314</v>
      </c>
      <c r="L299" s="2" t="s">
        <v>29</v>
      </c>
      <c r="M299" s="2" t="s">
        <v>2315</v>
      </c>
      <c r="N299" s="2" t="s">
        <v>293</v>
      </c>
      <c r="O299" s="4">
        <v>1308</v>
      </c>
      <c r="P299" s="2" t="s">
        <v>2316</v>
      </c>
      <c r="Q299" s="2" t="s">
        <v>33</v>
      </c>
      <c r="R299" s="2" t="s">
        <v>2317</v>
      </c>
      <c r="S299" s="2" t="s">
        <v>2318</v>
      </c>
      <c r="T299" s="2" t="s">
        <v>2319</v>
      </c>
      <c r="U299" s="2" t="s">
        <v>2320</v>
      </c>
      <c r="V299" s="2" t="s">
        <v>2321</v>
      </c>
    </row>
    <row r="300" spans="1:22">
      <c r="A300" s="2" t="s">
        <v>2322</v>
      </c>
      <c r="B300" s="2" t="s">
        <v>2323</v>
      </c>
      <c r="C300" s="2" t="s">
        <v>2324</v>
      </c>
      <c r="D300" s="2">
        <v>2025</v>
      </c>
      <c r="E300" s="3">
        <v>45689</v>
      </c>
      <c r="F300" s="2" t="s">
        <v>2325</v>
      </c>
      <c r="G300" s="2">
        <v>133</v>
      </c>
      <c r="H300" s="2">
        <v>2</v>
      </c>
      <c r="I300" s="2" t="s">
        <v>2326</v>
      </c>
      <c r="J300" s="2" t="s">
        <v>2327</v>
      </c>
      <c r="K300" s="2" t="s">
        <v>2328</v>
      </c>
      <c r="L300" s="2" t="s">
        <v>29</v>
      </c>
      <c r="M300" s="2" t="s">
        <v>184</v>
      </c>
      <c r="N300" s="2" t="s">
        <v>2178</v>
      </c>
      <c r="O300" s="2" t="s">
        <v>146</v>
      </c>
      <c r="P300" s="2" t="s">
        <v>2329</v>
      </c>
      <c r="Q300" s="2" t="s">
        <v>33</v>
      </c>
      <c r="R300" s="2" t="s">
        <v>2330</v>
      </c>
      <c r="S300" s="2" t="s">
        <v>2331</v>
      </c>
      <c r="T300" s="2" t="s">
        <v>2332</v>
      </c>
      <c r="U300" s="2" t="s">
        <v>2333</v>
      </c>
      <c r="V300" s="2" t="s">
        <v>621</v>
      </c>
    </row>
    <row r="301" spans="1:22" ht="28.8">
      <c r="A301" s="2" t="s">
        <v>276</v>
      </c>
      <c r="B301" s="2" t="s">
        <v>2334</v>
      </c>
      <c r="C301" s="2" t="s">
        <v>2335</v>
      </c>
      <c r="D301" s="2">
        <v>2025</v>
      </c>
      <c r="E301" s="3">
        <v>45658</v>
      </c>
      <c r="F301" s="2" t="s">
        <v>1470</v>
      </c>
      <c r="G301" s="2">
        <v>15</v>
      </c>
      <c r="H301" s="2">
        <v>1</v>
      </c>
      <c r="I301" s="2" t="s">
        <v>43</v>
      </c>
      <c r="J301" s="2" t="s">
        <v>1471</v>
      </c>
      <c r="K301" s="2" t="s">
        <v>61</v>
      </c>
      <c r="L301" s="2" t="s">
        <v>29</v>
      </c>
      <c r="M301" s="2" t="s">
        <v>246</v>
      </c>
      <c r="N301" s="2" t="s">
        <v>1581</v>
      </c>
      <c r="O301" s="2" t="s">
        <v>2336</v>
      </c>
      <c r="P301" s="2" t="s">
        <v>2337</v>
      </c>
      <c r="Q301" s="2" t="s">
        <v>49</v>
      </c>
      <c r="R301" s="2" t="s">
        <v>2338</v>
      </c>
      <c r="S301" s="2" t="s">
        <v>2339</v>
      </c>
      <c r="T301" s="2" t="s">
        <v>2340</v>
      </c>
      <c r="U301" s="2" t="s">
        <v>2341</v>
      </c>
      <c r="V301" s="2" t="s">
        <v>660</v>
      </c>
    </row>
    <row r="302" spans="1:22">
      <c r="A302" s="2" t="s">
        <v>2342</v>
      </c>
      <c r="B302" s="2" t="s">
        <v>2343</v>
      </c>
      <c r="C302" s="2" t="s">
        <v>2344</v>
      </c>
      <c r="D302" s="2">
        <v>2024</v>
      </c>
      <c r="E302" s="3">
        <v>45444</v>
      </c>
      <c r="F302" s="2" t="s">
        <v>651</v>
      </c>
      <c r="G302" s="2">
        <v>13</v>
      </c>
      <c r="H302" s="2">
        <v>12</v>
      </c>
      <c r="I302" s="2" t="s">
        <v>43</v>
      </c>
      <c r="J302" s="2" t="s">
        <v>652</v>
      </c>
      <c r="K302" s="2" t="s">
        <v>61</v>
      </c>
      <c r="L302" s="2" t="s">
        <v>29</v>
      </c>
      <c r="M302" s="2" t="s">
        <v>653</v>
      </c>
      <c r="N302" s="2" t="s">
        <v>476</v>
      </c>
      <c r="O302" s="2" t="s">
        <v>654</v>
      </c>
      <c r="P302" s="2" t="s">
        <v>2345</v>
      </c>
      <c r="Q302" s="2" t="s">
        <v>33</v>
      </c>
      <c r="R302" s="2" t="s">
        <v>2346</v>
      </c>
      <c r="S302" s="2" t="s">
        <v>2347</v>
      </c>
      <c r="T302" s="2" t="s">
        <v>2348</v>
      </c>
      <c r="U302" s="2" t="s">
        <v>2349</v>
      </c>
      <c r="V302" s="2" t="s">
        <v>621</v>
      </c>
    </row>
    <row r="303" spans="1:22" ht="28.8">
      <c r="A303" s="2" t="s">
        <v>385</v>
      </c>
      <c r="B303" s="2" t="s">
        <v>2350</v>
      </c>
      <c r="C303" s="2" t="s">
        <v>2351</v>
      </c>
      <c r="D303" s="2">
        <v>2025</v>
      </c>
      <c r="E303" s="3">
        <v>45658</v>
      </c>
      <c r="F303" s="2" t="s">
        <v>889</v>
      </c>
      <c r="G303" s="2">
        <v>14</v>
      </c>
      <c r="H303" s="2">
        <v>1</v>
      </c>
      <c r="I303" s="2" t="s">
        <v>43</v>
      </c>
      <c r="J303" s="2" t="s">
        <v>890</v>
      </c>
      <c r="K303" s="2" t="s">
        <v>61</v>
      </c>
      <c r="L303" s="2" t="s">
        <v>29</v>
      </c>
      <c r="M303" s="2" t="s">
        <v>1093</v>
      </c>
      <c r="N303" s="2" t="s">
        <v>171</v>
      </c>
      <c r="O303" s="4">
        <v>1706</v>
      </c>
      <c r="P303" s="2" t="s">
        <v>2352</v>
      </c>
      <c r="Q303" s="2" t="s">
        <v>33</v>
      </c>
      <c r="R303" s="2" t="s">
        <v>2353</v>
      </c>
      <c r="S303" s="2" t="s">
        <v>2354</v>
      </c>
      <c r="T303" s="2" t="s">
        <v>2355</v>
      </c>
      <c r="U303" s="2" t="s">
        <v>2356</v>
      </c>
      <c r="V303" s="2" t="s">
        <v>2357</v>
      </c>
    </row>
    <row r="304" spans="1:22" ht="28.8">
      <c r="A304" s="2" t="s">
        <v>2358</v>
      </c>
      <c r="B304" s="2" t="s">
        <v>2359</v>
      </c>
      <c r="C304" s="2" t="s">
        <v>2360</v>
      </c>
      <c r="D304" s="2">
        <v>2025</v>
      </c>
      <c r="E304" s="3">
        <v>45658</v>
      </c>
      <c r="F304" s="2" t="s">
        <v>2361</v>
      </c>
      <c r="G304" s="2" t="s">
        <v>43</v>
      </c>
      <c r="H304" s="2" t="s">
        <v>43</v>
      </c>
      <c r="I304" s="2" t="s">
        <v>43</v>
      </c>
      <c r="J304" s="2" t="s">
        <v>2362</v>
      </c>
      <c r="K304" s="2" t="s">
        <v>119</v>
      </c>
      <c r="L304" s="2" t="s">
        <v>29</v>
      </c>
      <c r="M304" s="2" t="s">
        <v>1114</v>
      </c>
      <c r="N304" s="2" t="s">
        <v>105</v>
      </c>
      <c r="O304" s="4">
        <v>1998</v>
      </c>
      <c r="P304" s="2" t="s">
        <v>2363</v>
      </c>
      <c r="Q304" s="2" t="s">
        <v>33</v>
      </c>
      <c r="R304" s="2" t="s">
        <v>2364</v>
      </c>
      <c r="S304" s="2" t="s">
        <v>2365</v>
      </c>
      <c r="T304" s="2" t="s">
        <v>2366</v>
      </c>
      <c r="U304" s="2" t="s">
        <v>2367</v>
      </c>
      <c r="V304" s="2" t="s">
        <v>2368</v>
      </c>
    </row>
    <row r="305" spans="1:22">
      <c r="A305" s="2" t="s">
        <v>897</v>
      </c>
      <c r="B305" s="2" t="s">
        <v>2369</v>
      </c>
      <c r="C305" s="2" t="s">
        <v>2370</v>
      </c>
      <c r="D305" s="2">
        <v>2024</v>
      </c>
      <c r="E305" s="3">
        <v>45323</v>
      </c>
      <c r="F305" s="2" t="s">
        <v>2371</v>
      </c>
      <c r="G305" s="2">
        <v>53</v>
      </c>
      <c r="H305" s="2">
        <v>1</v>
      </c>
      <c r="I305" s="2" t="s">
        <v>43</v>
      </c>
      <c r="J305" s="2" t="s">
        <v>2372</v>
      </c>
      <c r="K305" s="2" t="s">
        <v>1624</v>
      </c>
      <c r="L305" s="2" t="s">
        <v>29</v>
      </c>
      <c r="M305" s="2" t="s">
        <v>195</v>
      </c>
      <c r="N305" s="2" t="s">
        <v>75</v>
      </c>
      <c r="O305" s="2" t="s">
        <v>2373</v>
      </c>
      <c r="P305" s="2" t="s">
        <v>2374</v>
      </c>
      <c r="Q305" s="2" t="s">
        <v>33</v>
      </c>
      <c r="R305" s="2" t="s">
        <v>2375</v>
      </c>
      <c r="S305" s="2" t="s">
        <v>908</v>
      </c>
      <c r="T305" s="2" t="s">
        <v>1466</v>
      </c>
      <c r="U305" s="2" t="s">
        <v>1467</v>
      </c>
      <c r="V305" s="2" t="s">
        <v>911</v>
      </c>
    </row>
    <row r="306" spans="1:22">
      <c r="A306" s="2" t="s">
        <v>897</v>
      </c>
      <c r="B306" s="2" t="s">
        <v>2376</v>
      </c>
      <c r="C306" s="2" t="s">
        <v>2377</v>
      </c>
      <c r="D306" s="2">
        <v>2024</v>
      </c>
      <c r="E306" s="3">
        <v>45413</v>
      </c>
      <c r="F306" s="2" t="s">
        <v>2378</v>
      </c>
      <c r="G306" s="2">
        <v>8</v>
      </c>
      <c r="H306" s="2">
        <v>1</v>
      </c>
      <c r="I306" s="2" t="s">
        <v>2379</v>
      </c>
      <c r="J306" s="2" t="s">
        <v>2380</v>
      </c>
      <c r="K306" s="2" t="s">
        <v>1624</v>
      </c>
      <c r="L306" s="2" t="s">
        <v>29</v>
      </c>
      <c r="M306" s="2" t="s">
        <v>2381</v>
      </c>
      <c r="N306" s="2" t="s">
        <v>63</v>
      </c>
      <c r="O306" s="2" t="s">
        <v>2382</v>
      </c>
      <c r="P306" s="2" t="s">
        <v>2383</v>
      </c>
      <c r="Q306" s="2" t="s">
        <v>49</v>
      </c>
      <c r="R306" s="2" t="s">
        <v>2384</v>
      </c>
      <c r="S306" s="2" t="s">
        <v>2385</v>
      </c>
      <c r="T306" s="2" t="s">
        <v>2386</v>
      </c>
      <c r="U306" s="2" t="s">
        <v>2387</v>
      </c>
      <c r="V306" s="2" t="s">
        <v>2388</v>
      </c>
    </row>
    <row r="307" spans="1:22">
      <c r="A307" s="2" t="s">
        <v>2389</v>
      </c>
      <c r="B307" s="2" t="s">
        <v>2390</v>
      </c>
      <c r="C307" s="2" t="s">
        <v>2391</v>
      </c>
      <c r="D307" s="2">
        <v>2024</v>
      </c>
      <c r="E307" s="3">
        <v>45292</v>
      </c>
      <c r="F307" s="2" t="s">
        <v>2392</v>
      </c>
      <c r="G307" s="2">
        <v>35</v>
      </c>
      <c r="H307" s="2">
        <v>1</v>
      </c>
      <c r="I307" s="2" t="s">
        <v>2393</v>
      </c>
      <c r="J307" s="2" t="s">
        <v>2394</v>
      </c>
      <c r="K307" s="2" t="s">
        <v>392</v>
      </c>
      <c r="L307" s="2" t="s">
        <v>773</v>
      </c>
      <c r="M307" s="2" t="s">
        <v>47</v>
      </c>
      <c r="N307" s="2" t="s">
        <v>2395</v>
      </c>
      <c r="O307" s="2" t="s">
        <v>2396</v>
      </c>
      <c r="P307" s="2" t="s">
        <v>2397</v>
      </c>
      <c r="Q307" s="2" t="s">
        <v>33</v>
      </c>
      <c r="R307" s="2" t="s">
        <v>2398</v>
      </c>
      <c r="S307" s="2" t="s">
        <v>2399</v>
      </c>
      <c r="T307" s="2" t="s">
        <v>2400</v>
      </c>
      <c r="U307" s="2" t="s">
        <v>2401</v>
      </c>
      <c r="V307" s="2" t="s">
        <v>80</v>
      </c>
    </row>
    <row r="308" spans="1:22">
      <c r="A308" s="2" t="s">
        <v>1344</v>
      </c>
      <c r="B308" s="2" t="s">
        <v>2390</v>
      </c>
      <c r="C308" s="2" t="s">
        <v>2391</v>
      </c>
      <c r="D308" s="2">
        <v>2024</v>
      </c>
      <c r="E308" s="3">
        <v>45292</v>
      </c>
      <c r="F308" s="2" t="s">
        <v>2392</v>
      </c>
      <c r="G308" s="2">
        <v>35</v>
      </c>
      <c r="H308" s="2">
        <v>1</v>
      </c>
      <c r="I308" s="2" t="s">
        <v>2393</v>
      </c>
      <c r="J308" s="2" t="s">
        <v>2394</v>
      </c>
      <c r="K308" s="2" t="s">
        <v>392</v>
      </c>
      <c r="L308" s="2" t="s">
        <v>773</v>
      </c>
      <c r="M308" s="2" t="s">
        <v>47</v>
      </c>
      <c r="N308" s="2" t="s">
        <v>2395</v>
      </c>
      <c r="O308" s="2" t="s">
        <v>2396</v>
      </c>
      <c r="P308" s="2" t="s">
        <v>2397</v>
      </c>
      <c r="Q308" s="2" t="s">
        <v>33</v>
      </c>
      <c r="R308" s="2" t="s">
        <v>2398</v>
      </c>
      <c r="S308" s="2" t="s">
        <v>2399</v>
      </c>
      <c r="T308" s="2" t="s">
        <v>2400</v>
      </c>
      <c r="U308" s="2" t="s">
        <v>2401</v>
      </c>
      <c r="V308" s="2" t="s">
        <v>80</v>
      </c>
    </row>
    <row r="309" spans="1:22">
      <c r="A309" s="2" t="s">
        <v>2402</v>
      </c>
      <c r="B309" s="2" t="s">
        <v>2403</v>
      </c>
      <c r="C309" s="2" t="s">
        <v>2404</v>
      </c>
      <c r="D309" s="2">
        <v>2024</v>
      </c>
      <c r="E309" s="3">
        <v>45413</v>
      </c>
      <c r="F309" s="2" t="s">
        <v>2405</v>
      </c>
      <c r="G309" s="2">
        <v>54</v>
      </c>
      <c r="H309" s="2" t="s">
        <v>43</v>
      </c>
      <c r="I309" s="2" t="s">
        <v>43</v>
      </c>
      <c r="J309" s="2" t="s">
        <v>2406</v>
      </c>
      <c r="K309" s="2" t="s">
        <v>734</v>
      </c>
      <c r="L309" s="2" t="s">
        <v>29</v>
      </c>
      <c r="M309" s="2" t="s">
        <v>1919</v>
      </c>
      <c r="N309" s="2" t="s">
        <v>2407</v>
      </c>
      <c r="O309" s="2" t="s">
        <v>2408</v>
      </c>
      <c r="P309" s="2" t="s">
        <v>2409</v>
      </c>
      <c r="Q309" s="2" t="s">
        <v>33</v>
      </c>
      <c r="R309" s="2" t="s">
        <v>2410</v>
      </c>
      <c r="S309" s="2" t="s">
        <v>2411</v>
      </c>
      <c r="T309" s="2" t="s">
        <v>2412</v>
      </c>
      <c r="U309" s="2" t="s">
        <v>2413</v>
      </c>
      <c r="V309" s="2" t="s">
        <v>80</v>
      </c>
    </row>
    <row r="310" spans="1:22">
      <c r="A310" s="2" t="s">
        <v>2414</v>
      </c>
      <c r="B310" s="2" t="s">
        <v>2403</v>
      </c>
      <c r="C310" s="2" t="s">
        <v>2404</v>
      </c>
      <c r="D310" s="2">
        <v>2024</v>
      </c>
      <c r="E310" s="3">
        <v>45413</v>
      </c>
      <c r="F310" s="2" t="s">
        <v>2405</v>
      </c>
      <c r="G310" s="2">
        <v>54</v>
      </c>
      <c r="H310" s="2" t="s">
        <v>43</v>
      </c>
      <c r="I310" s="2" t="s">
        <v>43</v>
      </c>
      <c r="J310" s="2" t="s">
        <v>2406</v>
      </c>
      <c r="K310" s="2" t="s">
        <v>734</v>
      </c>
      <c r="L310" s="2" t="s">
        <v>29</v>
      </c>
      <c r="M310" s="2" t="s">
        <v>1919</v>
      </c>
      <c r="N310" s="2" t="s">
        <v>2407</v>
      </c>
      <c r="O310" s="2" t="s">
        <v>2408</v>
      </c>
      <c r="P310" s="2" t="s">
        <v>2409</v>
      </c>
      <c r="Q310" s="2" t="s">
        <v>33</v>
      </c>
      <c r="R310" s="2" t="s">
        <v>2410</v>
      </c>
      <c r="S310" s="2" t="s">
        <v>2411</v>
      </c>
      <c r="T310" s="2" t="s">
        <v>2412</v>
      </c>
      <c r="U310" s="2" t="s">
        <v>2413</v>
      </c>
      <c r="V310" s="2" t="s">
        <v>80</v>
      </c>
    </row>
    <row r="311" spans="1:22">
      <c r="A311" s="2" t="s">
        <v>2415</v>
      </c>
      <c r="B311" s="2" t="s">
        <v>2403</v>
      </c>
      <c r="C311" s="2" t="s">
        <v>2404</v>
      </c>
      <c r="D311" s="2">
        <v>2024</v>
      </c>
      <c r="E311" s="3">
        <v>45413</v>
      </c>
      <c r="F311" s="2" t="s">
        <v>2405</v>
      </c>
      <c r="G311" s="2">
        <v>54</v>
      </c>
      <c r="H311" s="2" t="s">
        <v>43</v>
      </c>
      <c r="I311" s="2" t="s">
        <v>43</v>
      </c>
      <c r="J311" s="2" t="s">
        <v>2406</v>
      </c>
      <c r="K311" s="2" t="s">
        <v>734</v>
      </c>
      <c r="L311" s="2" t="s">
        <v>29</v>
      </c>
      <c r="M311" s="2" t="s">
        <v>1919</v>
      </c>
      <c r="N311" s="2" t="s">
        <v>2407</v>
      </c>
      <c r="O311" s="2" t="s">
        <v>2408</v>
      </c>
      <c r="P311" s="2" t="s">
        <v>2409</v>
      </c>
      <c r="Q311" s="2" t="s">
        <v>33</v>
      </c>
      <c r="R311" s="2" t="s">
        <v>2410</v>
      </c>
      <c r="S311" s="2" t="s">
        <v>2411</v>
      </c>
      <c r="T311" s="2" t="s">
        <v>2412</v>
      </c>
      <c r="U311" s="2" t="s">
        <v>2413</v>
      </c>
      <c r="V311" s="2" t="s">
        <v>80</v>
      </c>
    </row>
    <row r="312" spans="1:22">
      <c r="A312" s="2" t="s">
        <v>2416</v>
      </c>
      <c r="B312" s="2" t="s">
        <v>2417</v>
      </c>
      <c r="C312" s="2" t="s">
        <v>2418</v>
      </c>
      <c r="D312" s="2">
        <v>2024</v>
      </c>
      <c r="E312" s="3">
        <v>45292</v>
      </c>
      <c r="F312" s="2" t="s">
        <v>2419</v>
      </c>
      <c r="G312" s="2">
        <v>8</v>
      </c>
      <c r="H312" s="2">
        <v>1</v>
      </c>
      <c r="I312" s="2" t="s">
        <v>2420</v>
      </c>
      <c r="J312" s="2" t="s">
        <v>2421</v>
      </c>
      <c r="K312" s="2" t="s">
        <v>2422</v>
      </c>
      <c r="L312" s="2" t="s">
        <v>1867</v>
      </c>
      <c r="M312" s="2" t="s">
        <v>2423</v>
      </c>
      <c r="N312" s="2" t="s">
        <v>2424</v>
      </c>
      <c r="O312" s="2" t="s">
        <v>1949</v>
      </c>
      <c r="P312" s="2" t="s">
        <v>2425</v>
      </c>
      <c r="Q312" s="2" t="s">
        <v>33</v>
      </c>
      <c r="R312" s="2" t="s">
        <v>2426</v>
      </c>
      <c r="S312" s="2" t="s">
        <v>79</v>
      </c>
      <c r="T312" s="5">
        <v>601053680000000</v>
      </c>
      <c r="U312" s="2" t="s">
        <v>79</v>
      </c>
      <c r="V312" s="2" t="s">
        <v>80</v>
      </c>
    </row>
    <row r="313" spans="1:22">
      <c r="A313" s="2" t="s">
        <v>2427</v>
      </c>
      <c r="B313" s="2" t="s">
        <v>2428</v>
      </c>
      <c r="C313" s="2" t="s">
        <v>2429</v>
      </c>
      <c r="D313" s="2">
        <v>2025</v>
      </c>
      <c r="E313" s="3">
        <v>45717</v>
      </c>
      <c r="F313" s="2" t="s">
        <v>1676</v>
      </c>
      <c r="G313" s="2">
        <v>35</v>
      </c>
      <c r="H313" s="2">
        <v>3</v>
      </c>
      <c r="I313" s="2" t="s">
        <v>2430</v>
      </c>
      <c r="J313" s="2" t="s">
        <v>1678</v>
      </c>
      <c r="K313" s="2" t="s">
        <v>1624</v>
      </c>
      <c r="L313" s="2" t="s">
        <v>29</v>
      </c>
      <c r="M313" s="2" t="s">
        <v>144</v>
      </c>
      <c r="N313" s="2" t="s">
        <v>76</v>
      </c>
      <c r="O313" s="4">
        <v>1058</v>
      </c>
      <c r="P313" s="2" t="s">
        <v>2431</v>
      </c>
      <c r="Q313" s="2" t="s">
        <v>33</v>
      </c>
      <c r="R313" s="2" t="s">
        <v>2432</v>
      </c>
      <c r="S313" s="2" t="s">
        <v>2433</v>
      </c>
      <c r="T313" s="2" t="s">
        <v>2434</v>
      </c>
      <c r="U313" s="2" t="s">
        <v>2435</v>
      </c>
      <c r="V313" s="2" t="s">
        <v>80</v>
      </c>
    </row>
    <row r="314" spans="1:22">
      <c r="A314" s="2" t="s">
        <v>22</v>
      </c>
      <c r="B314" s="2" t="s">
        <v>2436</v>
      </c>
      <c r="C314" s="2" t="s">
        <v>2437</v>
      </c>
      <c r="D314" s="2">
        <v>2025</v>
      </c>
      <c r="E314" s="3">
        <v>45748</v>
      </c>
      <c r="F314" s="2" t="s">
        <v>357</v>
      </c>
      <c r="G314" s="2">
        <v>20</v>
      </c>
      <c r="H314" s="2">
        <v>4</v>
      </c>
      <c r="I314" s="2" t="s">
        <v>2438</v>
      </c>
      <c r="J314" s="2" t="s">
        <v>359</v>
      </c>
      <c r="K314" s="2" t="s">
        <v>360</v>
      </c>
      <c r="L314" s="2" t="s">
        <v>29</v>
      </c>
      <c r="M314" s="2" t="s">
        <v>361</v>
      </c>
      <c r="N314" s="2" t="s">
        <v>121</v>
      </c>
      <c r="O314" s="4">
        <v>1833</v>
      </c>
      <c r="P314" s="2" t="s">
        <v>2439</v>
      </c>
      <c r="Q314" s="2" t="s">
        <v>33</v>
      </c>
      <c r="R314" s="2" t="s">
        <v>2440</v>
      </c>
      <c r="S314" s="2" t="s">
        <v>2441</v>
      </c>
      <c r="T314" s="2" t="s">
        <v>2442</v>
      </c>
      <c r="U314" s="2" t="s">
        <v>2443</v>
      </c>
      <c r="V314" s="2" t="s">
        <v>2444</v>
      </c>
    </row>
    <row r="315" spans="1:22">
      <c r="A315" s="2" t="s">
        <v>2445</v>
      </c>
      <c r="B315" s="2" t="s">
        <v>2446</v>
      </c>
      <c r="C315" s="2" t="s">
        <v>2447</v>
      </c>
      <c r="D315" s="2">
        <v>2025</v>
      </c>
      <c r="E315" s="3">
        <v>45769</v>
      </c>
      <c r="F315" s="2" t="s">
        <v>2448</v>
      </c>
      <c r="G315" s="2">
        <v>23</v>
      </c>
      <c r="H315" s="2" t="s">
        <v>43</v>
      </c>
      <c r="I315" s="2" t="s">
        <v>43</v>
      </c>
      <c r="J315" s="2" t="s">
        <v>2449</v>
      </c>
      <c r="K315" s="2" t="s">
        <v>613</v>
      </c>
      <c r="L315" s="2" t="s">
        <v>29</v>
      </c>
      <c r="M315" s="2" t="s">
        <v>1362</v>
      </c>
      <c r="N315" s="2" t="s">
        <v>145</v>
      </c>
      <c r="O315" s="2" t="s">
        <v>2450</v>
      </c>
      <c r="P315" s="2" t="s">
        <v>2451</v>
      </c>
      <c r="Q315" s="2" t="s">
        <v>33</v>
      </c>
      <c r="R315" s="2" t="s">
        <v>2452</v>
      </c>
      <c r="S315" s="2" t="s">
        <v>511</v>
      </c>
      <c r="T315" s="2" t="s">
        <v>2453</v>
      </c>
      <c r="U315" s="2" t="s">
        <v>2454</v>
      </c>
      <c r="V315" s="2" t="s">
        <v>80</v>
      </c>
    </row>
    <row r="316" spans="1:22">
      <c r="A316" s="2" t="s">
        <v>2455</v>
      </c>
      <c r="B316" s="2" t="s">
        <v>2456</v>
      </c>
      <c r="C316" s="2" t="s">
        <v>2457</v>
      </c>
      <c r="D316" s="2">
        <v>2024</v>
      </c>
      <c r="E316" s="3">
        <v>45641</v>
      </c>
      <c r="F316" s="2" t="s">
        <v>2458</v>
      </c>
      <c r="G316" s="2">
        <v>695</v>
      </c>
      <c r="H316" s="2" t="s">
        <v>43</v>
      </c>
      <c r="I316" s="2" t="s">
        <v>43</v>
      </c>
      <c r="J316" s="2" t="s">
        <v>2459</v>
      </c>
      <c r="K316" s="2" t="s">
        <v>103</v>
      </c>
      <c r="L316" s="2" t="s">
        <v>29</v>
      </c>
      <c r="M316" s="2" t="s">
        <v>464</v>
      </c>
      <c r="N316" s="2" t="s">
        <v>2460</v>
      </c>
      <c r="O316" s="2" t="s">
        <v>2461</v>
      </c>
      <c r="P316" s="2" t="s">
        <v>2462</v>
      </c>
      <c r="Q316" s="2" t="s">
        <v>33</v>
      </c>
      <c r="R316" s="2" t="s">
        <v>2463</v>
      </c>
      <c r="S316" s="2" t="s">
        <v>2464</v>
      </c>
      <c r="T316" s="2" t="s">
        <v>2465</v>
      </c>
      <c r="U316" s="2" t="s">
        <v>2466</v>
      </c>
      <c r="V316" s="2" t="s">
        <v>80</v>
      </c>
    </row>
    <row r="317" spans="1:22">
      <c r="A317" s="2" t="s">
        <v>2467</v>
      </c>
      <c r="B317" s="2" t="s">
        <v>2468</v>
      </c>
      <c r="C317" s="2" t="s">
        <v>2469</v>
      </c>
      <c r="D317" s="2">
        <v>2024</v>
      </c>
      <c r="E317" s="3">
        <v>45566</v>
      </c>
      <c r="F317" s="2" t="s">
        <v>2470</v>
      </c>
      <c r="G317" s="2">
        <v>19</v>
      </c>
      <c r="H317" s="2">
        <v>10</v>
      </c>
      <c r="I317" s="2" t="s">
        <v>43</v>
      </c>
      <c r="J317" s="2" t="s">
        <v>2471</v>
      </c>
      <c r="K317" s="2" t="s">
        <v>2472</v>
      </c>
      <c r="L317" s="2" t="s">
        <v>29</v>
      </c>
      <c r="M317" s="2" t="s">
        <v>2119</v>
      </c>
      <c r="N317" s="2" t="s">
        <v>476</v>
      </c>
      <c r="O317" s="2" t="s">
        <v>2473</v>
      </c>
      <c r="P317" s="2" t="s">
        <v>2474</v>
      </c>
      <c r="Q317" s="2" t="s">
        <v>33</v>
      </c>
      <c r="R317" s="2" t="s">
        <v>2475</v>
      </c>
      <c r="S317" s="2" t="s">
        <v>79</v>
      </c>
      <c r="T317" s="2" t="s">
        <v>2476</v>
      </c>
      <c r="U317" s="2" t="s">
        <v>2477</v>
      </c>
      <c r="V317" s="2" t="s">
        <v>594</v>
      </c>
    </row>
    <row r="318" spans="1:22">
      <c r="A318" s="2" t="s">
        <v>2478</v>
      </c>
      <c r="B318" s="2" t="s">
        <v>2479</v>
      </c>
      <c r="C318" s="2" t="s">
        <v>2480</v>
      </c>
      <c r="D318" s="2">
        <v>2024</v>
      </c>
      <c r="E318" s="3">
        <v>45474</v>
      </c>
      <c r="F318" s="2" t="s">
        <v>2481</v>
      </c>
      <c r="G318" s="2">
        <v>8</v>
      </c>
      <c r="H318" s="2">
        <v>3</v>
      </c>
      <c r="I318" s="2" t="s">
        <v>2482</v>
      </c>
      <c r="J318" s="2" t="s">
        <v>2483</v>
      </c>
      <c r="K318" s="2" t="s">
        <v>103</v>
      </c>
      <c r="L318" s="2" t="s">
        <v>29</v>
      </c>
      <c r="M318" s="2" t="s">
        <v>1948</v>
      </c>
      <c r="N318" s="2" t="s">
        <v>2484</v>
      </c>
      <c r="O318" s="2" t="s">
        <v>2485</v>
      </c>
      <c r="P318" s="2" t="s">
        <v>2486</v>
      </c>
      <c r="Q318" s="2" t="s">
        <v>33</v>
      </c>
      <c r="R318" s="2" t="s">
        <v>2487</v>
      </c>
      <c r="S318" s="2" t="s">
        <v>79</v>
      </c>
      <c r="T318" s="2" t="s">
        <v>2488</v>
      </c>
      <c r="U318" s="2" t="s">
        <v>2489</v>
      </c>
      <c r="V318" s="2" t="s">
        <v>80</v>
      </c>
    </row>
    <row r="319" spans="1:22" ht="28.8">
      <c r="A319" s="2" t="s">
        <v>113</v>
      </c>
      <c r="B319" s="2" t="s">
        <v>2490</v>
      </c>
      <c r="C319" s="2" t="s">
        <v>2491</v>
      </c>
      <c r="D319" s="2">
        <v>2025</v>
      </c>
      <c r="E319" s="3">
        <v>45901</v>
      </c>
      <c r="F319" s="2" t="s">
        <v>1411</v>
      </c>
      <c r="G319" s="2">
        <v>160</v>
      </c>
      <c r="H319" s="2" t="s">
        <v>43</v>
      </c>
      <c r="I319" s="2" t="s">
        <v>43</v>
      </c>
      <c r="J319" s="2" t="s">
        <v>1412</v>
      </c>
      <c r="K319" s="2" t="s">
        <v>45</v>
      </c>
      <c r="L319" s="2" t="s">
        <v>29</v>
      </c>
      <c r="M319" s="2" t="s">
        <v>2492</v>
      </c>
      <c r="N319" s="2" t="s">
        <v>121</v>
      </c>
      <c r="O319" s="4">
        <v>1545</v>
      </c>
      <c r="P319" s="2" t="s">
        <v>2493</v>
      </c>
      <c r="Q319" s="2" t="s">
        <v>33</v>
      </c>
      <c r="R319" s="2" t="s">
        <v>2494</v>
      </c>
      <c r="S319" s="2" t="s">
        <v>2495</v>
      </c>
      <c r="T319" s="2" t="s">
        <v>2496</v>
      </c>
      <c r="U319" s="2" t="s">
        <v>2497</v>
      </c>
      <c r="V319" s="2" t="s">
        <v>2498</v>
      </c>
    </row>
    <row r="320" spans="1:22">
      <c r="A320" s="2" t="s">
        <v>39</v>
      </c>
      <c r="B320" s="2" t="s">
        <v>2499</v>
      </c>
      <c r="C320" s="2" t="s">
        <v>2500</v>
      </c>
      <c r="D320" s="2">
        <v>2024</v>
      </c>
      <c r="E320" s="3">
        <v>45536</v>
      </c>
      <c r="F320" s="2" t="s">
        <v>2392</v>
      </c>
      <c r="G320" s="2">
        <v>35</v>
      </c>
      <c r="H320" s="6">
        <v>46178</v>
      </c>
      <c r="I320" s="2" t="s">
        <v>2501</v>
      </c>
      <c r="J320" s="2" t="s">
        <v>2394</v>
      </c>
      <c r="K320" s="2" t="s">
        <v>392</v>
      </c>
      <c r="L320" s="2" t="s">
        <v>773</v>
      </c>
      <c r="M320" s="2" t="s">
        <v>47</v>
      </c>
      <c r="N320" s="2" t="s">
        <v>2395</v>
      </c>
      <c r="O320" s="2" t="s">
        <v>2396</v>
      </c>
      <c r="P320" s="2" t="s">
        <v>2502</v>
      </c>
      <c r="Q320" s="2" t="s">
        <v>33</v>
      </c>
      <c r="R320" s="2" t="s">
        <v>2503</v>
      </c>
      <c r="S320" s="2" t="s">
        <v>1504</v>
      </c>
      <c r="T320" s="2" t="s">
        <v>2504</v>
      </c>
      <c r="U320" s="2" t="s">
        <v>2505</v>
      </c>
      <c r="V320" s="2" t="s">
        <v>2506</v>
      </c>
    </row>
    <row r="321" spans="1:22">
      <c r="A321" s="2" t="s">
        <v>897</v>
      </c>
      <c r="B321" s="2" t="s">
        <v>2507</v>
      </c>
      <c r="C321" s="2" t="s">
        <v>2508</v>
      </c>
      <c r="D321" s="2">
        <v>2024</v>
      </c>
      <c r="E321" s="3">
        <v>45597</v>
      </c>
      <c r="F321" s="2" t="s">
        <v>2509</v>
      </c>
      <c r="G321" s="2">
        <v>43</v>
      </c>
      <c r="H321" s="2">
        <v>43</v>
      </c>
      <c r="I321" s="2" t="s">
        <v>2510</v>
      </c>
      <c r="J321" s="2" t="s">
        <v>2511</v>
      </c>
      <c r="K321" s="2" t="s">
        <v>1624</v>
      </c>
      <c r="L321" s="2" t="s">
        <v>29</v>
      </c>
      <c r="M321" s="2" t="s">
        <v>653</v>
      </c>
      <c r="N321" s="2" t="s">
        <v>1520</v>
      </c>
      <c r="O321" s="4">
        <v>1024</v>
      </c>
      <c r="P321" s="2" t="s">
        <v>2512</v>
      </c>
      <c r="Q321" s="2" t="s">
        <v>33</v>
      </c>
      <c r="R321" s="2" t="s">
        <v>2513</v>
      </c>
      <c r="S321" s="2" t="s">
        <v>908</v>
      </c>
      <c r="T321" s="2" t="s">
        <v>2514</v>
      </c>
      <c r="U321" s="2" t="s">
        <v>2515</v>
      </c>
      <c r="V321" s="2" t="s">
        <v>911</v>
      </c>
    </row>
    <row r="322" spans="1:22">
      <c r="A322" s="2" t="s">
        <v>622</v>
      </c>
      <c r="B322" s="2" t="s">
        <v>2516</v>
      </c>
      <c r="C322" s="2" t="s">
        <v>2517</v>
      </c>
      <c r="D322" s="2">
        <v>2024</v>
      </c>
      <c r="E322" s="3">
        <v>45292</v>
      </c>
      <c r="F322" s="2" t="s">
        <v>2518</v>
      </c>
      <c r="G322" s="2">
        <v>51</v>
      </c>
      <c r="H322" s="2" t="s">
        <v>43</v>
      </c>
      <c r="I322" s="2" t="s">
        <v>2519</v>
      </c>
      <c r="J322" s="2" t="s">
        <v>2520</v>
      </c>
      <c r="K322" s="2" t="s">
        <v>2521</v>
      </c>
      <c r="L322" s="2" t="s">
        <v>1867</v>
      </c>
      <c r="M322" s="2" t="s">
        <v>2522</v>
      </c>
      <c r="N322" s="2" t="s">
        <v>498</v>
      </c>
      <c r="O322" s="2" t="s">
        <v>2523</v>
      </c>
      <c r="P322" s="2" t="s">
        <v>2524</v>
      </c>
      <c r="Q322" s="2" t="s">
        <v>33</v>
      </c>
      <c r="R322" s="2" t="s">
        <v>2525</v>
      </c>
      <c r="S322" s="2" t="s">
        <v>2526</v>
      </c>
      <c r="T322" s="2" t="s">
        <v>2527</v>
      </c>
      <c r="U322" s="2" t="s">
        <v>2528</v>
      </c>
      <c r="V322" s="2" t="s">
        <v>275</v>
      </c>
    </row>
    <row r="323" spans="1:22" ht="28.8">
      <c r="A323" s="2" t="s">
        <v>276</v>
      </c>
      <c r="B323" s="2" t="s">
        <v>2529</v>
      </c>
      <c r="C323" s="2" t="s">
        <v>2530</v>
      </c>
      <c r="D323" s="2">
        <v>2025</v>
      </c>
      <c r="E323" s="3">
        <v>45901</v>
      </c>
      <c r="F323" s="2" t="s">
        <v>1819</v>
      </c>
      <c r="G323" s="2">
        <v>201</v>
      </c>
      <c r="H323" s="2" t="s">
        <v>43</v>
      </c>
      <c r="I323" s="2" t="s">
        <v>43</v>
      </c>
      <c r="J323" s="2" t="s">
        <v>1821</v>
      </c>
      <c r="K323" s="2" t="s">
        <v>734</v>
      </c>
      <c r="L323" s="2" t="s">
        <v>29</v>
      </c>
      <c r="M323" s="2" t="s">
        <v>195</v>
      </c>
      <c r="N323" s="2" t="s">
        <v>1520</v>
      </c>
      <c r="O323" s="2" t="s">
        <v>2531</v>
      </c>
      <c r="P323" s="2" t="s">
        <v>2532</v>
      </c>
      <c r="Q323" s="2" t="s">
        <v>49</v>
      </c>
      <c r="R323" s="2" t="s">
        <v>2533</v>
      </c>
      <c r="S323" s="2" t="s">
        <v>2534</v>
      </c>
      <c r="T323" s="2" t="s">
        <v>2535</v>
      </c>
      <c r="U323" s="2" t="s">
        <v>2536</v>
      </c>
      <c r="V323" s="2" t="s">
        <v>2537</v>
      </c>
    </row>
    <row r="324" spans="1:22">
      <c r="A324" s="2" t="s">
        <v>1024</v>
      </c>
      <c r="B324" s="2" t="s">
        <v>2538</v>
      </c>
      <c r="C324" s="2" t="s">
        <v>2539</v>
      </c>
      <c r="D324" s="2">
        <v>2025</v>
      </c>
      <c r="E324" s="3">
        <v>45962</v>
      </c>
      <c r="F324" s="2" t="s">
        <v>167</v>
      </c>
      <c r="G324" s="2">
        <v>17</v>
      </c>
      <c r="H324" s="2">
        <v>21</v>
      </c>
      <c r="I324" s="2" t="s">
        <v>43</v>
      </c>
      <c r="J324" s="2" t="s">
        <v>279</v>
      </c>
      <c r="K324" s="2" t="s">
        <v>61</v>
      </c>
      <c r="L324" s="2" t="s">
        <v>29</v>
      </c>
      <c r="M324" s="2" t="s">
        <v>1285</v>
      </c>
      <c r="N324" s="2" t="s">
        <v>247</v>
      </c>
      <c r="O324" s="4">
        <v>1499</v>
      </c>
      <c r="P324" s="2" t="s">
        <v>2540</v>
      </c>
      <c r="Q324" s="2" t="s">
        <v>33</v>
      </c>
      <c r="R324" s="2" t="s">
        <v>2541</v>
      </c>
      <c r="S324" s="2" t="s">
        <v>2542</v>
      </c>
      <c r="T324" s="2" t="s">
        <v>2543</v>
      </c>
      <c r="U324" s="2" t="s">
        <v>2544</v>
      </c>
      <c r="V324" s="2" t="s">
        <v>80</v>
      </c>
    </row>
    <row r="325" spans="1:22">
      <c r="A325" s="2" t="s">
        <v>1013</v>
      </c>
      <c r="B325" s="2" t="s">
        <v>2538</v>
      </c>
      <c r="C325" s="2" t="s">
        <v>2539</v>
      </c>
      <c r="D325" s="2">
        <v>2025</v>
      </c>
      <c r="E325" s="3">
        <v>45962</v>
      </c>
      <c r="F325" s="2" t="s">
        <v>167</v>
      </c>
      <c r="G325" s="2">
        <v>17</v>
      </c>
      <c r="H325" s="2">
        <v>21</v>
      </c>
      <c r="I325" s="2" t="s">
        <v>43</v>
      </c>
      <c r="J325" s="2" t="s">
        <v>279</v>
      </c>
      <c r="K325" s="2" t="s">
        <v>61</v>
      </c>
      <c r="L325" s="2" t="s">
        <v>29</v>
      </c>
      <c r="M325" s="2" t="s">
        <v>1285</v>
      </c>
      <c r="N325" s="2" t="s">
        <v>247</v>
      </c>
      <c r="O325" s="4">
        <v>1499</v>
      </c>
      <c r="P325" s="2" t="s">
        <v>2540</v>
      </c>
      <c r="Q325" s="2" t="s">
        <v>33</v>
      </c>
      <c r="R325" s="2" t="s">
        <v>2541</v>
      </c>
      <c r="S325" s="2" t="s">
        <v>2542</v>
      </c>
      <c r="T325" s="2" t="s">
        <v>2543</v>
      </c>
      <c r="U325" s="2" t="s">
        <v>2544</v>
      </c>
      <c r="V325" s="2" t="s">
        <v>80</v>
      </c>
    </row>
    <row r="326" spans="1:22" ht="28.8">
      <c r="A326" s="2" t="s">
        <v>276</v>
      </c>
      <c r="B326" s="2" t="s">
        <v>2545</v>
      </c>
      <c r="C326" s="2" t="s">
        <v>2546</v>
      </c>
      <c r="D326" s="2">
        <v>2025</v>
      </c>
      <c r="E326" s="3">
        <v>45901</v>
      </c>
      <c r="F326" s="2" t="s">
        <v>73</v>
      </c>
      <c r="G326" s="2">
        <v>26</v>
      </c>
      <c r="H326" s="2">
        <v>17</v>
      </c>
      <c r="I326" s="2" t="s">
        <v>43</v>
      </c>
      <c r="J326" s="2" t="s">
        <v>74</v>
      </c>
      <c r="K326" s="2" t="s">
        <v>61</v>
      </c>
      <c r="L326" s="2" t="s">
        <v>29</v>
      </c>
      <c r="M326" s="2" t="s">
        <v>76</v>
      </c>
      <c r="N326" s="2" t="s">
        <v>76</v>
      </c>
      <c r="O326" s="4">
        <v>1316</v>
      </c>
      <c r="P326" s="2" t="s">
        <v>2547</v>
      </c>
      <c r="Q326" s="2" t="s">
        <v>49</v>
      </c>
      <c r="R326" s="2" t="s">
        <v>2548</v>
      </c>
      <c r="S326" s="2" t="s">
        <v>2549</v>
      </c>
      <c r="T326" s="2" t="s">
        <v>2550</v>
      </c>
      <c r="U326" s="2" t="s">
        <v>2551</v>
      </c>
      <c r="V326" s="2" t="s">
        <v>2552</v>
      </c>
    </row>
    <row r="327" spans="1:22">
      <c r="A327" s="2" t="s">
        <v>2553</v>
      </c>
      <c r="B327" s="2" t="s">
        <v>2554</v>
      </c>
      <c r="C327" s="2" t="s">
        <v>2555</v>
      </c>
      <c r="D327" s="2">
        <v>2025</v>
      </c>
      <c r="E327" s="3">
        <v>45717</v>
      </c>
      <c r="F327" s="2" t="s">
        <v>2556</v>
      </c>
      <c r="G327" s="2">
        <v>22</v>
      </c>
      <c r="H327" s="2" t="s">
        <v>43</v>
      </c>
      <c r="I327" s="2" t="s">
        <v>43</v>
      </c>
      <c r="J327" s="2" t="s">
        <v>2557</v>
      </c>
      <c r="K327" s="2" t="s">
        <v>678</v>
      </c>
      <c r="L327" s="2" t="s">
        <v>29</v>
      </c>
      <c r="M327" s="2" t="s">
        <v>2558</v>
      </c>
      <c r="N327" s="2" t="s">
        <v>476</v>
      </c>
      <c r="O327" s="4">
        <v>1117</v>
      </c>
      <c r="P327" s="2" t="s">
        <v>2559</v>
      </c>
      <c r="Q327" s="2" t="s">
        <v>33</v>
      </c>
      <c r="R327" s="2" t="s">
        <v>2560</v>
      </c>
      <c r="S327" s="2" t="s">
        <v>1681</v>
      </c>
      <c r="T327" s="2" t="s">
        <v>2561</v>
      </c>
      <c r="U327" s="2" t="s">
        <v>2562</v>
      </c>
      <c r="V327" s="2" t="s">
        <v>80</v>
      </c>
    </row>
    <row r="328" spans="1:22">
      <c r="A328" s="2" t="s">
        <v>2563</v>
      </c>
      <c r="B328" s="2" t="s">
        <v>2554</v>
      </c>
      <c r="C328" s="2" t="s">
        <v>2555</v>
      </c>
      <c r="D328" s="2">
        <v>2025</v>
      </c>
      <c r="E328" s="3">
        <v>45717</v>
      </c>
      <c r="F328" s="2" t="s">
        <v>2556</v>
      </c>
      <c r="G328" s="2">
        <v>22</v>
      </c>
      <c r="H328" s="2" t="s">
        <v>43</v>
      </c>
      <c r="I328" s="2" t="s">
        <v>43</v>
      </c>
      <c r="J328" s="2" t="s">
        <v>2557</v>
      </c>
      <c r="K328" s="2" t="s">
        <v>678</v>
      </c>
      <c r="L328" s="2" t="s">
        <v>29</v>
      </c>
      <c r="M328" s="2" t="s">
        <v>2558</v>
      </c>
      <c r="N328" s="2" t="s">
        <v>476</v>
      </c>
      <c r="O328" s="4">
        <v>1117</v>
      </c>
      <c r="P328" s="2" t="s">
        <v>2559</v>
      </c>
      <c r="Q328" s="2" t="s">
        <v>33</v>
      </c>
      <c r="R328" s="2" t="s">
        <v>2560</v>
      </c>
      <c r="S328" s="2" t="s">
        <v>1681</v>
      </c>
      <c r="T328" s="2" t="s">
        <v>2561</v>
      </c>
      <c r="U328" s="2" t="s">
        <v>2562</v>
      </c>
      <c r="V328" s="2" t="s">
        <v>80</v>
      </c>
    </row>
    <row r="329" spans="1:22">
      <c r="A329" s="2" t="s">
        <v>1916</v>
      </c>
      <c r="B329" s="2" t="s">
        <v>2554</v>
      </c>
      <c r="C329" s="2" t="s">
        <v>2555</v>
      </c>
      <c r="D329" s="2">
        <v>2025</v>
      </c>
      <c r="E329" s="3">
        <v>45717</v>
      </c>
      <c r="F329" s="2" t="s">
        <v>2556</v>
      </c>
      <c r="G329" s="2">
        <v>22</v>
      </c>
      <c r="H329" s="2" t="s">
        <v>43</v>
      </c>
      <c r="I329" s="2" t="s">
        <v>43</v>
      </c>
      <c r="J329" s="2" t="s">
        <v>2557</v>
      </c>
      <c r="K329" s="2" t="s">
        <v>678</v>
      </c>
      <c r="L329" s="2" t="s">
        <v>29</v>
      </c>
      <c r="M329" s="2" t="s">
        <v>2558</v>
      </c>
      <c r="N329" s="2" t="s">
        <v>476</v>
      </c>
      <c r="O329" s="4">
        <v>1117</v>
      </c>
      <c r="P329" s="2" t="s">
        <v>2559</v>
      </c>
      <c r="Q329" s="2" t="s">
        <v>33</v>
      </c>
      <c r="R329" s="2" t="s">
        <v>2560</v>
      </c>
      <c r="S329" s="2" t="s">
        <v>1681</v>
      </c>
      <c r="T329" s="2" t="s">
        <v>2561</v>
      </c>
      <c r="U329" s="2" t="s">
        <v>2562</v>
      </c>
      <c r="V329" s="2" t="s">
        <v>80</v>
      </c>
    </row>
    <row r="330" spans="1:22">
      <c r="A330" s="2" t="s">
        <v>1344</v>
      </c>
      <c r="B330" s="2" t="s">
        <v>2554</v>
      </c>
      <c r="C330" s="2" t="s">
        <v>2555</v>
      </c>
      <c r="D330" s="2">
        <v>2025</v>
      </c>
      <c r="E330" s="3">
        <v>45717</v>
      </c>
      <c r="F330" s="2" t="s">
        <v>2556</v>
      </c>
      <c r="G330" s="2">
        <v>22</v>
      </c>
      <c r="H330" s="2" t="s">
        <v>43</v>
      </c>
      <c r="I330" s="2" t="s">
        <v>43</v>
      </c>
      <c r="J330" s="2" t="s">
        <v>2557</v>
      </c>
      <c r="K330" s="2" t="s">
        <v>678</v>
      </c>
      <c r="L330" s="2" t="s">
        <v>29</v>
      </c>
      <c r="M330" s="2" t="s">
        <v>2558</v>
      </c>
      <c r="N330" s="2" t="s">
        <v>476</v>
      </c>
      <c r="O330" s="4">
        <v>1117</v>
      </c>
      <c r="P330" s="2" t="s">
        <v>2559</v>
      </c>
      <c r="Q330" s="2" t="s">
        <v>33</v>
      </c>
      <c r="R330" s="2" t="s">
        <v>2560</v>
      </c>
      <c r="S330" s="2" t="s">
        <v>1681</v>
      </c>
      <c r="T330" s="2" t="s">
        <v>2561</v>
      </c>
      <c r="U330" s="2" t="s">
        <v>2562</v>
      </c>
      <c r="V330" s="2" t="s">
        <v>80</v>
      </c>
    </row>
    <row r="331" spans="1:22">
      <c r="A331" s="2" t="s">
        <v>2564</v>
      </c>
      <c r="B331" s="2" t="s">
        <v>2565</v>
      </c>
      <c r="C331" s="2" t="s">
        <v>2566</v>
      </c>
      <c r="D331" s="2">
        <v>2025</v>
      </c>
      <c r="E331" s="3">
        <v>45992</v>
      </c>
      <c r="F331" s="2" t="s">
        <v>2567</v>
      </c>
      <c r="G331" s="2">
        <v>23</v>
      </c>
      <c r="H331" s="2">
        <v>4</v>
      </c>
      <c r="I331" s="2" t="s">
        <v>2568</v>
      </c>
      <c r="J331" s="2" t="s">
        <v>2569</v>
      </c>
      <c r="K331" s="2" t="s">
        <v>1462</v>
      </c>
      <c r="L331" s="2" t="s">
        <v>29</v>
      </c>
      <c r="M331" s="2" t="s">
        <v>498</v>
      </c>
      <c r="N331" s="2" t="s">
        <v>105</v>
      </c>
      <c r="O331" s="4">
        <v>1004</v>
      </c>
      <c r="P331" s="2" t="s">
        <v>2570</v>
      </c>
      <c r="Q331" s="2" t="s">
        <v>33</v>
      </c>
      <c r="R331" s="2" t="s">
        <v>2571</v>
      </c>
      <c r="S331" s="2" t="s">
        <v>511</v>
      </c>
      <c r="T331" s="2" t="s">
        <v>885</v>
      </c>
      <c r="U331" s="2" t="s">
        <v>886</v>
      </c>
      <c r="V331" s="2" t="s">
        <v>80</v>
      </c>
    </row>
    <row r="332" spans="1:22">
      <c r="A332" s="2" t="s">
        <v>2572</v>
      </c>
      <c r="B332" s="2" t="s">
        <v>2573</v>
      </c>
      <c r="C332" s="2" t="s">
        <v>2574</v>
      </c>
      <c r="D332" s="2">
        <v>2024</v>
      </c>
      <c r="E332" s="3">
        <v>45292</v>
      </c>
      <c r="F332" s="2" t="s">
        <v>2575</v>
      </c>
      <c r="G332" s="2" t="s">
        <v>43</v>
      </c>
      <c r="H332" s="2" t="s">
        <v>43</v>
      </c>
      <c r="I332" s="2" t="s">
        <v>2576</v>
      </c>
      <c r="J332" s="2" t="s">
        <v>43</v>
      </c>
      <c r="K332" s="2" t="s">
        <v>2577</v>
      </c>
      <c r="L332" s="2" t="s">
        <v>29</v>
      </c>
      <c r="M332" s="2" t="s">
        <v>43</v>
      </c>
      <c r="N332" s="2" t="s">
        <v>43</v>
      </c>
      <c r="O332" s="2" t="s">
        <v>43</v>
      </c>
      <c r="P332" s="2" t="s">
        <v>2578</v>
      </c>
      <c r="Q332" s="2" t="s">
        <v>1125</v>
      </c>
      <c r="R332" s="2" t="s">
        <v>2579</v>
      </c>
      <c r="S332" s="2" t="s">
        <v>79</v>
      </c>
      <c r="T332" s="5">
        <v>601053680000000</v>
      </c>
      <c r="U332" s="2" t="s">
        <v>79</v>
      </c>
      <c r="V332" s="2" t="s">
        <v>80</v>
      </c>
    </row>
    <row r="333" spans="1:22" ht="28.8">
      <c r="A333" s="2" t="s">
        <v>2580</v>
      </c>
      <c r="B333" s="2" t="s">
        <v>2581</v>
      </c>
      <c r="C333" s="2" t="s">
        <v>2582</v>
      </c>
      <c r="D333" s="2">
        <v>2025</v>
      </c>
      <c r="E333" s="3">
        <v>45992</v>
      </c>
      <c r="F333" s="2" t="s">
        <v>2583</v>
      </c>
      <c r="G333" s="2">
        <v>272</v>
      </c>
      <c r="H333" s="2" t="s">
        <v>43</v>
      </c>
      <c r="I333" s="2" t="s">
        <v>43</v>
      </c>
      <c r="J333" s="2" t="s">
        <v>2584</v>
      </c>
      <c r="K333" s="2" t="s">
        <v>2226</v>
      </c>
      <c r="L333" s="2" t="s">
        <v>29</v>
      </c>
      <c r="M333" s="2" t="s">
        <v>2191</v>
      </c>
      <c r="N333" s="2" t="s">
        <v>75</v>
      </c>
      <c r="O333" s="4">
        <v>1233</v>
      </c>
      <c r="P333" s="2" t="s">
        <v>2585</v>
      </c>
      <c r="Q333" s="2" t="s">
        <v>33</v>
      </c>
      <c r="R333" s="2" t="s">
        <v>2586</v>
      </c>
      <c r="S333" s="2" t="s">
        <v>2587</v>
      </c>
      <c r="T333" s="2" t="s">
        <v>2588</v>
      </c>
      <c r="U333" s="2" t="s">
        <v>2589</v>
      </c>
      <c r="V333" s="2" t="s">
        <v>2590</v>
      </c>
    </row>
    <row r="334" spans="1:22">
      <c r="A334" s="2" t="s">
        <v>789</v>
      </c>
      <c r="B334" s="2" t="s">
        <v>2591</v>
      </c>
      <c r="C334" s="2" t="s">
        <v>2592</v>
      </c>
      <c r="D334" s="2">
        <v>2025</v>
      </c>
      <c r="E334" s="3">
        <v>45992</v>
      </c>
      <c r="F334" s="2" t="s">
        <v>73</v>
      </c>
      <c r="G334" s="2">
        <v>26</v>
      </c>
      <c r="H334" s="2">
        <v>23</v>
      </c>
      <c r="I334" s="2" t="s">
        <v>43</v>
      </c>
      <c r="J334" s="2" t="s">
        <v>74</v>
      </c>
      <c r="K334" s="2" t="s">
        <v>61</v>
      </c>
      <c r="L334" s="2" t="s">
        <v>29</v>
      </c>
      <c r="M334" s="2" t="s">
        <v>76</v>
      </c>
      <c r="N334" s="2" t="s">
        <v>76</v>
      </c>
      <c r="O334" s="4">
        <v>1316</v>
      </c>
      <c r="P334" s="2" t="s">
        <v>2593</v>
      </c>
      <c r="Q334" s="2" t="s">
        <v>49</v>
      </c>
      <c r="R334" s="2" t="s">
        <v>2594</v>
      </c>
      <c r="S334" s="2" t="s">
        <v>79</v>
      </c>
      <c r="T334" s="2" t="s">
        <v>2595</v>
      </c>
      <c r="U334" s="2" t="s">
        <v>2596</v>
      </c>
      <c r="V334" s="2" t="s">
        <v>80</v>
      </c>
    </row>
    <row r="335" spans="1:22">
      <c r="A335" s="2" t="s">
        <v>2597</v>
      </c>
      <c r="B335" s="2" t="s">
        <v>2598</v>
      </c>
      <c r="C335" s="2" t="s">
        <v>2599</v>
      </c>
      <c r="D335" s="2">
        <v>2025</v>
      </c>
      <c r="E335" s="3">
        <v>45748</v>
      </c>
      <c r="F335" s="2" t="s">
        <v>2600</v>
      </c>
      <c r="G335" s="2">
        <v>51</v>
      </c>
      <c r="H335" s="2">
        <v>4</v>
      </c>
      <c r="I335" s="2" t="s">
        <v>2601</v>
      </c>
      <c r="J335" s="2" t="s">
        <v>2602</v>
      </c>
      <c r="K335" s="2" t="s">
        <v>718</v>
      </c>
      <c r="L335" s="2" t="s">
        <v>29</v>
      </c>
      <c r="M335" s="2" t="s">
        <v>2603</v>
      </c>
      <c r="N335" s="2" t="s">
        <v>105</v>
      </c>
      <c r="O335" s="4">
        <v>4066</v>
      </c>
      <c r="P335" s="2" t="s">
        <v>2604</v>
      </c>
      <c r="Q335" s="2" t="s">
        <v>644</v>
      </c>
      <c r="R335" s="2" t="s">
        <v>2605</v>
      </c>
      <c r="S335" s="2" t="s">
        <v>1681</v>
      </c>
      <c r="T335" s="2" t="s">
        <v>2606</v>
      </c>
      <c r="U335" s="2" t="s">
        <v>1681</v>
      </c>
      <c r="V335" s="2" t="s">
        <v>80</v>
      </c>
    </row>
    <row r="336" spans="1:22">
      <c r="A336" s="2" t="s">
        <v>2607</v>
      </c>
      <c r="B336" s="2" t="s">
        <v>2598</v>
      </c>
      <c r="C336" s="2" t="s">
        <v>2599</v>
      </c>
      <c r="D336" s="2">
        <v>2025</v>
      </c>
      <c r="E336" s="3">
        <v>45748</v>
      </c>
      <c r="F336" s="2" t="s">
        <v>2600</v>
      </c>
      <c r="G336" s="2">
        <v>51</v>
      </c>
      <c r="H336" s="2">
        <v>4</v>
      </c>
      <c r="I336" s="2" t="s">
        <v>2601</v>
      </c>
      <c r="J336" s="2" t="s">
        <v>2602</v>
      </c>
      <c r="K336" s="2" t="s">
        <v>718</v>
      </c>
      <c r="L336" s="2" t="s">
        <v>29</v>
      </c>
      <c r="M336" s="2" t="s">
        <v>2603</v>
      </c>
      <c r="N336" s="2" t="s">
        <v>105</v>
      </c>
      <c r="O336" s="4">
        <v>4066</v>
      </c>
      <c r="P336" s="2" t="s">
        <v>2604</v>
      </c>
      <c r="Q336" s="2" t="s">
        <v>644</v>
      </c>
      <c r="R336" s="2" t="s">
        <v>2605</v>
      </c>
      <c r="S336" s="2" t="s">
        <v>1681</v>
      </c>
      <c r="T336" s="2" t="s">
        <v>2606</v>
      </c>
      <c r="U336" s="2" t="s">
        <v>1681</v>
      </c>
      <c r="V336" s="2" t="s">
        <v>80</v>
      </c>
    </row>
    <row r="337" spans="1:22">
      <c r="A337" s="2" t="s">
        <v>2608</v>
      </c>
      <c r="B337" s="2" t="s">
        <v>2598</v>
      </c>
      <c r="C337" s="2" t="s">
        <v>2599</v>
      </c>
      <c r="D337" s="2">
        <v>2025</v>
      </c>
      <c r="E337" s="3">
        <v>45748</v>
      </c>
      <c r="F337" s="2" t="s">
        <v>2600</v>
      </c>
      <c r="G337" s="2">
        <v>51</v>
      </c>
      <c r="H337" s="2">
        <v>4</v>
      </c>
      <c r="I337" s="2" t="s">
        <v>2601</v>
      </c>
      <c r="J337" s="2" t="s">
        <v>2602</v>
      </c>
      <c r="K337" s="2" t="s">
        <v>718</v>
      </c>
      <c r="L337" s="2" t="s">
        <v>29</v>
      </c>
      <c r="M337" s="2" t="s">
        <v>2603</v>
      </c>
      <c r="N337" s="2" t="s">
        <v>105</v>
      </c>
      <c r="O337" s="4">
        <v>4066</v>
      </c>
      <c r="P337" s="2" t="s">
        <v>2604</v>
      </c>
      <c r="Q337" s="2" t="s">
        <v>644</v>
      </c>
      <c r="R337" s="2" t="s">
        <v>2605</v>
      </c>
      <c r="S337" s="2" t="s">
        <v>1681</v>
      </c>
      <c r="T337" s="2" t="s">
        <v>2606</v>
      </c>
      <c r="U337" s="2" t="s">
        <v>1681</v>
      </c>
      <c r="V337" s="2" t="s">
        <v>80</v>
      </c>
    </row>
    <row r="338" spans="1:22">
      <c r="A338" s="2" t="s">
        <v>1344</v>
      </c>
      <c r="B338" s="2" t="s">
        <v>2598</v>
      </c>
      <c r="C338" s="2" t="s">
        <v>2599</v>
      </c>
      <c r="D338" s="2">
        <v>2025</v>
      </c>
      <c r="E338" s="3">
        <v>45748</v>
      </c>
      <c r="F338" s="2" t="s">
        <v>2600</v>
      </c>
      <c r="G338" s="2">
        <v>51</v>
      </c>
      <c r="H338" s="2">
        <v>4</v>
      </c>
      <c r="I338" s="2" t="s">
        <v>2601</v>
      </c>
      <c r="J338" s="2" t="s">
        <v>2602</v>
      </c>
      <c r="K338" s="2" t="s">
        <v>718</v>
      </c>
      <c r="L338" s="2" t="s">
        <v>29</v>
      </c>
      <c r="M338" s="2" t="s">
        <v>2603</v>
      </c>
      <c r="N338" s="2" t="s">
        <v>105</v>
      </c>
      <c r="O338" s="4">
        <v>4066</v>
      </c>
      <c r="P338" s="2" t="s">
        <v>2604</v>
      </c>
      <c r="Q338" s="2" t="s">
        <v>644</v>
      </c>
      <c r="R338" s="2" t="s">
        <v>2605</v>
      </c>
      <c r="S338" s="2" t="s">
        <v>1681</v>
      </c>
      <c r="T338" s="2" t="s">
        <v>2606</v>
      </c>
      <c r="U338" s="2" t="s">
        <v>1681</v>
      </c>
      <c r="V338" s="2" t="s">
        <v>80</v>
      </c>
    </row>
    <row r="339" spans="1:22" ht="28.8">
      <c r="A339" s="2" t="s">
        <v>1282</v>
      </c>
      <c r="B339" s="2" t="s">
        <v>2609</v>
      </c>
      <c r="C339" s="2" t="s">
        <v>2610</v>
      </c>
      <c r="D339" s="2">
        <v>2024</v>
      </c>
      <c r="E339" s="3">
        <v>45292</v>
      </c>
      <c r="F339" s="2" t="s">
        <v>2611</v>
      </c>
      <c r="G339" s="2">
        <v>12</v>
      </c>
      <c r="H339" s="2" t="s">
        <v>43</v>
      </c>
      <c r="I339" s="2" t="s">
        <v>43</v>
      </c>
      <c r="J339" s="2" t="s">
        <v>2612</v>
      </c>
      <c r="K339" s="2" t="s">
        <v>183</v>
      </c>
      <c r="L339" s="2" t="s">
        <v>29</v>
      </c>
      <c r="M339" s="2" t="s">
        <v>2613</v>
      </c>
      <c r="N339" s="2" t="s">
        <v>827</v>
      </c>
      <c r="O339" s="4">
        <v>1027</v>
      </c>
      <c r="P339" s="2" t="s">
        <v>2614</v>
      </c>
      <c r="Q339" s="2" t="s">
        <v>33</v>
      </c>
      <c r="R339" s="2" t="s">
        <v>2615</v>
      </c>
      <c r="S339" s="2" t="s">
        <v>2616</v>
      </c>
      <c r="T339" s="2" t="s">
        <v>2617</v>
      </c>
      <c r="U339" s="2" t="s">
        <v>2618</v>
      </c>
      <c r="V339" s="2" t="s">
        <v>1249</v>
      </c>
    </row>
    <row r="340" spans="1:22">
      <c r="A340" s="2" t="s">
        <v>1344</v>
      </c>
      <c r="B340" s="2" t="s">
        <v>2619</v>
      </c>
      <c r="C340" s="2" t="s">
        <v>2620</v>
      </c>
      <c r="D340" s="2">
        <v>2024</v>
      </c>
      <c r="E340" s="3">
        <v>45536</v>
      </c>
      <c r="F340" s="2" t="s">
        <v>2621</v>
      </c>
      <c r="G340" s="2">
        <v>39</v>
      </c>
      <c r="H340" s="2">
        <v>9</v>
      </c>
      <c r="I340" s="2" t="s">
        <v>2622</v>
      </c>
      <c r="J340" s="2" t="s">
        <v>2623</v>
      </c>
      <c r="K340" s="2" t="s">
        <v>796</v>
      </c>
      <c r="L340" s="2" t="s">
        <v>29</v>
      </c>
      <c r="M340" s="2" t="s">
        <v>246</v>
      </c>
      <c r="N340" s="2" t="s">
        <v>476</v>
      </c>
      <c r="O340" s="2" t="s">
        <v>2624</v>
      </c>
      <c r="P340" s="2" t="s">
        <v>2625</v>
      </c>
      <c r="Q340" s="2" t="s">
        <v>33</v>
      </c>
      <c r="R340" s="2" t="s">
        <v>2626</v>
      </c>
      <c r="S340" s="2" t="s">
        <v>2399</v>
      </c>
      <c r="T340" s="2" t="s">
        <v>2627</v>
      </c>
      <c r="U340" s="2" t="s">
        <v>2628</v>
      </c>
      <c r="V340" s="2" t="s">
        <v>80</v>
      </c>
    </row>
    <row r="341" spans="1:22">
      <c r="A341" s="2" t="s">
        <v>1916</v>
      </c>
      <c r="B341" s="2" t="s">
        <v>2619</v>
      </c>
      <c r="C341" s="2" t="s">
        <v>2620</v>
      </c>
      <c r="D341" s="2">
        <v>2024</v>
      </c>
      <c r="E341" s="3">
        <v>45536</v>
      </c>
      <c r="F341" s="2" t="s">
        <v>2621</v>
      </c>
      <c r="G341" s="2">
        <v>39</v>
      </c>
      <c r="H341" s="2">
        <v>9</v>
      </c>
      <c r="I341" s="2" t="s">
        <v>2622</v>
      </c>
      <c r="J341" s="2" t="s">
        <v>2623</v>
      </c>
      <c r="K341" s="2" t="s">
        <v>796</v>
      </c>
      <c r="L341" s="2" t="s">
        <v>29</v>
      </c>
      <c r="M341" s="2" t="s">
        <v>246</v>
      </c>
      <c r="N341" s="2" t="s">
        <v>476</v>
      </c>
      <c r="O341" s="2" t="s">
        <v>2624</v>
      </c>
      <c r="P341" s="2" t="s">
        <v>2625</v>
      </c>
      <c r="Q341" s="2" t="s">
        <v>33</v>
      </c>
      <c r="R341" s="2" t="s">
        <v>2626</v>
      </c>
      <c r="S341" s="2" t="s">
        <v>2399</v>
      </c>
      <c r="T341" s="2" t="s">
        <v>2627</v>
      </c>
      <c r="U341" s="2" t="s">
        <v>2628</v>
      </c>
      <c r="V341" s="2" t="s">
        <v>80</v>
      </c>
    </row>
    <row r="342" spans="1:22">
      <c r="A342" s="2" t="s">
        <v>1967</v>
      </c>
      <c r="B342" s="2" t="s">
        <v>2619</v>
      </c>
      <c r="C342" s="2" t="s">
        <v>2620</v>
      </c>
      <c r="D342" s="2">
        <v>2024</v>
      </c>
      <c r="E342" s="3">
        <v>45536</v>
      </c>
      <c r="F342" s="2" t="s">
        <v>2621</v>
      </c>
      <c r="G342" s="2">
        <v>39</v>
      </c>
      <c r="H342" s="2">
        <v>9</v>
      </c>
      <c r="I342" s="2" t="s">
        <v>2622</v>
      </c>
      <c r="J342" s="2" t="s">
        <v>2623</v>
      </c>
      <c r="K342" s="2" t="s">
        <v>796</v>
      </c>
      <c r="L342" s="2" t="s">
        <v>29</v>
      </c>
      <c r="M342" s="2" t="s">
        <v>246</v>
      </c>
      <c r="N342" s="2" t="s">
        <v>476</v>
      </c>
      <c r="O342" s="2" t="s">
        <v>2624</v>
      </c>
      <c r="P342" s="2" t="s">
        <v>2625</v>
      </c>
      <c r="Q342" s="2" t="s">
        <v>33</v>
      </c>
      <c r="R342" s="2" t="s">
        <v>2626</v>
      </c>
      <c r="S342" s="2" t="s">
        <v>2399</v>
      </c>
      <c r="T342" s="2" t="s">
        <v>2627</v>
      </c>
      <c r="U342" s="2" t="s">
        <v>2628</v>
      </c>
      <c r="V342" s="2" t="s">
        <v>80</v>
      </c>
    </row>
    <row r="343" spans="1:22">
      <c r="A343" s="2" t="s">
        <v>2629</v>
      </c>
      <c r="B343" s="2" t="s">
        <v>2619</v>
      </c>
      <c r="C343" s="2" t="s">
        <v>2620</v>
      </c>
      <c r="D343" s="2">
        <v>2024</v>
      </c>
      <c r="E343" s="3">
        <v>45536</v>
      </c>
      <c r="F343" s="2" t="s">
        <v>2621</v>
      </c>
      <c r="G343" s="2">
        <v>39</v>
      </c>
      <c r="H343" s="2">
        <v>9</v>
      </c>
      <c r="I343" s="2" t="s">
        <v>2622</v>
      </c>
      <c r="J343" s="2" t="s">
        <v>2623</v>
      </c>
      <c r="K343" s="2" t="s">
        <v>796</v>
      </c>
      <c r="L343" s="2" t="s">
        <v>29</v>
      </c>
      <c r="M343" s="2" t="s">
        <v>246</v>
      </c>
      <c r="N343" s="2" t="s">
        <v>476</v>
      </c>
      <c r="O343" s="2" t="s">
        <v>2624</v>
      </c>
      <c r="P343" s="2" t="s">
        <v>2625</v>
      </c>
      <c r="Q343" s="2" t="s">
        <v>33</v>
      </c>
      <c r="R343" s="2" t="s">
        <v>2626</v>
      </c>
      <c r="S343" s="2" t="s">
        <v>2399</v>
      </c>
      <c r="T343" s="2" t="s">
        <v>2627</v>
      </c>
      <c r="U343" s="2" t="s">
        <v>2628</v>
      </c>
      <c r="V343" s="2" t="s">
        <v>80</v>
      </c>
    </row>
    <row r="344" spans="1:22">
      <c r="A344" s="2" t="s">
        <v>433</v>
      </c>
      <c r="B344" s="2" t="s">
        <v>2619</v>
      </c>
      <c r="C344" s="2" t="s">
        <v>2620</v>
      </c>
      <c r="D344" s="2">
        <v>2024</v>
      </c>
      <c r="E344" s="3">
        <v>45536</v>
      </c>
      <c r="F344" s="2" t="s">
        <v>2621</v>
      </c>
      <c r="G344" s="2">
        <v>39</v>
      </c>
      <c r="H344" s="2">
        <v>9</v>
      </c>
      <c r="I344" s="2" t="s">
        <v>2622</v>
      </c>
      <c r="J344" s="2" t="s">
        <v>2623</v>
      </c>
      <c r="K344" s="2" t="s">
        <v>796</v>
      </c>
      <c r="L344" s="2" t="s">
        <v>29</v>
      </c>
      <c r="M344" s="2" t="s">
        <v>246</v>
      </c>
      <c r="N344" s="2" t="s">
        <v>476</v>
      </c>
      <c r="O344" s="2" t="s">
        <v>2624</v>
      </c>
      <c r="P344" s="2" t="s">
        <v>2625</v>
      </c>
      <c r="Q344" s="2" t="s">
        <v>33</v>
      </c>
      <c r="R344" s="2" t="s">
        <v>2626</v>
      </c>
      <c r="S344" s="2" t="s">
        <v>2399</v>
      </c>
      <c r="T344" s="2" t="s">
        <v>2627</v>
      </c>
      <c r="U344" s="2" t="s">
        <v>2628</v>
      </c>
      <c r="V344" s="2" t="s">
        <v>80</v>
      </c>
    </row>
    <row r="345" spans="1:22">
      <c r="A345" s="2" t="s">
        <v>1969</v>
      </c>
      <c r="B345" s="2" t="s">
        <v>2619</v>
      </c>
      <c r="C345" s="2" t="s">
        <v>2620</v>
      </c>
      <c r="D345" s="2">
        <v>2024</v>
      </c>
      <c r="E345" s="3">
        <v>45536</v>
      </c>
      <c r="F345" s="2" t="s">
        <v>2621</v>
      </c>
      <c r="G345" s="2">
        <v>39</v>
      </c>
      <c r="H345" s="2">
        <v>9</v>
      </c>
      <c r="I345" s="2" t="s">
        <v>2622</v>
      </c>
      <c r="J345" s="2" t="s">
        <v>2623</v>
      </c>
      <c r="K345" s="2" t="s">
        <v>796</v>
      </c>
      <c r="L345" s="2" t="s">
        <v>29</v>
      </c>
      <c r="M345" s="2" t="s">
        <v>246</v>
      </c>
      <c r="N345" s="2" t="s">
        <v>476</v>
      </c>
      <c r="O345" s="2" t="s">
        <v>2624</v>
      </c>
      <c r="P345" s="2" t="s">
        <v>2625</v>
      </c>
      <c r="Q345" s="2" t="s">
        <v>33</v>
      </c>
      <c r="R345" s="2" t="s">
        <v>2626</v>
      </c>
      <c r="S345" s="2" t="s">
        <v>2399</v>
      </c>
      <c r="T345" s="2" t="s">
        <v>2627</v>
      </c>
      <c r="U345" s="2" t="s">
        <v>2628</v>
      </c>
      <c r="V345" s="2" t="s">
        <v>80</v>
      </c>
    </row>
    <row r="346" spans="1:22">
      <c r="A346" s="2" t="s">
        <v>2630</v>
      </c>
      <c r="B346" s="2" t="s">
        <v>2631</v>
      </c>
      <c r="C346" s="2" t="s">
        <v>2632</v>
      </c>
      <c r="D346" s="2">
        <v>2024</v>
      </c>
      <c r="E346" s="3">
        <v>45566</v>
      </c>
      <c r="F346" s="2" t="s">
        <v>2633</v>
      </c>
      <c r="G346" s="2">
        <v>11</v>
      </c>
      <c r="H346" s="2">
        <v>4</v>
      </c>
      <c r="I346" s="2" t="s">
        <v>43</v>
      </c>
      <c r="J346" s="2" t="s">
        <v>2634</v>
      </c>
      <c r="K346" s="2" t="s">
        <v>119</v>
      </c>
      <c r="L346" s="2" t="s">
        <v>29</v>
      </c>
      <c r="M346" s="2" t="s">
        <v>1362</v>
      </c>
      <c r="N346" s="2" t="s">
        <v>196</v>
      </c>
      <c r="O346" s="2" t="s">
        <v>2635</v>
      </c>
      <c r="P346" s="2" t="s">
        <v>2636</v>
      </c>
      <c r="Q346" s="2" t="s">
        <v>33</v>
      </c>
      <c r="R346" s="2" t="s">
        <v>2637</v>
      </c>
      <c r="S346" s="2" t="s">
        <v>1681</v>
      </c>
      <c r="T346" s="2" t="s">
        <v>2638</v>
      </c>
      <c r="U346" s="2" t="s">
        <v>2639</v>
      </c>
      <c r="V346" s="2" t="s">
        <v>80</v>
      </c>
    </row>
    <row r="347" spans="1:22">
      <c r="A347" s="2" t="s">
        <v>2640</v>
      </c>
      <c r="B347" s="2" t="s">
        <v>2641</v>
      </c>
      <c r="C347" s="2" t="s">
        <v>2642</v>
      </c>
      <c r="D347" s="2">
        <v>2025</v>
      </c>
      <c r="E347" s="3">
        <v>45658</v>
      </c>
      <c r="F347" s="2" t="s">
        <v>2643</v>
      </c>
      <c r="G347" s="2">
        <v>17</v>
      </c>
      <c r="H347" s="2" t="s">
        <v>43</v>
      </c>
      <c r="I347" s="2" t="s">
        <v>2644</v>
      </c>
      <c r="J347" s="2" t="s">
        <v>2645</v>
      </c>
      <c r="K347" s="2" t="s">
        <v>2646</v>
      </c>
      <c r="L347" s="2" t="s">
        <v>29</v>
      </c>
      <c r="M347" s="2" t="s">
        <v>144</v>
      </c>
      <c r="N347" s="2" t="s">
        <v>2647</v>
      </c>
      <c r="O347" s="4">
        <v>1025</v>
      </c>
      <c r="P347" s="2" t="s">
        <v>2648</v>
      </c>
      <c r="Q347" s="2" t="s">
        <v>33</v>
      </c>
      <c r="R347" s="2" t="s">
        <v>2649</v>
      </c>
      <c r="S347" s="2" t="s">
        <v>2650</v>
      </c>
      <c r="T347" s="2" t="s">
        <v>2651</v>
      </c>
      <c r="U347" s="2" t="s">
        <v>2652</v>
      </c>
      <c r="V347" s="2" t="s">
        <v>594</v>
      </c>
    </row>
    <row r="348" spans="1:22">
      <c r="A348" s="2" t="s">
        <v>39</v>
      </c>
      <c r="B348" s="2" t="s">
        <v>2653</v>
      </c>
      <c r="C348" s="2" t="s">
        <v>2654</v>
      </c>
      <c r="D348" s="2">
        <v>2025</v>
      </c>
      <c r="E348" s="3">
        <v>45992</v>
      </c>
      <c r="F348" s="2" t="s">
        <v>2655</v>
      </c>
      <c r="G348" s="2">
        <v>110</v>
      </c>
      <c r="H348" s="2">
        <v>12</v>
      </c>
      <c r="I348" s="2" t="s">
        <v>2656</v>
      </c>
      <c r="J348" s="2" t="s">
        <v>2657</v>
      </c>
      <c r="K348" s="2" t="s">
        <v>2314</v>
      </c>
      <c r="L348" s="2" t="s">
        <v>29</v>
      </c>
      <c r="M348" s="2" t="s">
        <v>374</v>
      </c>
      <c r="N348" s="2" t="s">
        <v>76</v>
      </c>
      <c r="O348" s="4">
        <v>2155</v>
      </c>
      <c r="P348" s="2" t="s">
        <v>2658</v>
      </c>
      <c r="Q348" s="2" t="s">
        <v>33</v>
      </c>
      <c r="R348" s="2" t="s">
        <v>2659</v>
      </c>
      <c r="S348" s="2" t="s">
        <v>1504</v>
      </c>
      <c r="T348" s="2" t="s">
        <v>2660</v>
      </c>
      <c r="U348" s="2" t="s">
        <v>2661</v>
      </c>
      <c r="V348" s="2" t="s">
        <v>621</v>
      </c>
    </row>
    <row r="349" spans="1:22">
      <c r="A349" s="2" t="s">
        <v>1983</v>
      </c>
      <c r="B349" s="2" t="s">
        <v>2662</v>
      </c>
      <c r="C349" s="2" t="s">
        <v>2663</v>
      </c>
      <c r="D349" s="2">
        <v>2025</v>
      </c>
      <c r="E349" s="3">
        <v>45901</v>
      </c>
      <c r="F349" s="2" t="s">
        <v>2664</v>
      </c>
      <c r="G349" s="2">
        <v>14</v>
      </c>
      <c r="H349" s="2">
        <v>9</v>
      </c>
      <c r="I349" s="2" t="s">
        <v>43</v>
      </c>
      <c r="J349" s="2" t="s">
        <v>2665</v>
      </c>
      <c r="K349" s="2" t="s">
        <v>61</v>
      </c>
      <c r="L349" s="2" t="s">
        <v>29</v>
      </c>
      <c r="M349" s="2" t="s">
        <v>1182</v>
      </c>
      <c r="N349" s="2" t="s">
        <v>134</v>
      </c>
      <c r="O349" s="2" t="s">
        <v>2666</v>
      </c>
      <c r="P349" s="2" t="s">
        <v>2667</v>
      </c>
      <c r="Q349" s="2" t="s">
        <v>33</v>
      </c>
      <c r="R349" s="2" t="s">
        <v>2668</v>
      </c>
      <c r="S349" s="2" t="s">
        <v>2669</v>
      </c>
      <c r="T349" s="2" t="s">
        <v>2670</v>
      </c>
      <c r="U349" s="2" t="s">
        <v>2671</v>
      </c>
      <c r="V349" s="2" t="s">
        <v>594</v>
      </c>
    </row>
    <row r="350" spans="1:22" ht="28.8">
      <c r="A350" s="2" t="s">
        <v>2672</v>
      </c>
      <c r="B350" s="2" t="s">
        <v>2673</v>
      </c>
      <c r="C350" s="2" t="s">
        <v>2674</v>
      </c>
      <c r="D350" s="2">
        <v>2024</v>
      </c>
      <c r="E350" s="3">
        <v>45474</v>
      </c>
      <c r="F350" s="2" t="s">
        <v>2675</v>
      </c>
      <c r="G350" s="2">
        <v>14</v>
      </c>
      <c r="H350" s="2">
        <v>14</v>
      </c>
      <c r="I350" s="2" t="s">
        <v>43</v>
      </c>
      <c r="J350" s="2" t="s">
        <v>2676</v>
      </c>
      <c r="K350" s="2" t="s">
        <v>61</v>
      </c>
      <c r="L350" s="2" t="s">
        <v>29</v>
      </c>
      <c r="M350" s="2" t="s">
        <v>2677</v>
      </c>
      <c r="N350" s="2" t="s">
        <v>961</v>
      </c>
      <c r="O350" s="2" t="s">
        <v>2678</v>
      </c>
      <c r="P350" s="2" t="s">
        <v>2679</v>
      </c>
      <c r="Q350" s="2" t="s">
        <v>33</v>
      </c>
      <c r="R350" s="2" t="s">
        <v>2680</v>
      </c>
      <c r="S350" s="2" t="s">
        <v>1556</v>
      </c>
      <c r="T350" s="2" t="s">
        <v>2681</v>
      </c>
      <c r="U350" s="2" t="s">
        <v>2682</v>
      </c>
      <c r="V350" s="2" t="s">
        <v>80</v>
      </c>
    </row>
    <row r="351" spans="1:22">
      <c r="A351" s="2" t="s">
        <v>2683</v>
      </c>
      <c r="B351" s="2" t="s">
        <v>2684</v>
      </c>
      <c r="C351" s="2" t="s">
        <v>2685</v>
      </c>
      <c r="D351" s="2">
        <v>2024</v>
      </c>
      <c r="E351" s="3">
        <v>45323</v>
      </c>
      <c r="F351" s="2" t="s">
        <v>2509</v>
      </c>
      <c r="G351" s="2">
        <v>43</v>
      </c>
      <c r="H351" s="2">
        <v>7</v>
      </c>
      <c r="I351" s="2" t="s">
        <v>2686</v>
      </c>
      <c r="J351" s="2" t="s">
        <v>2511</v>
      </c>
      <c r="K351" s="2" t="s">
        <v>1624</v>
      </c>
      <c r="L351" s="2" t="s">
        <v>29</v>
      </c>
      <c r="M351" s="2" t="s">
        <v>653</v>
      </c>
      <c r="N351" s="2" t="s">
        <v>1520</v>
      </c>
      <c r="O351" s="4">
        <v>1024</v>
      </c>
      <c r="P351" s="2" t="s">
        <v>2687</v>
      </c>
      <c r="Q351" s="2" t="s">
        <v>33</v>
      </c>
      <c r="R351" s="2" t="s">
        <v>2688</v>
      </c>
      <c r="S351" s="2" t="s">
        <v>2689</v>
      </c>
      <c r="T351" s="2" t="s">
        <v>2690</v>
      </c>
      <c r="U351" s="2" t="s">
        <v>2691</v>
      </c>
      <c r="V351" s="2" t="s">
        <v>80</v>
      </c>
    </row>
    <row r="352" spans="1:22">
      <c r="A352" s="2" t="s">
        <v>39</v>
      </c>
      <c r="B352" s="2" t="s">
        <v>2692</v>
      </c>
      <c r="C352" s="2" t="s">
        <v>2693</v>
      </c>
      <c r="D352" s="2">
        <v>2024</v>
      </c>
      <c r="E352" s="3">
        <v>45627</v>
      </c>
      <c r="F352" s="2" t="s">
        <v>2694</v>
      </c>
      <c r="G352" s="2">
        <v>19</v>
      </c>
      <c r="H352" s="2">
        <v>12</v>
      </c>
      <c r="I352" s="2" t="s">
        <v>43</v>
      </c>
      <c r="J352" s="2" t="s">
        <v>2695</v>
      </c>
      <c r="K352" s="2" t="s">
        <v>1258</v>
      </c>
      <c r="L352" s="2" t="s">
        <v>29</v>
      </c>
      <c r="M352" s="2" t="s">
        <v>1637</v>
      </c>
      <c r="N352" s="2" t="s">
        <v>121</v>
      </c>
      <c r="O352" s="4">
        <v>1137</v>
      </c>
      <c r="P352" s="2" t="s">
        <v>2696</v>
      </c>
      <c r="Q352" s="2" t="s">
        <v>33</v>
      </c>
      <c r="R352" s="2" t="s">
        <v>2697</v>
      </c>
      <c r="S352" s="2" t="s">
        <v>2698</v>
      </c>
      <c r="T352" s="2" t="s">
        <v>2699</v>
      </c>
      <c r="U352" s="2" t="s">
        <v>2700</v>
      </c>
      <c r="V352" s="2" t="s">
        <v>621</v>
      </c>
    </row>
    <row r="353" spans="1:22" ht="28.8">
      <c r="A353" s="2" t="s">
        <v>2701</v>
      </c>
      <c r="B353" s="2" t="s">
        <v>2702</v>
      </c>
      <c r="C353" s="2" t="s">
        <v>2703</v>
      </c>
      <c r="D353" s="2">
        <v>2025</v>
      </c>
      <c r="E353" s="3">
        <v>45817</v>
      </c>
      <c r="F353" s="2" t="s">
        <v>2704</v>
      </c>
      <c r="G353" s="2">
        <v>65</v>
      </c>
      <c r="H353" s="2">
        <v>11</v>
      </c>
      <c r="I353" s="2" t="s">
        <v>2705</v>
      </c>
      <c r="J353" s="2" t="s">
        <v>2706</v>
      </c>
      <c r="K353" s="2" t="s">
        <v>2707</v>
      </c>
      <c r="L353" s="2" t="s">
        <v>29</v>
      </c>
      <c r="M353" s="2" t="s">
        <v>62</v>
      </c>
      <c r="N353" s="2" t="s">
        <v>281</v>
      </c>
      <c r="O353" s="2" t="s">
        <v>2708</v>
      </c>
      <c r="P353" s="2" t="s">
        <v>2709</v>
      </c>
      <c r="Q353" s="2" t="s">
        <v>33</v>
      </c>
      <c r="R353" s="2" t="s">
        <v>2710</v>
      </c>
      <c r="S353" s="2" t="s">
        <v>2711</v>
      </c>
      <c r="T353" s="2" t="s">
        <v>2712</v>
      </c>
      <c r="U353" s="2" t="s">
        <v>2713</v>
      </c>
      <c r="V353" s="2" t="s">
        <v>2714</v>
      </c>
    </row>
    <row r="354" spans="1:22" ht="28.8">
      <c r="A354" s="2" t="s">
        <v>996</v>
      </c>
      <c r="B354" s="2" t="s">
        <v>2702</v>
      </c>
      <c r="C354" s="2" t="s">
        <v>2703</v>
      </c>
      <c r="D354" s="2">
        <v>2025</v>
      </c>
      <c r="E354" s="3">
        <v>45817</v>
      </c>
      <c r="F354" s="2" t="s">
        <v>2704</v>
      </c>
      <c r="G354" s="2">
        <v>65</v>
      </c>
      <c r="H354" s="2">
        <v>11</v>
      </c>
      <c r="I354" s="2" t="s">
        <v>2705</v>
      </c>
      <c r="J354" s="2" t="s">
        <v>2706</v>
      </c>
      <c r="K354" s="2" t="s">
        <v>2707</v>
      </c>
      <c r="L354" s="2" t="s">
        <v>29</v>
      </c>
      <c r="M354" s="2" t="s">
        <v>62</v>
      </c>
      <c r="N354" s="2" t="s">
        <v>281</v>
      </c>
      <c r="O354" s="2" t="s">
        <v>2708</v>
      </c>
      <c r="P354" s="2" t="s">
        <v>2709</v>
      </c>
      <c r="Q354" s="2" t="s">
        <v>33</v>
      </c>
      <c r="R354" s="2" t="s">
        <v>2710</v>
      </c>
      <c r="S354" s="2" t="s">
        <v>2711</v>
      </c>
      <c r="T354" s="2" t="s">
        <v>2712</v>
      </c>
      <c r="U354" s="2" t="s">
        <v>2713</v>
      </c>
      <c r="V354" s="2" t="s">
        <v>2714</v>
      </c>
    </row>
    <row r="355" spans="1:22">
      <c r="A355" s="2" t="s">
        <v>2018</v>
      </c>
      <c r="B355" s="2" t="s">
        <v>2715</v>
      </c>
      <c r="C355" s="2" t="s">
        <v>2716</v>
      </c>
      <c r="D355" s="2">
        <v>2025</v>
      </c>
      <c r="E355" s="3">
        <v>45658</v>
      </c>
      <c r="F355" s="2" t="s">
        <v>2717</v>
      </c>
      <c r="G355" s="2">
        <v>21</v>
      </c>
      <c r="H355" s="2">
        <v>2</v>
      </c>
      <c r="I355" s="2" t="s">
        <v>43</v>
      </c>
      <c r="J355" s="2" t="s">
        <v>2718</v>
      </c>
      <c r="K355" s="2" t="s">
        <v>2719</v>
      </c>
      <c r="L355" s="2" t="s">
        <v>29</v>
      </c>
      <c r="M355" s="2" t="s">
        <v>464</v>
      </c>
      <c r="N355" s="2" t="s">
        <v>234</v>
      </c>
      <c r="O355" s="2" t="s">
        <v>2720</v>
      </c>
      <c r="P355" s="2" t="s">
        <v>2721</v>
      </c>
      <c r="Q355" s="2" t="s">
        <v>33</v>
      </c>
      <c r="R355" s="2" t="s">
        <v>2722</v>
      </c>
      <c r="S355" s="2" t="s">
        <v>2723</v>
      </c>
      <c r="T355" s="2" t="s">
        <v>2724</v>
      </c>
      <c r="U355" s="2" t="s">
        <v>2725</v>
      </c>
      <c r="V355" s="2" t="s">
        <v>2726</v>
      </c>
    </row>
    <row r="356" spans="1:22">
      <c r="A356" s="2" t="s">
        <v>2727</v>
      </c>
      <c r="B356" s="2" t="s">
        <v>2715</v>
      </c>
      <c r="C356" s="2" t="s">
        <v>2716</v>
      </c>
      <c r="D356" s="2">
        <v>2025</v>
      </c>
      <c r="E356" s="3">
        <v>45658</v>
      </c>
      <c r="F356" s="2" t="s">
        <v>2717</v>
      </c>
      <c r="G356" s="2">
        <v>21</v>
      </c>
      <c r="H356" s="2">
        <v>2</v>
      </c>
      <c r="I356" s="2" t="s">
        <v>43</v>
      </c>
      <c r="J356" s="2" t="s">
        <v>2718</v>
      </c>
      <c r="K356" s="2" t="s">
        <v>2719</v>
      </c>
      <c r="L356" s="2" t="s">
        <v>29</v>
      </c>
      <c r="M356" s="2" t="s">
        <v>464</v>
      </c>
      <c r="N356" s="2" t="s">
        <v>234</v>
      </c>
      <c r="O356" s="2" t="s">
        <v>2720</v>
      </c>
      <c r="P356" s="2" t="s">
        <v>2721</v>
      </c>
      <c r="Q356" s="2" t="s">
        <v>33</v>
      </c>
      <c r="R356" s="2" t="s">
        <v>2722</v>
      </c>
      <c r="S356" s="2" t="s">
        <v>2723</v>
      </c>
      <c r="T356" s="2" t="s">
        <v>2724</v>
      </c>
      <c r="U356" s="2" t="s">
        <v>2725</v>
      </c>
      <c r="V356" s="2" t="s">
        <v>2726</v>
      </c>
    </row>
    <row r="357" spans="1:22">
      <c r="A357" s="2" t="s">
        <v>2728</v>
      </c>
      <c r="B357" s="2" t="s">
        <v>2729</v>
      </c>
      <c r="C357" s="2" t="s">
        <v>2730</v>
      </c>
      <c r="D357" s="2">
        <v>2024</v>
      </c>
      <c r="E357" s="3">
        <v>45566</v>
      </c>
      <c r="F357" s="2" t="s">
        <v>2731</v>
      </c>
      <c r="G357" s="2">
        <v>16</v>
      </c>
      <c r="H357" s="2">
        <v>2</v>
      </c>
      <c r="I357" s="2" t="s">
        <v>2732</v>
      </c>
      <c r="J357" s="2" t="s">
        <v>2733</v>
      </c>
      <c r="K357" s="2" t="s">
        <v>2734</v>
      </c>
      <c r="L357" s="2" t="s">
        <v>29</v>
      </c>
      <c r="M357" s="2" t="s">
        <v>2735</v>
      </c>
      <c r="N357" s="2" t="s">
        <v>1544</v>
      </c>
      <c r="O357" s="2" t="s">
        <v>2736</v>
      </c>
      <c r="P357" s="2" t="s">
        <v>2737</v>
      </c>
      <c r="Q357" s="2" t="s">
        <v>33</v>
      </c>
      <c r="R357" s="2" t="s">
        <v>2738</v>
      </c>
      <c r="S357" s="2" t="s">
        <v>2739</v>
      </c>
      <c r="T357" s="2" t="s">
        <v>2740</v>
      </c>
      <c r="U357" s="2" t="s">
        <v>2741</v>
      </c>
      <c r="V357" s="2" t="s">
        <v>594</v>
      </c>
    </row>
    <row r="358" spans="1:22" ht="28.8">
      <c r="A358" s="2" t="s">
        <v>276</v>
      </c>
      <c r="B358" s="2" t="s">
        <v>2742</v>
      </c>
      <c r="C358" s="2" t="s">
        <v>2743</v>
      </c>
      <c r="D358" s="2">
        <v>2025</v>
      </c>
      <c r="E358" s="3">
        <v>45870</v>
      </c>
      <c r="F358" s="2" t="s">
        <v>1470</v>
      </c>
      <c r="G358" s="2">
        <v>15</v>
      </c>
      <c r="H358" s="2">
        <v>15</v>
      </c>
      <c r="I358" s="2" t="s">
        <v>43</v>
      </c>
      <c r="J358" s="2" t="s">
        <v>1471</v>
      </c>
      <c r="K358" s="2" t="s">
        <v>61</v>
      </c>
      <c r="L358" s="2" t="s">
        <v>29</v>
      </c>
      <c r="M358" s="2" t="s">
        <v>246</v>
      </c>
      <c r="N358" s="2" t="s">
        <v>1581</v>
      </c>
      <c r="O358" s="2" t="s">
        <v>2336</v>
      </c>
      <c r="P358" s="2" t="s">
        <v>2744</v>
      </c>
      <c r="Q358" s="2" t="s">
        <v>49</v>
      </c>
      <c r="R358" s="2" t="s">
        <v>2745</v>
      </c>
      <c r="S358" s="2" t="s">
        <v>2746</v>
      </c>
      <c r="T358" s="2" t="s">
        <v>2747</v>
      </c>
      <c r="U358" s="2" t="s">
        <v>2748</v>
      </c>
      <c r="V358" s="2" t="s">
        <v>594</v>
      </c>
    </row>
    <row r="359" spans="1:22">
      <c r="A359" s="2" t="s">
        <v>2749</v>
      </c>
      <c r="B359" s="2" t="s">
        <v>2750</v>
      </c>
      <c r="C359" s="2" t="s">
        <v>2751</v>
      </c>
      <c r="D359" s="2">
        <v>2024</v>
      </c>
      <c r="E359" s="3">
        <v>45383</v>
      </c>
      <c r="F359" s="2" t="s">
        <v>2752</v>
      </c>
      <c r="G359" s="2">
        <v>12</v>
      </c>
      <c r="H359" s="2">
        <v>8</v>
      </c>
      <c r="I359" s="2" t="s">
        <v>43</v>
      </c>
      <c r="J359" s="2" t="s">
        <v>2753</v>
      </c>
      <c r="K359" s="2" t="s">
        <v>2328</v>
      </c>
      <c r="L359" s="2" t="s">
        <v>29</v>
      </c>
      <c r="M359" s="2" t="s">
        <v>2110</v>
      </c>
      <c r="N359" s="2" t="s">
        <v>2754</v>
      </c>
      <c r="O359" s="2" t="s">
        <v>2755</v>
      </c>
      <c r="P359" s="2" t="s">
        <v>2756</v>
      </c>
      <c r="Q359" s="2" t="s">
        <v>33</v>
      </c>
      <c r="R359" s="2" t="s">
        <v>2757</v>
      </c>
      <c r="S359" s="2" t="s">
        <v>1140</v>
      </c>
      <c r="T359" s="2" t="s">
        <v>2758</v>
      </c>
      <c r="U359" s="2" t="s">
        <v>2759</v>
      </c>
      <c r="V359" s="2" t="s">
        <v>594</v>
      </c>
    </row>
    <row r="360" spans="1:22">
      <c r="A360" s="2" t="s">
        <v>2309</v>
      </c>
      <c r="B360" s="2" t="s">
        <v>2750</v>
      </c>
      <c r="C360" s="2" t="s">
        <v>2751</v>
      </c>
      <c r="D360" s="2">
        <v>2024</v>
      </c>
      <c r="E360" s="3">
        <v>45383</v>
      </c>
      <c r="F360" s="2" t="s">
        <v>2752</v>
      </c>
      <c r="G360" s="2">
        <v>12</v>
      </c>
      <c r="H360" s="2">
        <v>8</v>
      </c>
      <c r="I360" s="2" t="s">
        <v>43</v>
      </c>
      <c r="J360" s="2" t="s">
        <v>2753</v>
      </c>
      <c r="K360" s="2" t="s">
        <v>2328</v>
      </c>
      <c r="L360" s="2" t="s">
        <v>29</v>
      </c>
      <c r="M360" s="2" t="s">
        <v>2110</v>
      </c>
      <c r="N360" s="2" t="s">
        <v>2754</v>
      </c>
      <c r="O360" s="2" t="s">
        <v>2755</v>
      </c>
      <c r="P360" s="2" t="s">
        <v>2756</v>
      </c>
      <c r="Q360" s="2" t="s">
        <v>33</v>
      </c>
      <c r="R360" s="2" t="s">
        <v>2757</v>
      </c>
      <c r="S360" s="2" t="s">
        <v>1140</v>
      </c>
      <c r="T360" s="2" t="s">
        <v>2758</v>
      </c>
      <c r="U360" s="2" t="s">
        <v>2759</v>
      </c>
      <c r="V360" s="2" t="s">
        <v>594</v>
      </c>
    </row>
    <row r="361" spans="1:22">
      <c r="A361" s="2" t="s">
        <v>384</v>
      </c>
      <c r="B361" s="2" t="s">
        <v>2750</v>
      </c>
      <c r="C361" s="2" t="s">
        <v>2751</v>
      </c>
      <c r="D361" s="2">
        <v>2024</v>
      </c>
      <c r="E361" s="3">
        <v>45383</v>
      </c>
      <c r="F361" s="2" t="s">
        <v>2752</v>
      </c>
      <c r="G361" s="2">
        <v>12</v>
      </c>
      <c r="H361" s="2">
        <v>8</v>
      </c>
      <c r="I361" s="2" t="s">
        <v>43</v>
      </c>
      <c r="J361" s="2" t="s">
        <v>2753</v>
      </c>
      <c r="K361" s="2" t="s">
        <v>2328</v>
      </c>
      <c r="L361" s="2" t="s">
        <v>29</v>
      </c>
      <c r="M361" s="2" t="s">
        <v>2110</v>
      </c>
      <c r="N361" s="2" t="s">
        <v>2754</v>
      </c>
      <c r="O361" s="2" t="s">
        <v>2755</v>
      </c>
      <c r="P361" s="2" t="s">
        <v>2756</v>
      </c>
      <c r="Q361" s="2" t="s">
        <v>33</v>
      </c>
      <c r="R361" s="2" t="s">
        <v>2757</v>
      </c>
      <c r="S361" s="2" t="s">
        <v>1140</v>
      </c>
      <c r="T361" s="2" t="s">
        <v>2758</v>
      </c>
      <c r="U361" s="2" t="s">
        <v>2759</v>
      </c>
      <c r="V361" s="2" t="s">
        <v>594</v>
      </c>
    </row>
    <row r="362" spans="1:22">
      <c r="A362" s="2" t="s">
        <v>422</v>
      </c>
      <c r="B362" s="2" t="s">
        <v>2760</v>
      </c>
      <c r="C362" s="2" t="s">
        <v>424</v>
      </c>
      <c r="D362" s="2">
        <v>2025</v>
      </c>
      <c r="E362" s="3">
        <v>45778</v>
      </c>
      <c r="F362" s="2" t="s">
        <v>1784</v>
      </c>
      <c r="G362" s="2">
        <v>13</v>
      </c>
      <c r="H362" s="2">
        <v>5</v>
      </c>
      <c r="I362" s="2" t="s">
        <v>43</v>
      </c>
      <c r="J362" s="2" t="s">
        <v>1785</v>
      </c>
      <c r="K362" s="2" t="s">
        <v>61</v>
      </c>
      <c r="L362" s="2" t="s">
        <v>29</v>
      </c>
      <c r="M362" s="2" t="s">
        <v>2492</v>
      </c>
      <c r="N362" s="2" t="s">
        <v>348</v>
      </c>
      <c r="O362" s="4">
        <v>1165</v>
      </c>
      <c r="P362" s="2" t="s">
        <v>2761</v>
      </c>
      <c r="Q362" s="2" t="s">
        <v>49</v>
      </c>
      <c r="R362" s="2" t="s">
        <v>2762</v>
      </c>
      <c r="S362" s="2" t="s">
        <v>79</v>
      </c>
      <c r="T362" s="2" t="s">
        <v>431</v>
      </c>
      <c r="U362" s="2" t="s">
        <v>432</v>
      </c>
      <c r="V362" s="2" t="s">
        <v>80</v>
      </c>
    </row>
    <row r="363" spans="1:22">
      <c r="A363" s="2" t="s">
        <v>2763</v>
      </c>
      <c r="B363" s="2" t="s">
        <v>2764</v>
      </c>
      <c r="C363" s="2" t="s">
        <v>2765</v>
      </c>
      <c r="D363" s="2">
        <v>2025</v>
      </c>
      <c r="E363" s="3">
        <v>45658</v>
      </c>
      <c r="F363" s="2" t="s">
        <v>2766</v>
      </c>
      <c r="G363" s="2">
        <v>62</v>
      </c>
      <c r="H363" s="2">
        <v>2</v>
      </c>
      <c r="I363" s="2" t="s">
        <v>43</v>
      </c>
      <c r="J363" s="2" t="s">
        <v>2767</v>
      </c>
      <c r="K363" s="2" t="s">
        <v>2768</v>
      </c>
      <c r="L363" s="2" t="s">
        <v>1867</v>
      </c>
      <c r="M363" s="2" t="s">
        <v>2735</v>
      </c>
      <c r="N363" s="2" t="s">
        <v>428</v>
      </c>
      <c r="O363" s="2" t="s">
        <v>2769</v>
      </c>
      <c r="P363" s="2" t="s">
        <v>2770</v>
      </c>
      <c r="Q363" s="2" t="s">
        <v>33</v>
      </c>
      <c r="R363" s="2" t="s">
        <v>2771</v>
      </c>
      <c r="S363" s="2" t="s">
        <v>398</v>
      </c>
      <c r="T363" s="2" t="s">
        <v>2772</v>
      </c>
      <c r="U363" s="2" t="s">
        <v>2773</v>
      </c>
      <c r="V363" s="2" t="s">
        <v>80</v>
      </c>
    </row>
    <row r="364" spans="1:22">
      <c r="A364" s="2" t="s">
        <v>2774</v>
      </c>
      <c r="B364" s="2" t="s">
        <v>2775</v>
      </c>
      <c r="C364" s="2" t="s">
        <v>2776</v>
      </c>
      <c r="D364" s="2">
        <v>2025</v>
      </c>
      <c r="E364" s="3">
        <v>45658</v>
      </c>
      <c r="F364" s="2" t="s">
        <v>1132</v>
      </c>
      <c r="G364" s="2">
        <v>12</v>
      </c>
      <c r="H364" s="2">
        <v>1</v>
      </c>
      <c r="I364" s="2" t="s">
        <v>43</v>
      </c>
      <c r="J364" s="2" t="s">
        <v>1133</v>
      </c>
      <c r="K364" s="2" t="s">
        <v>1134</v>
      </c>
      <c r="L364" s="2" t="s">
        <v>29</v>
      </c>
      <c r="M364" s="2" t="s">
        <v>839</v>
      </c>
      <c r="N364" s="2" t="s">
        <v>1520</v>
      </c>
      <c r="O364" s="2" t="s">
        <v>1658</v>
      </c>
      <c r="P364" s="2" t="s">
        <v>2777</v>
      </c>
      <c r="Q364" s="2" t="s">
        <v>33</v>
      </c>
      <c r="R364" s="2" t="s">
        <v>2778</v>
      </c>
      <c r="S364" s="2" t="s">
        <v>1140</v>
      </c>
      <c r="T364" s="2" t="s">
        <v>2779</v>
      </c>
      <c r="U364" s="2" t="s">
        <v>2780</v>
      </c>
      <c r="V364" s="2" t="s">
        <v>594</v>
      </c>
    </row>
    <row r="365" spans="1:22">
      <c r="A365" s="2" t="s">
        <v>1551</v>
      </c>
      <c r="B365" s="2" t="s">
        <v>2781</v>
      </c>
      <c r="C365" s="2" t="s">
        <v>2782</v>
      </c>
      <c r="D365" s="2">
        <v>2024</v>
      </c>
      <c r="E365" s="3">
        <v>45627</v>
      </c>
      <c r="F365" s="2" t="s">
        <v>2783</v>
      </c>
      <c r="G365" s="2">
        <v>75</v>
      </c>
      <c r="H365" s="2" t="s">
        <v>43</v>
      </c>
      <c r="I365" s="2" t="s">
        <v>43</v>
      </c>
      <c r="J365" s="2" t="s">
        <v>2784</v>
      </c>
      <c r="K365" s="2" t="s">
        <v>45</v>
      </c>
      <c r="L365" s="2" t="s">
        <v>29</v>
      </c>
      <c r="M365" s="2" t="s">
        <v>2785</v>
      </c>
      <c r="N365" s="2" t="s">
        <v>961</v>
      </c>
      <c r="O365" s="2" t="s">
        <v>2786</v>
      </c>
      <c r="P365" s="2" t="s">
        <v>2787</v>
      </c>
      <c r="Q365" s="2" t="s">
        <v>33</v>
      </c>
      <c r="R365" s="2" t="s">
        <v>2788</v>
      </c>
      <c r="S365" s="2" t="s">
        <v>2789</v>
      </c>
      <c r="T365" s="2" t="s">
        <v>2790</v>
      </c>
      <c r="U365" s="2" t="s">
        <v>2791</v>
      </c>
      <c r="V365" s="2" t="s">
        <v>80</v>
      </c>
    </row>
    <row r="366" spans="1:22">
      <c r="A366" s="2" t="s">
        <v>1559</v>
      </c>
      <c r="B366" s="2" t="s">
        <v>2781</v>
      </c>
      <c r="C366" s="2" t="s">
        <v>2782</v>
      </c>
      <c r="D366" s="2">
        <v>2024</v>
      </c>
      <c r="E366" s="3">
        <v>45627</v>
      </c>
      <c r="F366" s="2" t="s">
        <v>2783</v>
      </c>
      <c r="G366" s="2">
        <v>75</v>
      </c>
      <c r="H366" s="2" t="s">
        <v>43</v>
      </c>
      <c r="I366" s="2" t="s">
        <v>43</v>
      </c>
      <c r="J366" s="2" t="s">
        <v>2784</v>
      </c>
      <c r="K366" s="2" t="s">
        <v>45</v>
      </c>
      <c r="L366" s="2" t="s">
        <v>29</v>
      </c>
      <c r="M366" s="2" t="s">
        <v>2785</v>
      </c>
      <c r="N366" s="2" t="s">
        <v>961</v>
      </c>
      <c r="O366" s="2" t="s">
        <v>2786</v>
      </c>
      <c r="P366" s="2" t="s">
        <v>2787</v>
      </c>
      <c r="Q366" s="2" t="s">
        <v>33</v>
      </c>
      <c r="R366" s="2" t="s">
        <v>2788</v>
      </c>
      <c r="S366" s="2" t="s">
        <v>2789</v>
      </c>
      <c r="T366" s="2" t="s">
        <v>2790</v>
      </c>
      <c r="U366" s="2" t="s">
        <v>2791</v>
      </c>
      <c r="V366" s="2" t="s">
        <v>80</v>
      </c>
    </row>
    <row r="367" spans="1:22" ht="43.2">
      <c r="A367" s="2" t="s">
        <v>2792</v>
      </c>
      <c r="B367" s="2" t="s">
        <v>2793</v>
      </c>
      <c r="C367" s="2" t="s">
        <v>2794</v>
      </c>
      <c r="D367" s="2">
        <v>2025</v>
      </c>
      <c r="E367" s="3">
        <v>45809</v>
      </c>
      <c r="F367" s="2" t="s">
        <v>2795</v>
      </c>
      <c r="G367" s="2">
        <v>15</v>
      </c>
      <c r="H367" s="2">
        <v>6</v>
      </c>
      <c r="I367" s="2" t="s">
        <v>43</v>
      </c>
      <c r="J367" s="2" t="s">
        <v>2796</v>
      </c>
      <c r="K367" s="2" t="s">
        <v>1258</v>
      </c>
      <c r="L367" s="2" t="s">
        <v>29</v>
      </c>
      <c r="M367" s="2" t="s">
        <v>2052</v>
      </c>
      <c r="N367" s="2" t="s">
        <v>2797</v>
      </c>
      <c r="O367" s="2" t="s">
        <v>2798</v>
      </c>
      <c r="P367" s="2" t="s">
        <v>2799</v>
      </c>
      <c r="Q367" s="2" t="s">
        <v>33</v>
      </c>
      <c r="R367" s="2" t="s">
        <v>2800</v>
      </c>
      <c r="S367" s="2" t="s">
        <v>2801</v>
      </c>
      <c r="T367" s="2" t="s">
        <v>2802</v>
      </c>
      <c r="U367" s="2" t="s">
        <v>2803</v>
      </c>
      <c r="V367" s="2" t="s">
        <v>2804</v>
      </c>
    </row>
    <row r="368" spans="1:22">
      <c r="A368" s="2" t="s">
        <v>1916</v>
      </c>
      <c r="B368" s="2" t="s">
        <v>2805</v>
      </c>
      <c r="C368" s="2" t="s">
        <v>2806</v>
      </c>
      <c r="D368" s="2">
        <v>2024</v>
      </c>
      <c r="E368" s="3">
        <v>45566</v>
      </c>
      <c r="F368" s="2" t="s">
        <v>2807</v>
      </c>
      <c r="G368" s="2">
        <v>41</v>
      </c>
      <c r="H368" s="2">
        <v>2</v>
      </c>
      <c r="I368" s="2" t="s">
        <v>2808</v>
      </c>
      <c r="J368" s="2" t="s">
        <v>2809</v>
      </c>
      <c r="K368" s="2" t="s">
        <v>1624</v>
      </c>
      <c r="L368" s="2" t="s">
        <v>29</v>
      </c>
      <c r="M368" s="2" t="s">
        <v>745</v>
      </c>
      <c r="N368" s="2" t="s">
        <v>374</v>
      </c>
      <c r="O368" s="4">
        <v>1177</v>
      </c>
      <c r="P368" s="2" t="s">
        <v>2810</v>
      </c>
      <c r="Q368" s="2" t="s">
        <v>33</v>
      </c>
      <c r="R368" s="2" t="s">
        <v>2811</v>
      </c>
      <c r="S368" s="2" t="s">
        <v>2812</v>
      </c>
      <c r="T368" s="2" t="s">
        <v>2813</v>
      </c>
      <c r="U368" s="2" t="s">
        <v>2814</v>
      </c>
      <c r="V368" s="2" t="s">
        <v>621</v>
      </c>
    </row>
    <row r="369" spans="1:22">
      <c r="A369" s="2" t="s">
        <v>2629</v>
      </c>
      <c r="B369" s="2" t="s">
        <v>2805</v>
      </c>
      <c r="C369" s="2" t="s">
        <v>2806</v>
      </c>
      <c r="D369" s="2">
        <v>2024</v>
      </c>
      <c r="E369" s="3">
        <v>45566</v>
      </c>
      <c r="F369" s="2" t="s">
        <v>2807</v>
      </c>
      <c r="G369" s="2">
        <v>41</v>
      </c>
      <c r="H369" s="2">
        <v>2</v>
      </c>
      <c r="I369" s="2" t="s">
        <v>2808</v>
      </c>
      <c r="J369" s="2" t="s">
        <v>2809</v>
      </c>
      <c r="K369" s="2" t="s">
        <v>1624</v>
      </c>
      <c r="L369" s="2" t="s">
        <v>29</v>
      </c>
      <c r="M369" s="2" t="s">
        <v>745</v>
      </c>
      <c r="N369" s="2" t="s">
        <v>374</v>
      </c>
      <c r="O369" s="4">
        <v>1177</v>
      </c>
      <c r="P369" s="2" t="s">
        <v>2810</v>
      </c>
      <c r="Q369" s="2" t="s">
        <v>33</v>
      </c>
      <c r="R369" s="2" t="s">
        <v>2811</v>
      </c>
      <c r="S369" s="2" t="s">
        <v>2812</v>
      </c>
      <c r="T369" s="2" t="s">
        <v>2813</v>
      </c>
      <c r="U369" s="2" t="s">
        <v>2814</v>
      </c>
      <c r="V369" s="2" t="s">
        <v>621</v>
      </c>
    </row>
    <row r="370" spans="1:22">
      <c r="A370" s="2" t="s">
        <v>1369</v>
      </c>
      <c r="B370" s="2" t="s">
        <v>2805</v>
      </c>
      <c r="C370" s="2" t="s">
        <v>2806</v>
      </c>
      <c r="D370" s="2">
        <v>2024</v>
      </c>
      <c r="E370" s="3">
        <v>45566</v>
      </c>
      <c r="F370" s="2" t="s">
        <v>2807</v>
      </c>
      <c r="G370" s="2">
        <v>41</v>
      </c>
      <c r="H370" s="2">
        <v>2</v>
      </c>
      <c r="I370" s="2" t="s">
        <v>2808</v>
      </c>
      <c r="J370" s="2" t="s">
        <v>2809</v>
      </c>
      <c r="K370" s="2" t="s">
        <v>1624</v>
      </c>
      <c r="L370" s="2" t="s">
        <v>29</v>
      </c>
      <c r="M370" s="2" t="s">
        <v>745</v>
      </c>
      <c r="N370" s="2" t="s">
        <v>374</v>
      </c>
      <c r="O370" s="4">
        <v>1177</v>
      </c>
      <c r="P370" s="2" t="s">
        <v>2810</v>
      </c>
      <c r="Q370" s="2" t="s">
        <v>33</v>
      </c>
      <c r="R370" s="2" t="s">
        <v>2811</v>
      </c>
      <c r="S370" s="2" t="s">
        <v>2812</v>
      </c>
      <c r="T370" s="2" t="s">
        <v>2813</v>
      </c>
      <c r="U370" s="2" t="s">
        <v>2814</v>
      </c>
      <c r="V370" s="2" t="s">
        <v>621</v>
      </c>
    </row>
    <row r="371" spans="1:22">
      <c r="A371" s="2" t="s">
        <v>2608</v>
      </c>
      <c r="B371" s="2" t="s">
        <v>2805</v>
      </c>
      <c r="C371" s="2" t="s">
        <v>2806</v>
      </c>
      <c r="D371" s="2">
        <v>2024</v>
      </c>
      <c r="E371" s="3">
        <v>45566</v>
      </c>
      <c r="F371" s="2" t="s">
        <v>2807</v>
      </c>
      <c r="G371" s="2">
        <v>41</v>
      </c>
      <c r="H371" s="2">
        <v>2</v>
      </c>
      <c r="I371" s="2" t="s">
        <v>2808</v>
      </c>
      <c r="J371" s="2" t="s">
        <v>2809</v>
      </c>
      <c r="K371" s="2" t="s">
        <v>1624</v>
      </c>
      <c r="L371" s="2" t="s">
        <v>29</v>
      </c>
      <c r="M371" s="2" t="s">
        <v>745</v>
      </c>
      <c r="N371" s="2" t="s">
        <v>374</v>
      </c>
      <c r="O371" s="4">
        <v>1177</v>
      </c>
      <c r="P371" s="2" t="s">
        <v>2810</v>
      </c>
      <c r="Q371" s="2" t="s">
        <v>33</v>
      </c>
      <c r="R371" s="2" t="s">
        <v>2811</v>
      </c>
      <c r="S371" s="2" t="s">
        <v>2812</v>
      </c>
      <c r="T371" s="2" t="s">
        <v>2813</v>
      </c>
      <c r="U371" s="2" t="s">
        <v>2814</v>
      </c>
      <c r="V371" s="2" t="s">
        <v>621</v>
      </c>
    </row>
    <row r="372" spans="1:22">
      <c r="A372" s="2" t="s">
        <v>1344</v>
      </c>
      <c r="B372" s="2" t="s">
        <v>2805</v>
      </c>
      <c r="C372" s="2" t="s">
        <v>2806</v>
      </c>
      <c r="D372" s="2">
        <v>2024</v>
      </c>
      <c r="E372" s="3">
        <v>45566</v>
      </c>
      <c r="F372" s="2" t="s">
        <v>2807</v>
      </c>
      <c r="G372" s="2">
        <v>41</v>
      </c>
      <c r="H372" s="2">
        <v>2</v>
      </c>
      <c r="I372" s="2" t="s">
        <v>2808</v>
      </c>
      <c r="J372" s="2" t="s">
        <v>2809</v>
      </c>
      <c r="K372" s="2" t="s">
        <v>1624</v>
      </c>
      <c r="L372" s="2" t="s">
        <v>29</v>
      </c>
      <c r="M372" s="2" t="s">
        <v>745</v>
      </c>
      <c r="N372" s="2" t="s">
        <v>374</v>
      </c>
      <c r="O372" s="4">
        <v>1177</v>
      </c>
      <c r="P372" s="2" t="s">
        <v>2810</v>
      </c>
      <c r="Q372" s="2" t="s">
        <v>33</v>
      </c>
      <c r="R372" s="2" t="s">
        <v>2811</v>
      </c>
      <c r="S372" s="2" t="s">
        <v>2812</v>
      </c>
      <c r="T372" s="2" t="s">
        <v>2813</v>
      </c>
      <c r="U372" s="2" t="s">
        <v>2814</v>
      </c>
      <c r="V372" s="2" t="s">
        <v>621</v>
      </c>
    </row>
    <row r="373" spans="1:22" ht="201.6">
      <c r="A373" s="2" t="s">
        <v>2815</v>
      </c>
      <c r="B373" s="2" t="s">
        <v>2816</v>
      </c>
      <c r="C373" s="2" t="s">
        <v>2817</v>
      </c>
      <c r="D373" s="2">
        <v>2025</v>
      </c>
      <c r="E373" s="3">
        <v>45854</v>
      </c>
      <c r="F373" s="2" t="s">
        <v>2818</v>
      </c>
      <c r="G373" s="2">
        <v>68</v>
      </c>
      <c r="H373" s="2">
        <v>1</v>
      </c>
      <c r="I373" s="2" t="s">
        <v>43</v>
      </c>
      <c r="J373" s="2" t="s">
        <v>2819</v>
      </c>
      <c r="K373" s="2" t="s">
        <v>613</v>
      </c>
      <c r="L373" s="2" t="s">
        <v>29</v>
      </c>
      <c r="M373" s="2" t="s">
        <v>121</v>
      </c>
      <c r="N373" s="2" t="s">
        <v>234</v>
      </c>
      <c r="O373" s="4">
        <v>1769</v>
      </c>
      <c r="P373" s="2" t="s">
        <v>2820</v>
      </c>
      <c r="Q373" s="2" t="s">
        <v>33</v>
      </c>
      <c r="R373" s="2" t="s">
        <v>2821</v>
      </c>
      <c r="S373" s="2" t="s">
        <v>2822</v>
      </c>
      <c r="T373" s="2" t="s">
        <v>2823</v>
      </c>
      <c r="U373" s="2" t="s">
        <v>2824</v>
      </c>
      <c r="V373" s="2" t="s">
        <v>2825</v>
      </c>
    </row>
    <row r="374" spans="1:22" ht="28.8">
      <c r="A374" s="2" t="s">
        <v>39</v>
      </c>
      <c r="B374" s="2" t="s">
        <v>2826</v>
      </c>
      <c r="C374" s="2" t="s">
        <v>2827</v>
      </c>
      <c r="D374" s="2">
        <v>2024</v>
      </c>
      <c r="E374" s="3">
        <v>45627</v>
      </c>
      <c r="F374" s="2" t="s">
        <v>1293</v>
      </c>
      <c r="G374" s="2">
        <v>14</v>
      </c>
      <c r="H374" s="2">
        <v>1</v>
      </c>
      <c r="I374" s="2" t="s">
        <v>43</v>
      </c>
      <c r="J374" s="2" t="s">
        <v>1294</v>
      </c>
      <c r="K374" s="2" t="s">
        <v>220</v>
      </c>
      <c r="L374" s="2" t="s">
        <v>29</v>
      </c>
      <c r="M374" s="2" t="s">
        <v>614</v>
      </c>
      <c r="N374" s="2" t="s">
        <v>374</v>
      </c>
      <c r="O374" s="2" t="s">
        <v>1295</v>
      </c>
      <c r="P374" s="2" t="s">
        <v>2828</v>
      </c>
      <c r="Q374" s="2" t="s">
        <v>33</v>
      </c>
      <c r="R374" s="2" t="s">
        <v>2829</v>
      </c>
      <c r="S374" s="2" t="s">
        <v>2830</v>
      </c>
      <c r="T374" s="2" t="s">
        <v>2831</v>
      </c>
      <c r="U374" s="2" t="s">
        <v>2832</v>
      </c>
      <c r="V374" s="2" t="s">
        <v>1044</v>
      </c>
    </row>
    <row r="375" spans="1:22" ht="28.8">
      <c r="A375" s="2" t="s">
        <v>964</v>
      </c>
      <c r="B375" s="2" t="s">
        <v>2826</v>
      </c>
      <c r="C375" s="2" t="s">
        <v>2827</v>
      </c>
      <c r="D375" s="2">
        <v>2024</v>
      </c>
      <c r="E375" s="3">
        <v>45627</v>
      </c>
      <c r="F375" s="2" t="s">
        <v>1293</v>
      </c>
      <c r="G375" s="2">
        <v>14</v>
      </c>
      <c r="H375" s="2">
        <v>1</v>
      </c>
      <c r="I375" s="2" t="s">
        <v>43</v>
      </c>
      <c r="J375" s="2" t="s">
        <v>1294</v>
      </c>
      <c r="K375" s="2" t="s">
        <v>220</v>
      </c>
      <c r="L375" s="2" t="s">
        <v>29</v>
      </c>
      <c r="M375" s="2" t="s">
        <v>614</v>
      </c>
      <c r="N375" s="2" t="s">
        <v>374</v>
      </c>
      <c r="O375" s="2" t="s">
        <v>1295</v>
      </c>
      <c r="P375" s="2" t="s">
        <v>2828</v>
      </c>
      <c r="Q375" s="2" t="s">
        <v>33</v>
      </c>
      <c r="R375" s="2" t="s">
        <v>2829</v>
      </c>
      <c r="S375" s="2" t="s">
        <v>2830</v>
      </c>
      <c r="T375" s="2" t="s">
        <v>2831</v>
      </c>
      <c r="U375" s="2" t="s">
        <v>2832</v>
      </c>
      <c r="V375" s="2" t="s">
        <v>1044</v>
      </c>
    </row>
    <row r="376" spans="1:22" ht="28.8">
      <c r="A376" s="2" t="s">
        <v>2833</v>
      </c>
      <c r="B376" s="2" t="s">
        <v>2826</v>
      </c>
      <c r="C376" s="2" t="s">
        <v>2827</v>
      </c>
      <c r="D376" s="2">
        <v>2024</v>
      </c>
      <c r="E376" s="3">
        <v>45627</v>
      </c>
      <c r="F376" s="2" t="s">
        <v>1293</v>
      </c>
      <c r="G376" s="2">
        <v>14</v>
      </c>
      <c r="H376" s="2">
        <v>1</v>
      </c>
      <c r="I376" s="2" t="s">
        <v>43</v>
      </c>
      <c r="J376" s="2" t="s">
        <v>1294</v>
      </c>
      <c r="K376" s="2" t="s">
        <v>220</v>
      </c>
      <c r="L376" s="2" t="s">
        <v>29</v>
      </c>
      <c r="M376" s="2" t="s">
        <v>614</v>
      </c>
      <c r="N376" s="2" t="s">
        <v>374</v>
      </c>
      <c r="O376" s="2" t="s">
        <v>1295</v>
      </c>
      <c r="P376" s="2" t="s">
        <v>2828</v>
      </c>
      <c r="Q376" s="2" t="s">
        <v>33</v>
      </c>
      <c r="R376" s="2" t="s">
        <v>2829</v>
      </c>
      <c r="S376" s="2" t="s">
        <v>2830</v>
      </c>
      <c r="T376" s="2" t="s">
        <v>2831</v>
      </c>
      <c r="U376" s="2" t="s">
        <v>2832</v>
      </c>
      <c r="V376" s="2" t="s">
        <v>1044</v>
      </c>
    </row>
    <row r="377" spans="1:22" ht="28.8">
      <c r="A377" s="2" t="s">
        <v>384</v>
      </c>
      <c r="B377" s="2" t="s">
        <v>2826</v>
      </c>
      <c r="C377" s="2" t="s">
        <v>2827</v>
      </c>
      <c r="D377" s="2">
        <v>2024</v>
      </c>
      <c r="E377" s="3">
        <v>45627</v>
      </c>
      <c r="F377" s="2" t="s">
        <v>1293</v>
      </c>
      <c r="G377" s="2">
        <v>14</v>
      </c>
      <c r="H377" s="2">
        <v>1</v>
      </c>
      <c r="I377" s="2" t="s">
        <v>43</v>
      </c>
      <c r="J377" s="2" t="s">
        <v>1294</v>
      </c>
      <c r="K377" s="2" t="s">
        <v>220</v>
      </c>
      <c r="L377" s="2" t="s">
        <v>29</v>
      </c>
      <c r="M377" s="2" t="s">
        <v>614</v>
      </c>
      <c r="N377" s="2" t="s">
        <v>374</v>
      </c>
      <c r="O377" s="2" t="s">
        <v>1295</v>
      </c>
      <c r="P377" s="2" t="s">
        <v>2828</v>
      </c>
      <c r="Q377" s="2" t="s">
        <v>33</v>
      </c>
      <c r="R377" s="2" t="s">
        <v>2829</v>
      </c>
      <c r="S377" s="2" t="s">
        <v>2830</v>
      </c>
      <c r="T377" s="2" t="s">
        <v>2831</v>
      </c>
      <c r="U377" s="2" t="s">
        <v>2832</v>
      </c>
      <c r="V377" s="2" t="s">
        <v>1044</v>
      </c>
    </row>
    <row r="378" spans="1:22" ht="28.8">
      <c r="A378" s="2" t="s">
        <v>55</v>
      </c>
      <c r="B378" s="2" t="s">
        <v>2826</v>
      </c>
      <c r="C378" s="2" t="s">
        <v>2827</v>
      </c>
      <c r="D378" s="2">
        <v>2024</v>
      </c>
      <c r="E378" s="3">
        <v>45627</v>
      </c>
      <c r="F378" s="2" t="s">
        <v>1293</v>
      </c>
      <c r="G378" s="2">
        <v>14</v>
      </c>
      <c r="H378" s="2">
        <v>1</v>
      </c>
      <c r="I378" s="2" t="s">
        <v>43</v>
      </c>
      <c r="J378" s="2" t="s">
        <v>1294</v>
      </c>
      <c r="K378" s="2" t="s">
        <v>220</v>
      </c>
      <c r="L378" s="2" t="s">
        <v>29</v>
      </c>
      <c r="M378" s="2" t="s">
        <v>614</v>
      </c>
      <c r="N378" s="2" t="s">
        <v>374</v>
      </c>
      <c r="O378" s="2" t="s">
        <v>1295</v>
      </c>
      <c r="P378" s="2" t="s">
        <v>2828</v>
      </c>
      <c r="Q378" s="2" t="s">
        <v>33</v>
      </c>
      <c r="R378" s="2" t="s">
        <v>2829</v>
      </c>
      <c r="S378" s="2" t="s">
        <v>2830</v>
      </c>
      <c r="T378" s="2" t="s">
        <v>2831</v>
      </c>
      <c r="U378" s="2" t="s">
        <v>2832</v>
      </c>
      <c r="V378" s="2" t="s">
        <v>1044</v>
      </c>
    </row>
    <row r="379" spans="1:22" ht="28.8">
      <c r="A379" s="2" t="s">
        <v>2834</v>
      </c>
      <c r="B379" s="2" t="s">
        <v>2826</v>
      </c>
      <c r="C379" s="2" t="s">
        <v>2827</v>
      </c>
      <c r="D379" s="2">
        <v>2024</v>
      </c>
      <c r="E379" s="3">
        <v>45627</v>
      </c>
      <c r="F379" s="2" t="s">
        <v>1293</v>
      </c>
      <c r="G379" s="2">
        <v>14</v>
      </c>
      <c r="H379" s="2">
        <v>1</v>
      </c>
      <c r="I379" s="2" t="s">
        <v>43</v>
      </c>
      <c r="J379" s="2" t="s">
        <v>1294</v>
      </c>
      <c r="K379" s="2" t="s">
        <v>220</v>
      </c>
      <c r="L379" s="2" t="s">
        <v>29</v>
      </c>
      <c r="M379" s="2" t="s">
        <v>614</v>
      </c>
      <c r="N379" s="2" t="s">
        <v>374</v>
      </c>
      <c r="O379" s="2" t="s">
        <v>1295</v>
      </c>
      <c r="P379" s="2" t="s">
        <v>2828</v>
      </c>
      <c r="Q379" s="2" t="s">
        <v>33</v>
      </c>
      <c r="R379" s="2" t="s">
        <v>2829</v>
      </c>
      <c r="S379" s="2" t="s">
        <v>2830</v>
      </c>
      <c r="T379" s="2" t="s">
        <v>2831</v>
      </c>
      <c r="U379" s="2" t="s">
        <v>2832</v>
      </c>
      <c r="V379" s="2" t="s">
        <v>1044</v>
      </c>
    </row>
    <row r="380" spans="1:22">
      <c r="A380" s="2" t="s">
        <v>1282</v>
      </c>
      <c r="B380" s="2" t="s">
        <v>2835</v>
      </c>
      <c r="C380" s="2" t="s">
        <v>2836</v>
      </c>
      <c r="D380" s="2">
        <v>2025</v>
      </c>
      <c r="E380" s="3">
        <v>45778</v>
      </c>
      <c r="F380" s="2" t="s">
        <v>2837</v>
      </c>
      <c r="G380" s="2">
        <v>20</v>
      </c>
      <c r="H380" s="2">
        <v>5</v>
      </c>
      <c r="I380" s="2" t="s">
        <v>43</v>
      </c>
      <c r="J380" s="2" t="s">
        <v>2471</v>
      </c>
      <c r="K380" s="2" t="s">
        <v>2472</v>
      </c>
      <c r="L380" s="2" t="s">
        <v>29</v>
      </c>
      <c r="M380" s="2" t="s">
        <v>2838</v>
      </c>
      <c r="N380" s="2" t="s">
        <v>63</v>
      </c>
      <c r="O380" s="2" t="s">
        <v>2839</v>
      </c>
      <c r="P380" s="2" t="s">
        <v>2840</v>
      </c>
      <c r="Q380" s="2" t="s">
        <v>33</v>
      </c>
      <c r="R380" s="2" t="s">
        <v>2841</v>
      </c>
      <c r="S380" s="2" t="s">
        <v>2842</v>
      </c>
      <c r="T380" s="2" t="s">
        <v>2843</v>
      </c>
      <c r="U380" s="2" t="s">
        <v>2844</v>
      </c>
      <c r="V380" s="2" t="s">
        <v>2845</v>
      </c>
    </row>
    <row r="381" spans="1:22">
      <c r="A381" s="2" t="s">
        <v>1176</v>
      </c>
      <c r="B381" s="2" t="s">
        <v>2846</v>
      </c>
      <c r="C381" s="2" t="s">
        <v>2847</v>
      </c>
      <c r="D381" s="2">
        <v>2024</v>
      </c>
      <c r="E381" s="3">
        <v>45352</v>
      </c>
      <c r="F381" s="2" t="s">
        <v>2848</v>
      </c>
      <c r="G381" s="2">
        <v>13</v>
      </c>
      <c r="H381" s="2">
        <v>6</v>
      </c>
      <c r="I381" s="2" t="s">
        <v>43</v>
      </c>
      <c r="J381" s="2" t="s">
        <v>2849</v>
      </c>
      <c r="K381" s="2" t="s">
        <v>61</v>
      </c>
      <c r="L381" s="2" t="s">
        <v>29</v>
      </c>
      <c r="M381" s="2" t="s">
        <v>2850</v>
      </c>
      <c r="N381" s="2" t="s">
        <v>75</v>
      </c>
      <c r="O381" s="2" t="s">
        <v>2851</v>
      </c>
      <c r="P381" s="2" t="s">
        <v>2852</v>
      </c>
      <c r="Q381" s="2" t="s">
        <v>33</v>
      </c>
      <c r="R381" s="2" t="s">
        <v>2853</v>
      </c>
      <c r="S381" s="2" t="s">
        <v>2854</v>
      </c>
      <c r="T381" s="2" t="s">
        <v>2855</v>
      </c>
      <c r="U381" s="2" t="s">
        <v>2856</v>
      </c>
      <c r="V381" s="2" t="s">
        <v>80</v>
      </c>
    </row>
    <row r="382" spans="1:22">
      <c r="A382" s="2" t="s">
        <v>265</v>
      </c>
      <c r="B382" s="2" t="s">
        <v>2846</v>
      </c>
      <c r="C382" s="2" t="s">
        <v>2847</v>
      </c>
      <c r="D382" s="2">
        <v>2024</v>
      </c>
      <c r="E382" s="3">
        <v>45352</v>
      </c>
      <c r="F382" s="2" t="s">
        <v>2848</v>
      </c>
      <c r="G382" s="2">
        <v>13</v>
      </c>
      <c r="H382" s="2">
        <v>6</v>
      </c>
      <c r="I382" s="2" t="s">
        <v>43</v>
      </c>
      <c r="J382" s="2" t="s">
        <v>2849</v>
      </c>
      <c r="K382" s="2" t="s">
        <v>61</v>
      </c>
      <c r="L382" s="2" t="s">
        <v>29</v>
      </c>
      <c r="M382" s="2" t="s">
        <v>2850</v>
      </c>
      <c r="N382" s="2" t="s">
        <v>75</v>
      </c>
      <c r="O382" s="2" t="s">
        <v>2851</v>
      </c>
      <c r="P382" s="2" t="s">
        <v>2852</v>
      </c>
      <c r="Q382" s="2" t="s">
        <v>33</v>
      </c>
      <c r="R382" s="2" t="s">
        <v>2853</v>
      </c>
      <c r="S382" s="2" t="s">
        <v>2854</v>
      </c>
      <c r="T382" s="2" t="s">
        <v>2855</v>
      </c>
      <c r="U382" s="2" t="s">
        <v>2856</v>
      </c>
      <c r="V382" s="2" t="s">
        <v>80</v>
      </c>
    </row>
    <row r="383" spans="1:22">
      <c r="A383" s="2" t="s">
        <v>228</v>
      </c>
      <c r="B383" s="2" t="s">
        <v>2857</v>
      </c>
      <c r="C383" s="2" t="s">
        <v>2858</v>
      </c>
      <c r="D383" s="2">
        <v>2025</v>
      </c>
      <c r="E383" s="3">
        <v>45992</v>
      </c>
      <c r="F383" s="2" t="s">
        <v>231</v>
      </c>
      <c r="G383" s="2">
        <v>29</v>
      </c>
      <c r="H383" s="2">
        <v>1</v>
      </c>
      <c r="I383" s="2" t="s">
        <v>43</v>
      </c>
      <c r="J383" s="2" t="s">
        <v>232</v>
      </c>
      <c r="K383" s="2" t="s">
        <v>233</v>
      </c>
      <c r="L383" s="2" t="s">
        <v>29</v>
      </c>
      <c r="M383" s="2" t="s">
        <v>234</v>
      </c>
      <c r="N383" s="2" t="s">
        <v>31</v>
      </c>
      <c r="O383" s="4">
        <v>3002</v>
      </c>
      <c r="P383" s="2" t="s">
        <v>2859</v>
      </c>
      <c r="Q383" s="2" t="s">
        <v>644</v>
      </c>
      <c r="R383" s="2" t="s">
        <v>2860</v>
      </c>
      <c r="S383" s="2" t="s">
        <v>2861</v>
      </c>
      <c r="T383" s="2" t="s">
        <v>2862</v>
      </c>
      <c r="U383" s="2" t="s">
        <v>2863</v>
      </c>
      <c r="V383" s="2" t="s">
        <v>80</v>
      </c>
    </row>
    <row r="384" spans="1:22" ht="28.8">
      <c r="A384" s="2" t="s">
        <v>2864</v>
      </c>
      <c r="B384" s="2" t="s">
        <v>2865</v>
      </c>
      <c r="C384" s="2" t="s">
        <v>2866</v>
      </c>
      <c r="D384" s="2">
        <v>2025</v>
      </c>
      <c r="E384" s="3">
        <v>45962</v>
      </c>
      <c r="F384" s="2" t="s">
        <v>2867</v>
      </c>
      <c r="G384" s="2">
        <v>60</v>
      </c>
      <c r="H384" s="2">
        <v>44</v>
      </c>
      <c r="I384" s="2" t="s">
        <v>2868</v>
      </c>
      <c r="J384" s="2" t="s">
        <v>2869</v>
      </c>
      <c r="K384" s="2" t="s">
        <v>1624</v>
      </c>
      <c r="L384" s="2" t="s">
        <v>29</v>
      </c>
      <c r="M384" s="2" t="s">
        <v>121</v>
      </c>
      <c r="N384" s="2" t="s">
        <v>293</v>
      </c>
      <c r="O384" s="2" t="s">
        <v>2870</v>
      </c>
      <c r="P384" s="2" t="s">
        <v>2871</v>
      </c>
      <c r="Q384" s="2" t="s">
        <v>33</v>
      </c>
      <c r="R384" s="2" t="s">
        <v>2872</v>
      </c>
      <c r="S384" s="2" t="s">
        <v>2873</v>
      </c>
      <c r="T384" s="2" t="s">
        <v>2874</v>
      </c>
      <c r="U384" s="2" t="s">
        <v>2875</v>
      </c>
      <c r="V384" s="2" t="s">
        <v>2876</v>
      </c>
    </row>
    <row r="385" spans="1:22">
      <c r="A385" s="2" t="s">
        <v>2877</v>
      </c>
      <c r="B385" s="2" t="s">
        <v>2878</v>
      </c>
      <c r="C385" s="2" t="s">
        <v>2879</v>
      </c>
      <c r="D385" s="2">
        <v>2024</v>
      </c>
      <c r="E385" s="3">
        <v>45413</v>
      </c>
      <c r="F385" s="2" t="s">
        <v>2880</v>
      </c>
      <c r="G385" s="2">
        <v>13</v>
      </c>
      <c r="H385" s="2">
        <v>2</v>
      </c>
      <c r="I385" s="2" t="s">
        <v>2881</v>
      </c>
      <c r="J385" s="2" t="s">
        <v>2882</v>
      </c>
      <c r="K385" s="2" t="s">
        <v>2883</v>
      </c>
      <c r="L385" s="2" t="s">
        <v>29</v>
      </c>
      <c r="M385" s="2" t="s">
        <v>774</v>
      </c>
      <c r="N385" s="2" t="s">
        <v>1327</v>
      </c>
      <c r="O385" s="2" t="s">
        <v>2884</v>
      </c>
      <c r="P385" s="2" t="s">
        <v>2885</v>
      </c>
      <c r="Q385" s="2" t="s">
        <v>33</v>
      </c>
      <c r="R385" s="2" t="s">
        <v>2886</v>
      </c>
      <c r="S385" s="2" t="s">
        <v>2887</v>
      </c>
      <c r="T385" s="2" t="s">
        <v>2888</v>
      </c>
      <c r="U385" s="2" t="s">
        <v>2887</v>
      </c>
      <c r="V385" s="2" t="s">
        <v>80</v>
      </c>
    </row>
    <row r="386" spans="1:22">
      <c r="A386" s="2" t="s">
        <v>2889</v>
      </c>
      <c r="B386" s="2" t="s">
        <v>2878</v>
      </c>
      <c r="C386" s="2" t="s">
        <v>2879</v>
      </c>
      <c r="D386" s="2">
        <v>2024</v>
      </c>
      <c r="E386" s="3">
        <v>45413</v>
      </c>
      <c r="F386" s="2" t="s">
        <v>2880</v>
      </c>
      <c r="G386" s="2">
        <v>13</v>
      </c>
      <c r="H386" s="2">
        <v>2</v>
      </c>
      <c r="I386" s="2" t="s">
        <v>2881</v>
      </c>
      <c r="J386" s="2" t="s">
        <v>2882</v>
      </c>
      <c r="K386" s="2" t="s">
        <v>2883</v>
      </c>
      <c r="L386" s="2" t="s">
        <v>29</v>
      </c>
      <c r="M386" s="2" t="s">
        <v>774</v>
      </c>
      <c r="N386" s="2" t="s">
        <v>1327</v>
      </c>
      <c r="O386" s="2" t="s">
        <v>2884</v>
      </c>
      <c r="P386" s="2" t="s">
        <v>2885</v>
      </c>
      <c r="Q386" s="2" t="s">
        <v>33</v>
      </c>
      <c r="R386" s="2" t="s">
        <v>2886</v>
      </c>
      <c r="S386" s="2" t="s">
        <v>2887</v>
      </c>
      <c r="T386" s="2" t="s">
        <v>2888</v>
      </c>
      <c r="U386" s="2" t="s">
        <v>2887</v>
      </c>
      <c r="V386" s="2" t="s">
        <v>80</v>
      </c>
    </row>
    <row r="387" spans="1:22">
      <c r="A387" s="2" t="s">
        <v>1619</v>
      </c>
      <c r="B387" s="2" t="s">
        <v>2890</v>
      </c>
      <c r="C387" s="2" t="s">
        <v>2891</v>
      </c>
      <c r="D387" s="2">
        <v>2024</v>
      </c>
      <c r="E387" s="3">
        <v>45292</v>
      </c>
      <c r="F387" s="2" t="s">
        <v>2892</v>
      </c>
      <c r="G387" s="2" t="s">
        <v>43</v>
      </c>
      <c r="H387" s="2" t="s">
        <v>43</v>
      </c>
      <c r="I387" s="2" t="s">
        <v>43</v>
      </c>
      <c r="J387" s="2" t="s">
        <v>43</v>
      </c>
      <c r="K387" s="2" t="s">
        <v>2893</v>
      </c>
      <c r="L387" s="2" t="s">
        <v>29</v>
      </c>
      <c r="M387" s="2" t="s">
        <v>43</v>
      </c>
      <c r="N387" s="2" t="s">
        <v>43</v>
      </c>
      <c r="O387" s="2" t="s">
        <v>43</v>
      </c>
      <c r="P387" s="2" t="s">
        <v>2894</v>
      </c>
      <c r="Q387" s="2" t="s">
        <v>2112</v>
      </c>
      <c r="R387" s="2" t="s">
        <v>2895</v>
      </c>
      <c r="S387" s="2" t="s">
        <v>2896</v>
      </c>
      <c r="T387" s="2" t="s">
        <v>2897</v>
      </c>
      <c r="U387" s="2" t="s">
        <v>2898</v>
      </c>
      <c r="V387" s="2" t="s">
        <v>2899</v>
      </c>
    </row>
    <row r="388" spans="1:22">
      <c r="A388" s="2" t="s">
        <v>22</v>
      </c>
      <c r="B388" s="2" t="s">
        <v>2900</v>
      </c>
      <c r="C388" s="2" t="s">
        <v>2901</v>
      </c>
      <c r="D388" s="2">
        <v>2024</v>
      </c>
      <c r="E388" s="3">
        <v>45352</v>
      </c>
      <c r="F388" s="2" t="s">
        <v>357</v>
      </c>
      <c r="G388" s="2">
        <v>19</v>
      </c>
      <c r="H388" s="2">
        <v>3</v>
      </c>
      <c r="I388" s="2" t="s">
        <v>2902</v>
      </c>
      <c r="J388" s="2" t="s">
        <v>359</v>
      </c>
      <c r="K388" s="2" t="s">
        <v>360</v>
      </c>
      <c r="L388" s="2" t="s">
        <v>29</v>
      </c>
      <c r="M388" s="2" t="s">
        <v>485</v>
      </c>
      <c r="N388" s="2" t="s">
        <v>76</v>
      </c>
      <c r="O388" s="2" t="s">
        <v>486</v>
      </c>
      <c r="P388" s="2" t="s">
        <v>2903</v>
      </c>
      <c r="Q388" s="2" t="s">
        <v>2904</v>
      </c>
      <c r="R388" s="2" t="s">
        <v>2905</v>
      </c>
      <c r="S388" s="2" t="s">
        <v>2906</v>
      </c>
      <c r="T388" s="2" t="s">
        <v>2907</v>
      </c>
      <c r="U388" s="2" t="s">
        <v>2908</v>
      </c>
      <c r="V388" s="2" t="s">
        <v>2909</v>
      </c>
    </row>
    <row r="389" spans="1:22" ht="28.8">
      <c r="A389" s="2" t="s">
        <v>974</v>
      </c>
      <c r="B389" s="2" t="s">
        <v>2910</v>
      </c>
      <c r="C389" s="2" t="s">
        <v>2911</v>
      </c>
      <c r="D389" s="2">
        <v>2025</v>
      </c>
      <c r="E389" s="3">
        <v>45689</v>
      </c>
      <c r="F389" s="2" t="s">
        <v>2912</v>
      </c>
      <c r="G389" s="2">
        <v>52</v>
      </c>
      <c r="H389" s="2">
        <v>1</v>
      </c>
      <c r="I389" s="2" t="s">
        <v>2913</v>
      </c>
      <c r="J389" s="2" t="s">
        <v>2914</v>
      </c>
      <c r="K389" s="2" t="s">
        <v>2915</v>
      </c>
      <c r="L389" s="2" t="s">
        <v>1867</v>
      </c>
      <c r="M389" s="2" t="s">
        <v>47</v>
      </c>
      <c r="N389" s="2" t="s">
        <v>2916</v>
      </c>
      <c r="O389" s="2" t="s">
        <v>2917</v>
      </c>
      <c r="P389" s="2" t="s">
        <v>2918</v>
      </c>
      <c r="Q389" s="2" t="s">
        <v>49</v>
      </c>
      <c r="R389" s="2" t="s">
        <v>2919</v>
      </c>
      <c r="S389" s="2" t="s">
        <v>2920</v>
      </c>
      <c r="T389" s="2" t="s">
        <v>2921</v>
      </c>
      <c r="U389" s="2" t="s">
        <v>2922</v>
      </c>
      <c r="V389" s="2" t="s">
        <v>80</v>
      </c>
    </row>
    <row r="390" spans="1:22" ht="28.8">
      <c r="A390" s="2" t="s">
        <v>1515</v>
      </c>
      <c r="B390" s="2" t="s">
        <v>2910</v>
      </c>
      <c r="C390" s="2" t="s">
        <v>2911</v>
      </c>
      <c r="D390" s="2">
        <v>2025</v>
      </c>
      <c r="E390" s="3">
        <v>45689</v>
      </c>
      <c r="F390" s="2" t="s">
        <v>2912</v>
      </c>
      <c r="G390" s="2">
        <v>52</v>
      </c>
      <c r="H390" s="2">
        <v>1</v>
      </c>
      <c r="I390" s="2" t="s">
        <v>2913</v>
      </c>
      <c r="J390" s="2" t="s">
        <v>2914</v>
      </c>
      <c r="K390" s="2" t="s">
        <v>2915</v>
      </c>
      <c r="L390" s="2" t="s">
        <v>1867</v>
      </c>
      <c r="M390" s="2" t="s">
        <v>47</v>
      </c>
      <c r="N390" s="2" t="s">
        <v>2916</v>
      </c>
      <c r="O390" s="2" t="s">
        <v>2917</v>
      </c>
      <c r="P390" s="2" t="s">
        <v>2918</v>
      </c>
      <c r="Q390" s="2" t="s">
        <v>49</v>
      </c>
      <c r="R390" s="2" t="s">
        <v>2919</v>
      </c>
      <c r="S390" s="2" t="s">
        <v>2920</v>
      </c>
      <c r="T390" s="2" t="s">
        <v>2921</v>
      </c>
      <c r="U390" s="2" t="s">
        <v>2922</v>
      </c>
      <c r="V390" s="2" t="s">
        <v>80</v>
      </c>
    </row>
    <row r="391" spans="1:22">
      <c r="A391" s="2" t="s">
        <v>1916</v>
      </c>
      <c r="B391" s="2" t="s">
        <v>2923</v>
      </c>
      <c r="C391" s="2" t="s">
        <v>2924</v>
      </c>
      <c r="D391" s="2">
        <v>2025</v>
      </c>
      <c r="E391" s="3">
        <v>45901</v>
      </c>
      <c r="F391" s="2" t="s">
        <v>2925</v>
      </c>
      <c r="G391" s="2">
        <v>42</v>
      </c>
      <c r="H391" s="2" t="s">
        <v>2926</v>
      </c>
      <c r="I391" s="2" t="s">
        <v>2927</v>
      </c>
      <c r="J391" s="2" t="s">
        <v>2928</v>
      </c>
      <c r="K391" s="2" t="s">
        <v>302</v>
      </c>
      <c r="L391" s="2" t="s">
        <v>29</v>
      </c>
      <c r="M391" s="2" t="s">
        <v>2492</v>
      </c>
      <c r="N391" s="2" t="s">
        <v>234</v>
      </c>
      <c r="O391" s="4">
        <v>1329</v>
      </c>
      <c r="P391" s="2" t="s">
        <v>2929</v>
      </c>
      <c r="Q391" s="2" t="s">
        <v>49</v>
      </c>
      <c r="R391" s="2" t="s">
        <v>2930</v>
      </c>
      <c r="S391" s="2" t="s">
        <v>2931</v>
      </c>
      <c r="T391" s="2" t="s">
        <v>2932</v>
      </c>
      <c r="U391" s="2" t="s">
        <v>2933</v>
      </c>
      <c r="V391" s="2" t="s">
        <v>2934</v>
      </c>
    </row>
    <row r="392" spans="1:22">
      <c r="A392" s="2" t="s">
        <v>1344</v>
      </c>
      <c r="B392" s="2" t="s">
        <v>2923</v>
      </c>
      <c r="C392" s="2" t="s">
        <v>2924</v>
      </c>
      <c r="D392" s="2">
        <v>2025</v>
      </c>
      <c r="E392" s="3">
        <v>45901</v>
      </c>
      <c r="F392" s="2" t="s">
        <v>2925</v>
      </c>
      <c r="G392" s="2">
        <v>42</v>
      </c>
      <c r="H392" s="2" t="s">
        <v>2926</v>
      </c>
      <c r="I392" s="2" t="s">
        <v>2927</v>
      </c>
      <c r="J392" s="2" t="s">
        <v>2928</v>
      </c>
      <c r="K392" s="2" t="s">
        <v>302</v>
      </c>
      <c r="L392" s="2" t="s">
        <v>29</v>
      </c>
      <c r="M392" s="2" t="s">
        <v>2492</v>
      </c>
      <c r="N392" s="2" t="s">
        <v>234</v>
      </c>
      <c r="O392" s="4">
        <v>1329</v>
      </c>
      <c r="P392" s="2" t="s">
        <v>2929</v>
      </c>
      <c r="Q392" s="2" t="s">
        <v>49</v>
      </c>
      <c r="R392" s="2" t="s">
        <v>2930</v>
      </c>
      <c r="S392" s="2" t="s">
        <v>2931</v>
      </c>
      <c r="T392" s="2" t="s">
        <v>2932</v>
      </c>
      <c r="U392" s="2" t="s">
        <v>2933</v>
      </c>
      <c r="V392" s="2" t="s">
        <v>2934</v>
      </c>
    </row>
    <row r="393" spans="1:22">
      <c r="A393" s="2" t="s">
        <v>1969</v>
      </c>
      <c r="B393" s="2" t="s">
        <v>2923</v>
      </c>
      <c r="C393" s="2" t="s">
        <v>2924</v>
      </c>
      <c r="D393" s="2">
        <v>2025</v>
      </c>
      <c r="E393" s="3">
        <v>45901</v>
      </c>
      <c r="F393" s="2" t="s">
        <v>2925</v>
      </c>
      <c r="G393" s="2">
        <v>42</v>
      </c>
      <c r="H393" s="2" t="s">
        <v>2926</v>
      </c>
      <c r="I393" s="2" t="s">
        <v>2927</v>
      </c>
      <c r="J393" s="2" t="s">
        <v>2928</v>
      </c>
      <c r="K393" s="2" t="s">
        <v>302</v>
      </c>
      <c r="L393" s="2" t="s">
        <v>29</v>
      </c>
      <c r="M393" s="2" t="s">
        <v>2492</v>
      </c>
      <c r="N393" s="2" t="s">
        <v>234</v>
      </c>
      <c r="O393" s="4">
        <v>1329</v>
      </c>
      <c r="P393" s="2" t="s">
        <v>2929</v>
      </c>
      <c r="Q393" s="2" t="s">
        <v>49</v>
      </c>
      <c r="R393" s="2" t="s">
        <v>2930</v>
      </c>
      <c r="S393" s="2" t="s">
        <v>2931</v>
      </c>
      <c r="T393" s="2" t="s">
        <v>2932</v>
      </c>
      <c r="U393" s="2" t="s">
        <v>2933</v>
      </c>
      <c r="V393" s="2" t="s">
        <v>2934</v>
      </c>
    </row>
    <row r="394" spans="1:22">
      <c r="A394" s="2" t="s">
        <v>2629</v>
      </c>
      <c r="B394" s="2" t="s">
        <v>2923</v>
      </c>
      <c r="C394" s="2" t="s">
        <v>2924</v>
      </c>
      <c r="D394" s="2">
        <v>2025</v>
      </c>
      <c r="E394" s="3">
        <v>45901</v>
      </c>
      <c r="F394" s="2" t="s">
        <v>2925</v>
      </c>
      <c r="G394" s="2">
        <v>42</v>
      </c>
      <c r="H394" s="2" t="s">
        <v>2926</v>
      </c>
      <c r="I394" s="2" t="s">
        <v>2927</v>
      </c>
      <c r="J394" s="2" t="s">
        <v>2928</v>
      </c>
      <c r="K394" s="2" t="s">
        <v>302</v>
      </c>
      <c r="L394" s="2" t="s">
        <v>29</v>
      </c>
      <c r="M394" s="2" t="s">
        <v>2492</v>
      </c>
      <c r="N394" s="2" t="s">
        <v>234</v>
      </c>
      <c r="O394" s="4">
        <v>1329</v>
      </c>
      <c r="P394" s="2" t="s">
        <v>2929</v>
      </c>
      <c r="Q394" s="2" t="s">
        <v>49</v>
      </c>
      <c r="R394" s="2" t="s">
        <v>2930</v>
      </c>
      <c r="S394" s="2" t="s">
        <v>2931</v>
      </c>
      <c r="T394" s="2" t="s">
        <v>2932</v>
      </c>
      <c r="U394" s="2" t="s">
        <v>2933</v>
      </c>
      <c r="V394" s="2" t="s">
        <v>2934</v>
      </c>
    </row>
    <row r="395" spans="1:22">
      <c r="A395" s="2" t="s">
        <v>2935</v>
      </c>
      <c r="B395" s="2" t="s">
        <v>2936</v>
      </c>
      <c r="C395" s="2" t="s">
        <v>2937</v>
      </c>
      <c r="D395" s="2">
        <v>2024</v>
      </c>
      <c r="E395" s="3">
        <v>45566</v>
      </c>
      <c r="F395" s="2" t="s">
        <v>1676</v>
      </c>
      <c r="G395" s="2">
        <v>34</v>
      </c>
      <c r="H395" s="2">
        <v>10</v>
      </c>
      <c r="I395" s="2" t="s">
        <v>2938</v>
      </c>
      <c r="J395" s="2" t="s">
        <v>1678</v>
      </c>
      <c r="K395" s="2" t="s">
        <v>1624</v>
      </c>
      <c r="L395" s="2" t="s">
        <v>29</v>
      </c>
      <c r="M395" s="2" t="s">
        <v>1472</v>
      </c>
      <c r="N395" s="2" t="s">
        <v>247</v>
      </c>
      <c r="O395" s="4">
        <v>1148</v>
      </c>
      <c r="P395" s="2" t="s">
        <v>2939</v>
      </c>
      <c r="Q395" s="2" t="s">
        <v>33</v>
      </c>
      <c r="R395" s="2" t="s">
        <v>2940</v>
      </c>
      <c r="S395" s="2" t="s">
        <v>79</v>
      </c>
      <c r="T395" s="2" t="s">
        <v>2941</v>
      </c>
      <c r="U395" s="2" t="s">
        <v>2942</v>
      </c>
      <c r="V395" s="2" t="s">
        <v>80</v>
      </c>
    </row>
    <row r="396" spans="1:22">
      <c r="A396" s="2" t="s">
        <v>1673</v>
      </c>
      <c r="B396" s="2" t="s">
        <v>2936</v>
      </c>
      <c r="C396" s="2" t="s">
        <v>2937</v>
      </c>
      <c r="D396" s="2">
        <v>2024</v>
      </c>
      <c r="E396" s="3">
        <v>45566</v>
      </c>
      <c r="F396" s="2" t="s">
        <v>1676</v>
      </c>
      <c r="G396" s="2">
        <v>34</v>
      </c>
      <c r="H396" s="2">
        <v>10</v>
      </c>
      <c r="I396" s="2" t="s">
        <v>2938</v>
      </c>
      <c r="J396" s="2" t="s">
        <v>1678</v>
      </c>
      <c r="K396" s="2" t="s">
        <v>1624</v>
      </c>
      <c r="L396" s="2" t="s">
        <v>29</v>
      </c>
      <c r="M396" s="2" t="s">
        <v>1472</v>
      </c>
      <c r="N396" s="2" t="s">
        <v>247</v>
      </c>
      <c r="O396" s="4">
        <v>1148</v>
      </c>
      <c r="P396" s="2" t="s">
        <v>2939</v>
      </c>
      <c r="Q396" s="2" t="s">
        <v>33</v>
      </c>
      <c r="R396" s="2" t="s">
        <v>2940</v>
      </c>
      <c r="S396" s="2" t="s">
        <v>79</v>
      </c>
      <c r="T396" s="2" t="s">
        <v>2941</v>
      </c>
      <c r="U396" s="2" t="s">
        <v>2942</v>
      </c>
      <c r="V396" s="2" t="s">
        <v>80</v>
      </c>
    </row>
    <row r="397" spans="1:22">
      <c r="A397" s="2" t="s">
        <v>2427</v>
      </c>
      <c r="B397" s="2" t="s">
        <v>2936</v>
      </c>
      <c r="C397" s="2" t="s">
        <v>2937</v>
      </c>
      <c r="D397" s="2">
        <v>2024</v>
      </c>
      <c r="E397" s="3">
        <v>45566</v>
      </c>
      <c r="F397" s="2" t="s">
        <v>1676</v>
      </c>
      <c r="G397" s="2">
        <v>34</v>
      </c>
      <c r="H397" s="2">
        <v>10</v>
      </c>
      <c r="I397" s="2" t="s">
        <v>2938</v>
      </c>
      <c r="J397" s="2" t="s">
        <v>1678</v>
      </c>
      <c r="K397" s="2" t="s">
        <v>1624</v>
      </c>
      <c r="L397" s="2" t="s">
        <v>29</v>
      </c>
      <c r="M397" s="2" t="s">
        <v>1472</v>
      </c>
      <c r="N397" s="2" t="s">
        <v>247</v>
      </c>
      <c r="O397" s="4">
        <v>1148</v>
      </c>
      <c r="P397" s="2" t="s">
        <v>2939</v>
      </c>
      <c r="Q397" s="2" t="s">
        <v>33</v>
      </c>
      <c r="R397" s="2" t="s">
        <v>2940</v>
      </c>
      <c r="S397" s="2" t="s">
        <v>79</v>
      </c>
      <c r="T397" s="2" t="s">
        <v>2941</v>
      </c>
      <c r="U397" s="2" t="s">
        <v>2942</v>
      </c>
      <c r="V397" s="2" t="s">
        <v>80</v>
      </c>
    </row>
    <row r="398" spans="1:22">
      <c r="A398" s="2" t="s">
        <v>2943</v>
      </c>
      <c r="B398" s="2" t="s">
        <v>2944</v>
      </c>
      <c r="C398" s="2" t="s">
        <v>2945</v>
      </c>
      <c r="D398" s="2">
        <v>2025</v>
      </c>
      <c r="E398" s="3">
        <v>45901</v>
      </c>
      <c r="F398" s="2" t="s">
        <v>2946</v>
      </c>
      <c r="G398" s="2">
        <v>13</v>
      </c>
      <c r="H398" s="2">
        <v>9</v>
      </c>
      <c r="I398" s="2" t="s">
        <v>43</v>
      </c>
      <c r="J398" s="2" t="s">
        <v>2947</v>
      </c>
      <c r="K398" s="2" t="s">
        <v>61</v>
      </c>
      <c r="L398" s="2" t="s">
        <v>29</v>
      </c>
      <c r="M398" s="2" t="s">
        <v>2119</v>
      </c>
      <c r="N398" s="2" t="s">
        <v>1544</v>
      </c>
      <c r="O398" s="2" t="s">
        <v>2948</v>
      </c>
      <c r="P398" s="2" t="s">
        <v>2949</v>
      </c>
      <c r="Q398" s="2" t="s">
        <v>33</v>
      </c>
      <c r="R398" s="2" t="s">
        <v>2950</v>
      </c>
      <c r="S398" s="2" t="s">
        <v>2951</v>
      </c>
      <c r="T398" s="2" t="s">
        <v>2952</v>
      </c>
      <c r="U398" s="2" t="s">
        <v>2953</v>
      </c>
      <c r="V398" s="2" t="s">
        <v>594</v>
      </c>
    </row>
    <row r="399" spans="1:22">
      <c r="A399" s="2" t="s">
        <v>2954</v>
      </c>
      <c r="B399" s="2" t="s">
        <v>2955</v>
      </c>
      <c r="C399" s="2" t="s">
        <v>2956</v>
      </c>
      <c r="D399" s="2">
        <v>2025</v>
      </c>
      <c r="E399" s="3">
        <v>45658</v>
      </c>
      <c r="F399" s="2" t="s">
        <v>2518</v>
      </c>
      <c r="G399" s="2">
        <v>62</v>
      </c>
      <c r="H399" s="2" t="s">
        <v>43</v>
      </c>
      <c r="I399" s="2" t="s">
        <v>2957</v>
      </c>
      <c r="J399" s="2" t="s">
        <v>2520</v>
      </c>
      <c r="K399" s="2" t="s">
        <v>2521</v>
      </c>
      <c r="L399" s="2" t="s">
        <v>29</v>
      </c>
      <c r="M399" s="2" t="s">
        <v>1362</v>
      </c>
      <c r="N399" s="2" t="s">
        <v>247</v>
      </c>
      <c r="O399" s="2" t="s">
        <v>2958</v>
      </c>
      <c r="P399" s="2" t="s">
        <v>2959</v>
      </c>
      <c r="Q399" s="2" t="s">
        <v>33</v>
      </c>
      <c r="R399" s="2" t="s">
        <v>2960</v>
      </c>
      <c r="S399" s="2" t="s">
        <v>1117</v>
      </c>
      <c r="T399" s="2" t="s">
        <v>2961</v>
      </c>
      <c r="U399" s="2" t="s">
        <v>2962</v>
      </c>
      <c r="V399" s="2" t="s">
        <v>80</v>
      </c>
    </row>
    <row r="400" spans="1:22">
      <c r="A400" s="2" t="s">
        <v>2963</v>
      </c>
      <c r="B400" s="2" t="s">
        <v>2964</v>
      </c>
      <c r="C400" s="2" t="s">
        <v>2965</v>
      </c>
      <c r="D400" s="2">
        <v>2024</v>
      </c>
      <c r="E400" s="3">
        <v>45352</v>
      </c>
      <c r="F400" s="2" t="s">
        <v>2966</v>
      </c>
      <c r="G400" s="2">
        <v>57</v>
      </c>
      <c r="H400" s="2">
        <v>2</v>
      </c>
      <c r="I400" s="7">
        <v>11140</v>
      </c>
      <c r="J400" s="2" t="s">
        <v>2967</v>
      </c>
      <c r="K400" s="2" t="s">
        <v>2968</v>
      </c>
      <c r="L400" s="2" t="s">
        <v>1867</v>
      </c>
      <c r="M400" s="2" t="s">
        <v>2423</v>
      </c>
      <c r="N400" s="2" t="s">
        <v>2969</v>
      </c>
      <c r="O400" s="2" t="s">
        <v>2970</v>
      </c>
      <c r="P400" s="2" t="s">
        <v>2971</v>
      </c>
      <c r="Q400" s="2" t="s">
        <v>33</v>
      </c>
      <c r="R400" s="2" t="s">
        <v>2972</v>
      </c>
      <c r="S400" s="2" t="s">
        <v>79</v>
      </c>
      <c r="T400" s="5">
        <v>601053680000000</v>
      </c>
      <c r="U400" s="2" t="s">
        <v>79</v>
      </c>
      <c r="V400" s="2" t="s">
        <v>80</v>
      </c>
    </row>
    <row r="401" spans="1:22">
      <c r="A401" s="2" t="s">
        <v>2342</v>
      </c>
      <c r="B401" s="2" t="s">
        <v>2973</v>
      </c>
      <c r="C401" s="2" t="s">
        <v>2974</v>
      </c>
      <c r="D401" s="2">
        <v>2024</v>
      </c>
      <c r="E401" s="3">
        <v>45474</v>
      </c>
      <c r="F401" s="2" t="s">
        <v>651</v>
      </c>
      <c r="G401" s="2">
        <v>13</v>
      </c>
      <c r="H401" s="2">
        <v>13</v>
      </c>
      <c r="I401" s="2" t="s">
        <v>43</v>
      </c>
      <c r="J401" s="2" t="s">
        <v>652</v>
      </c>
      <c r="K401" s="2" t="s">
        <v>61</v>
      </c>
      <c r="L401" s="2" t="s">
        <v>29</v>
      </c>
      <c r="M401" s="2" t="s">
        <v>653</v>
      </c>
      <c r="N401" s="2" t="s">
        <v>476</v>
      </c>
      <c r="O401" s="2" t="s">
        <v>654</v>
      </c>
      <c r="P401" s="2" t="s">
        <v>2975</v>
      </c>
      <c r="Q401" s="2" t="s">
        <v>33</v>
      </c>
      <c r="R401" s="2" t="s">
        <v>2976</v>
      </c>
      <c r="S401" s="2" t="s">
        <v>2977</v>
      </c>
      <c r="T401" s="2" t="s">
        <v>2978</v>
      </c>
      <c r="U401" s="2" t="s">
        <v>2979</v>
      </c>
      <c r="V401" s="2" t="s">
        <v>621</v>
      </c>
    </row>
    <row r="402" spans="1:22">
      <c r="A402" s="2" t="s">
        <v>2980</v>
      </c>
      <c r="B402" s="2" t="s">
        <v>2981</v>
      </c>
      <c r="C402" s="2" t="s">
        <v>2982</v>
      </c>
      <c r="D402" s="2">
        <v>2024</v>
      </c>
      <c r="E402" s="3">
        <v>45536</v>
      </c>
      <c r="F402" s="2" t="s">
        <v>2392</v>
      </c>
      <c r="G402" s="2">
        <v>35</v>
      </c>
      <c r="H402" s="6">
        <v>46178</v>
      </c>
      <c r="I402" s="2" t="s">
        <v>2983</v>
      </c>
      <c r="J402" s="2" t="s">
        <v>2394</v>
      </c>
      <c r="K402" s="2" t="s">
        <v>392</v>
      </c>
      <c r="L402" s="2" t="s">
        <v>773</v>
      </c>
      <c r="M402" s="2" t="s">
        <v>47</v>
      </c>
      <c r="N402" s="2" t="s">
        <v>2395</v>
      </c>
      <c r="O402" s="2" t="s">
        <v>2396</v>
      </c>
      <c r="P402" s="2" t="s">
        <v>2984</v>
      </c>
      <c r="Q402" s="2" t="s">
        <v>33</v>
      </c>
      <c r="R402" s="2" t="s">
        <v>2985</v>
      </c>
      <c r="S402" s="2" t="s">
        <v>2986</v>
      </c>
      <c r="T402" s="2" t="s">
        <v>2987</v>
      </c>
      <c r="U402" s="2" t="s">
        <v>2988</v>
      </c>
      <c r="V402" s="2" t="s">
        <v>594</v>
      </c>
    </row>
    <row r="403" spans="1:22">
      <c r="A403" s="2" t="s">
        <v>2989</v>
      </c>
      <c r="B403" s="2" t="s">
        <v>2981</v>
      </c>
      <c r="C403" s="2" t="s">
        <v>2982</v>
      </c>
      <c r="D403" s="2">
        <v>2024</v>
      </c>
      <c r="E403" s="3">
        <v>45536</v>
      </c>
      <c r="F403" s="2" t="s">
        <v>2392</v>
      </c>
      <c r="G403" s="2">
        <v>35</v>
      </c>
      <c r="H403" s="6">
        <v>46178</v>
      </c>
      <c r="I403" s="2" t="s">
        <v>2983</v>
      </c>
      <c r="J403" s="2" t="s">
        <v>2394</v>
      </c>
      <c r="K403" s="2" t="s">
        <v>392</v>
      </c>
      <c r="L403" s="2" t="s">
        <v>773</v>
      </c>
      <c r="M403" s="2" t="s">
        <v>47</v>
      </c>
      <c r="N403" s="2" t="s">
        <v>2395</v>
      </c>
      <c r="O403" s="2" t="s">
        <v>2396</v>
      </c>
      <c r="P403" s="2" t="s">
        <v>2984</v>
      </c>
      <c r="Q403" s="2" t="s">
        <v>33</v>
      </c>
      <c r="R403" s="2" t="s">
        <v>2985</v>
      </c>
      <c r="S403" s="2" t="s">
        <v>2986</v>
      </c>
      <c r="T403" s="2" t="s">
        <v>2987</v>
      </c>
      <c r="U403" s="2" t="s">
        <v>2988</v>
      </c>
      <c r="V403" s="2" t="s">
        <v>594</v>
      </c>
    </row>
    <row r="404" spans="1:22" ht="28.8">
      <c r="A404" s="2" t="s">
        <v>276</v>
      </c>
      <c r="B404" s="2" t="s">
        <v>2990</v>
      </c>
      <c r="C404" s="2" t="s">
        <v>2991</v>
      </c>
      <c r="D404" s="2">
        <v>2025</v>
      </c>
      <c r="E404" s="3">
        <v>45778</v>
      </c>
      <c r="F404" s="2" t="s">
        <v>1784</v>
      </c>
      <c r="G404" s="2">
        <v>13</v>
      </c>
      <c r="H404" s="2">
        <v>5</v>
      </c>
      <c r="I404" s="2" t="s">
        <v>43</v>
      </c>
      <c r="J404" s="2" t="s">
        <v>1785</v>
      </c>
      <c r="K404" s="2" t="s">
        <v>61</v>
      </c>
      <c r="L404" s="2" t="s">
        <v>29</v>
      </c>
      <c r="M404" s="2" t="s">
        <v>2492</v>
      </c>
      <c r="N404" s="2" t="s">
        <v>348</v>
      </c>
      <c r="O404" s="4">
        <v>1165</v>
      </c>
      <c r="P404" s="2" t="s">
        <v>2992</v>
      </c>
      <c r="Q404" s="2" t="s">
        <v>49</v>
      </c>
      <c r="R404" s="2" t="s">
        <v>2993</v>
      </c>
      <c r="S404" s="2" t="s">
        <v>2339</v>
      </c>
      <c r="T404" s="2" t="s">
        <v>2994</v>
      </c>
      <c r="U404" s="2" t="s">
        <v>2995</v>
      </c>
      <c r="V404" s="2" t="s">
        <v>2996</v>
      </c>
    </row>
    <row r="405" spans="1:22">
      <c r="A405" s="2" t="s">
        <v>2997</v>
      </c>
      <c r="B405" s="2" t="s">
        <v>2998</v>
      </c>
      <c r="C405" s="2" t="s">
        <v>2999</v>
      </c>
      <c r="D405" s="2">
        <v>2024</v>
      </c>
      <c r="E405" s="3">
        <v>45292</v>
      </c>
      <c r="F405" s="2" t="s">
        <v>3000</v>
      </c>
      <c r="G405" s="2">
        <v>2024</v>
      </c>
      <c r="H405" s="2">
        <v>173</v>
      </c>
      <c r="I405" s="2" t="s">
        <v>43</v>
      </c>
      <c r="J405" s="2" t="s">
        <v>3001</v>
      </c>
      <c r="K405" s="2" t="s">
        <v>3002</v>
      </c>
      <c r="L405" s="2" t="s">
        <v>1867</v>
      </c>
      <c r="M405" s="2" t="s">
        <v>43</v>
      </c>
      <c r="N405" s="2" t="s">
        <v>43</v>
      </c>
      <c r="O405" s="2" t="s">
        <v>43</v>
      </c>
      <c r="P405" s="2" t="s">
        <v>3003</v>
      </c>
      <c r="Q405" s="2" t="s">
        <v>33</v>
      </c>
      <c r="R405" s="2" t="s">
        <v>3004</v>
      </c>
      <c r="S405" s="2" t="s">
        <v>79</v>
      </c>
      <c r="T405" s="5">
        <v>601053680000000</v>
      </c>
      <c r="U405" s="2" t="s">
        <v>79</v>
      </c>
      <c r="V405" s="2" t="s">
        <v>80</v>
      </c>
    </row>
    <row r="406" spans="1:22">
      <c r="A406" s="2" t="s">
        <v>1916</v>
      </c>
      <c r="B406" s="2" t="s">
        <v>3005</v>
      </c>
      <c r="C406" s="2" t="s">
        <v>3006</v>
      </c>
      <c r="D406" s="2">
        <v>2025</v>
      </c>
      <c r="E406" s="3">
        <v>45658</v>
      </c>
      <c r="F406" s="2" t="s">
        <v>3007</v>
      </c>
      <c r="G406" s="2">
        <v>18</v>
      </c>
      <c r="H406" s="2" t="s">
        <v>43</v>
      </c>
      <c r="I406" s="2" t="s">
        <v>3008</v>
      </c>
      <c r="J406" s="2" t="s">
        <v>3009</v>
      </c>
      <c r="K406" s="2" t="s">
        <v>2646</v>
      </c>
      <c r="L406" s="2" t="s">
        <v>29</v>
      </c>
      <c r="M406" s="2" t="s">
        <v>2052</v>
      </c>
      <c r="N406" s="2" t="s">
        <v>1581</v>
      </c>
      <c r="O406" s="2" t="s">
        <v>3010</v>
      </c>
      <c r="P406" s="2" t="s">
        <v>3011</v>
      </c>
      <c r="Q406" s="2" t="s">
        <v>644</v>
      </c>
      <c r="R406" s="2" t="s">
        <v>3012</v>
      </c>
      <c r="S406" s="2" t="s">
        <v>1681</v>
      </c>
      <c r="T406" s="2" t="s">
        <v>2606</v>
      </c>
      <c r="U406" s="2" t="s">
        <v>1681</v>
      </c>
      <c r="V406" s="2" t="s">
        <v>80</v>
      </c>
    </row>
    <row r="407" spans="1:22">
      <c r="A407" s="2" t="s">
        <v>1344</v>
      </c>
      <c r="B407" s="2" t="s">
        <v>3005</v>
      </c>
      <c r="C407" s="2" t="s">
        <v>3006</v>
      </c>
      <c r="D407" s="2">
        <v>2025</v>
      </c>
      <c r="E407" s="3">
        <v>45658</v>
      </c>
      <c r="F407" s="2" t="s">
        <v>3007</v>
      </c>
      <c r="G407" s="2">
        <v>18</v>
      </c>
      <c r="H407" s="2" t="s">
        <v>43</v>
      </c>
      <c r="I407" s="2" t="s">
        <v>3008</v>
      </c>
      <c r="J407" s="2" t="s">
        <v>3009</v>
      </c>
      <c r="K407" s="2" t="s">
        <v>2646</v>
      </c>
      <c r="L407" s="2" t="s">
        <v>29</v>
      </c>
      <c r="M407" s="2" t="s">
        <v>2052</v>
      </c>
      <c r="N407" s="2" t="s">
        <v>1581</v>
      </c>
      <c r="O407" s="2" t="s">
        <v>3010</v>
      </c>
      <c r="P407" s="2" t="s">
        <v>3011</v>
      </c>
      <c r="Q407" s="2" t="s">
        <v>644</v>
      </c>
      <c r="R407" s="2" t="s">
        <v>3012</v>
      </c>
      <c r="S407" s="2" t="s">
        <v>1681</v>
      </c>
      <c r="T407" s="2" t="s">
        <v>2606</v>
      </c>
      <c r="U407" s="2" t="s">
        <v>1681</v>
      </c>
      <c r="V407" s="2" t="s">
        <v>80</v>
      </c>
    </row>
    <row r="408" spans="1:22">
      <c r="A408" s="2" t="s">
        <v>3013</v>
      </c>
      <c r="B408" s="2" t="s">
        <v>3005</v>
      </c>
      <c r="C408" s="2" t="s">
        <v>3006</v>
      </c>
      <c r="D408" s="2">
        <v>2025</v>
      </c>
      <c r="E408" s="3">
        <v>45658</v>
      </c>
      <c r="F408" s="2" t="s">
        <v>3007</v>
      </c>
      <c r="G408" s="2">
        <v>18</v>
      </c>
      <c r="H408" s="2" t="s">
        <v>43</v>
      </c>
      <c r="I408" s="2" t="s">
        <v>3008</v>
      </c>
      <c r="J408" s="2" t="s">
        <v>3009</v>
      </c>
      <c r="K408" s="2" t="s">
        <v>2646</v>
      </c>
      <c r="L408" s="2" t="s">
        <v>29</v>
      </c>
      <c r="M408" s="2" t="s">
        <v>2052</v>
      </c>
      <c r="N408" s="2" t="s">
        <v>1581</v>
      </c>
      <c r="O408" s="2" t="s">
        <v>3010</v>
      </c>
      <c r="P408" s="2" t="s">
        <v>3011</v>
      </c>
      <c r="Q408" s="2" t="s">
        <v>644</v>
      </c>
      <c r="R408" s="2" t="s">
        <v>3012</v>
      </c>
      <c r="S408" s="2" t="s">
        <v>1681</v>
      </c>
      <c r="T408" s="2" t="s">
        <v>2606</v>
      </c>
      <c r="U408" s="2" t="s">
        <v>1681</v>
      </c>
      <c r="V408" s="2" t="s">
        <v>80</v>
      </c>
    </row>
    <row r="409" spans="1:22">
      <c r="A409" s="2" t="s">
        <v>3014</v>
      </c>
      <c r="B409" s="2" t="s">
        <v>3015</v>
      </c>
      <c r="C409" s="2" t="s">
        <v>3016</v>
      </c>
      <c r="D409" s="2">
        <v>2025</v>
      </c>
      <c r="E409" s="3">
        <v>45748</v>
      </c>
      <c r="F409" s="2" t="s">
        <v>3017</v>
      </c>
      <c r="G409" s="2">
        <v>26</v>
      </c>
      <c r="H409" s="2">
        <v>2</v>
      </c>
      <c r="I409" s="2" t="s">
        <v>43</v>
      </c>
      <c r="J409" s="2" t="s">
        <v>3018</v>
      </c>
      <c r="K409" s="2" t="s">
        <v>1462</v>
      </c>
      <c r="L409" s="2" t="s">
        <v>29</v>
      </c>
      <c r="M409" s="2" t="s">
        <v>498</v>
      </c>
      <c r="N409" s="2" t="s">
        <v>63</v>
      </c>
      <c r="O409" s="4">
        <v>1206</v>
      </c>
      <c r="P409" s="2" t="s">
        <v>3019</v>
      </c>
      <c r="Q409" s="2" t="s">
        <v>33</v>
      </c>
      <c r="R409" s="2" t="s">
        <v>3020</v>
      </c>
      <c r="S409" s="2" t="s">
        <v>1106</v>
      </c>
      <c r="T409" s="2" t="s">
        <v>3021</v>
      </c>
      <c r="U409" s="2" t="s">
        <v>3022</v>
      </c>
      <c r="V409" s="2" t="s">
        <v>80</v>
      </c>
    </row>
    <row r="410" spans="1:22">
      <c r="A410" s="2" t="s">
        <v>3023</v>
      </c>
      <c r="B410" s="2" t="s">
        <v>3015</v>
      </c>
      <c r="C410" s="2" t="s">
        <v>3016</v>
      </c>
      <c r="D410" s="2">
        <v>2025</v>
      </c>
      <c r="E410" s="3">
        <v>45748</v>
      </c>
      <c r="F410" s="2" t="s">
        <v>3017</v>
      </c>
      <c r="G410" s="2">
        <v>26</v>
      </c>
      <c r="H410" s="2">
        <v>2</v>
      </c>
      <c r="I410" s="2" t="s">
        <v>43</v>
      </c>
      <c r="J410" s="2" t="s">
        <v>3018</v>
      </c>
      <c r="K410" s="2" t="s">
        <v>1462</v>
      </c>
      <c r="L410" s="2" t="s">
        <v>29</v>
      </c>
      <c r="M410" s="2" t="s">
        <v>498</v>
      </c>
      <c r="N410" s="2" t="s">
        <v>63</v>
      </c>
      <c r="O410" s="4">
        <v>1206</v>
      </c>
      <c r="P410" s="2" t="s">
        <v>3019</v>
      </c>
      <c r="Q410" s="2" t="s">
        <v>33</v>
      </c>
      <c r="R410" s="2" t="s">
        <v>3020</v>
      </c>
      <c r="S410" s="2" t="s">
        <v>1106</v>
      </c>
      <c r="T410" s="2" t="s">
        <v>3021</v>
      </c>
      <c r="U410" s="2" t="s">
        <v>3022</v>
      </c>
      <c r="V410" s="2" t="s">
        <v>80</v>
      </c>
    </row>
    <row r="411" spans="1:22" ht="43.2">
      <c r="A411" s="2" t="s">
        <v>228</v>
      </c>
      <c r="B411" s="2" t="s">
        <v>3024</v>
      </c>
      <c r="C411" s="2" t="s">
        <v>3025</v>
      </c>
      <c r="D411" s="2">
        <v>2025</v>
      </c>
      <c r="E411" s="3">
        <v>45992</v>
      </c>
      <c r="F411" s="2" t="s">
        <v>231</v>
      </c>
      <c r="G411" s="2">
        <v>29</v>
      </c>
      <c r="H411" s="2">
        <v>1</v>
      </c>
      <c r="I411" s="2" t="s">
        <v>43</v>
      </c>
      <c r="J411" s="2" t="s">
        <v>232</v>
      </c>
      <c r="K411" s="2" t="s">
        <v>233</v>
      </c>
      <c r="L411" s="2" t="s">
        <v>29</v>
      </c>
      <c r="M411" s="2" t="s">
        <v>234</v>
      </c>
      <c r="N411" s="2" t="s">
        <v>31</v>
      </c>
      <c r="O411" s="4">
        <v>3002</v>
      </c>
      <c r="P411" s="2" t="s">
        <v>3026</v>
      </c>
      <c r="Q411" s="2" t="s">
        <v>33</v>
      </c>
      <c r="R411" s="2" t="s">
        <v>3027</v>
      </c>
      <c r="S411" s="2" t="s">
        <v>3028</v>
      </c>
      <c r="T411" s="2" t="s">
        <v>3029</v>
      </c>
      <c r="U411" s="2" t="s">
        <v>3030</v>
      </c>
      <c r="V411" s="2" t="s">
        <v>3031</v>
      </c>
    </row>
    <row r="412" spans="1:22">
      <c r="A412" s="2" t="s">
        <v>3032</v>
      </c>
      <c r="B412" s="2" t="s">
        <v>3033</v>
      </c>
      <c r="C412" s="2" t="s">
        <v>3034</v>
      </c>
      <c r="D412" s="2">
        <v>2025</v>
      </c>
      <c r="E412" s="3">
        <v>45689</v>
      </c>
      <c r="F412" s="2" t="s">
        <v>3035</v>
      </c>
      <c r="G412" s="2">
        <v>40</v>
      </c>
      <c r="H412" s="2">
        <v>2</v>
      </c>
      <c r="I412" s="2" t="s">
        <v>43</v>
      </c>
      <c r="J412" s="2" t="s">
        <v>3036</v>
      </c>
      <c r="K412" s="2" t="s">
        <v>3037</v>
      </c>
      <c r="L412" s="2" t="s">
        <v>29</v>
      </c>
      <c r="M412" s="2" t="s">
        <v>3038</v>
      </c>
      <c r="N412" s="2" t="s">
        <v>2066</v>
      </c>
      <c r="O412" s="2" t="s">
        <v>3039</v>
      </c>
      <c r="P412" s="2" t="s">
        <v>3040</v>
      </c>
      <c r="Q412" s="2" t="s">
        <v>33</v>
      </c>
      <c r="R412" s="2" t="s">
        <v>3041</v>
      </c>
      <c r="S412" s="2" t="s">
        <v>1681</v>
      </c>
      <c r="T412" s="2" t="s">
        <v>3042</v>
      </c>
      <c r="U412" s="2" t="s">
        <v>3043</v>
      </c>
      <c r="V412" s="2" t="s">
        <v>80</v>
      </c>
    </row>
    <row r="413" spans="1:22">
      <c r="A413" s="2" t="s">
        <v>433</v>
      </c>
      <c r="B413" s="2" t="s">
        <v>3033</v>
      </c>
      <c r="C413" s="2" t="s">
        <v>3034</v>
      </c>
      <c r="D413" s="2">
        <v>2025</v>
      </c>
      <c r="E413" s="3">
        <v>45689</v>
      </c>
      <c r="F413" s="2" t="s">
        <v>3035</v>
      </c>
      <c r="G413" s="2">
        <v>40</v>
      </c>
      <c r="H413" s="2">
        <v>2</v>
      </c>
      <c r="I413" s="2" t="s">
        <v>43</v>
      </c>
      <c r="J413" s="2" t="s">
        <v>3036</v>
      </c>
      <c r="K413" s="2" t="s">
        <v>3037</v>
      </c>
      <c r="L413" s="2" t="s">
        <v>29</v>
      </c>
      <c r="M413" s="2" t="s">
        <v>3038</v>
      </c>
      <c r="N413" s="2" t="s">
        <v>2066</v>
      </c>
      <c r="O413" s="2" t="s">
        <v>3039</v>
      </c>
      <c r="P413" s="2" t="s">
        <v>3040</v>
      </c>
      <c r="Q413" s="2" t="s">
        <v>33</v>
      </c>
      <c r="R413" s="2" t="s">
        <v>3041</v>
      </c>
      <c r="S413" s="2" t="s">
        <v>1681</v>
      </c>
      <c r="T413" s="2" t="s">
        <v>3042</v>
      </c>
      <c r="U413" s="2" t="s">
        <v>3043</v>
      </c>
      <c r="V413" s="2" t="s">
        <v>80</v>
      </c>
    </row>
    <row r="414" spans="1:22">
      <c r="A414" s="2" t="s">
        <v>1916</v>
      </c>
      <c r="B414" s="2" t="s">
        <v>3033</v>
      </c>
      <c r="C414" s="2" t="s">
        <v>3034</v>
      </c>
      <c r="D414" s="2">
        <v>2025</v>
      </c>
      <c r="E414" s="3">
        <v>45689</v>
      </c>
      <c r="F414" s="2" t="s">
        <v>3035</v>
      </c>
      <c r="G414" s="2">
        <v>40</v>
      </c>
      <c r="H414" s="2">
        <v>2</v>
      </c>
      <c r="I414" s="2" t="s">
        <v>43</v>
      </c>
      <c r="J414" s="2" t="s">
        <v>3036</v>
      </c>
      <c r="K414" s="2" t="s">
        <v>3037</v>
      </c>
      <c r="L414" s="2" t="s">
        <v>29</v>
      </c>
      <c r="M414" s="2" t="s">
        <v>3038</v>
      </c>
      <c r="N414" s="2" t="s">
        <v>2066</v>
      </c>
      <c r="O414" s="2" t="s">
        <v>3039</v>
      </c>
      <c r="P414" s="2" t="s">
        <v>3040</v>
      </c>
      <c r="Q414" s="2" t="s">
        <v>33</v>
      </c>
      <c r="R414" s="2" t="s">
        <v>3041</v>
      </c>
      <c r="S414" s="2" t="s">
        <v>1681</v>
      </c>
      <c r="T414" s="2" t="s">
        <v>3042</v>
      </c>
      <c r="U414" s="2" t="s">
        <v>3043</v>
      </c>
      <c r="V414" s="2" t="s">
        <v>80</v>
      </c>
    </row>
    <row r="415" spans="1:22">
      <c r="A415" s="2" t="s">
        <v>635</v>
      </c>
      <c r="B415" s="2" t="s">
        <v>3044</v>
      </c>
      <c r="C415" s="2" t="s">
        <v>3045</v>
      </c>
      <c r="D415" s="2">
        <v>2025</v>
      </c>
      <c r="E415" s="3">
        <v>45658</v>
      </c>
      <c r="F415" s="2" t="s">
        <v>3046</v>
      </c>
      <c r="G415" s="2">
        <v>96</v>
      </c>
      <c r="H415" s="2">
        <v>1</v>
      </c>
      <c r="I415" s="2" t="s">
        <v>3047</v>
      </c>
      <c r="J415" s="2" t="s">
        <v>3048</v>
      </c>
      <c r="K415" s="2" t="s">
        <v>3049</v>
      </c>
      <c r="L415" s="2" t="s">
        <v>29</v>
      </c>
      <c r="M415" s="2" t="s">
        <v>1919</v>
      </c>
      <c r="N415" s="2" t="s">
        <v>3050</v>
      </c>
      <c r="O415" s="2" t="s">
        <v>3051</v>
      </c>
      <c r="P415" s="2" t="s">
        <v>3052</v>
      </c>
      <c r="Q415" s="2" t="s">
        <v>33</v>
      </c>
      <c r="R415" s="2" t="s">
        <v>3053</v>
      </c>
      <c r="S415" s="2" t="s">
        <v>79</v>
      </c>
      <c r="T415" s="2" t="s">
        <v>3054</v>
      </c>
      <c r="U415" s="2" t="s">
        <v>3055</v>
      </c>
      <c r="V415" s="2" t="s">
        <v>80</v>
      </c>
    </row>
    <row r="416" spans="1:22">
      <c r="A416" s="2" t="s">
        <v>1369</v>
      </c>
      <c r="B416" s="2" t="s">
        <v>3044</v>
      </c>
      <c r="C416" s="2" t="s">
        <v>3045</v>
      </c>
      <c r="D416" s="2">
        <v>2025</v>
      </c>
      <c r="E416" s="3">
        <v>45658</v>
      </c>
      <c r="F416" s="2" t="s">
        <v>3046</v>
      </c>
      <c r="G416" s="2">
        <v>96</v>
      </c>
      <c r="H416" s="2">
        <v>1</v>
      </c>
      <c r="I416" s="2" t="s">
        <v>3047</v>
      </c>
      <c r="J416" s="2" t="s">
        <v>3048</v>
      </c>
      <c r="K416" s="2" t="s">
        <v>3049</v>
      </c>
      <c r="L416" s="2" t="s">
        <v>29</v>
      </c>
      <c r="M416" s="2" t="s">
        <v>1919</v>
      </c>
      <c r="N416" s="2" t="s">
        <v>3050</v>
      </c>
      <c r="O416" s="2" t="s">
        <v>3051</v>
      </c>
      <c r="P416" s="2" t="s">
        <v>3052</v>
      </c>
      <c r="Q416" s="2" t="s">
        <v>33</v>
      </c>
      <c r="R416" s="2" t="s">
        <v>3053</v>
      </c>
      <c r="S416" s="2" t="s">
        <v>79</v>
      </c>
      <c r="T416" s="2" t="s">
        <v>3054</v>
      </c>
      <c r="U416" s="2" t="s">
        <v>3055</v>
      </c>
      <c r="V416" s="2" t="s">
        <v>80</v>
      </c>
    </row>
    <row r="417" spans="1:22" ht="28.8">
      <c r="A417" s="2" t="s">
        <v>276</v>
      </c>
      <c r="B417" s="2" t="s">
        <v>3056</v>
      </c>
      <c r="C417" s="2" t="s">
        <v>3057</v>
      </c>
      <c r="D417" s="2">
        <v>2024</v>
      </c>
      <c r="E417" s="3">
        <v>45444</v>
      </c>
      <c r="F417" s="2" t="s">
        <v>651</v>
      </c>
      <c r="G417" s="2">
        <v>13</v>
      </c>
      <c r="H417" s="2">
        <v>11</v>
      </c>
      <c r="I417" s="2" t="s">
        <v>43</v>
      </c>
      <c r="J417" s="2" t="s">
        <v>652</v>
      </c>
      <c r="K417" s="2" t="s">
        <v>61</v>
      </c>
      <c r="L417" s="2" t="s">
        <v>29</v>
      </c>
      <c r="M417" s="2" t="s">
        <v>653</v>
      </c>
      <c r="N417" s="2" t="s">
        <v>476</v>
      </c>
      <c r="O417" s="2" t="s">
        <v>654</v>
      </c>
      <c r="P417" s="2" t="s">
        <v>3058</v>
      </c>
      <c r="Q417" s="2" t="s">
        <v>49</v>
      </c>
      <c r="R417" s="2" t="s">
        <v>3059</v>
      </c>
      <c r="S417" s="2" t="s">
        <v>3060</v>
      </c>
      <c r="T417" s="2" t="s">
        <v>3061</v>
      </c>
      <c r="U417" s="2" t="s">
        <v>3062</v>
      </c>
      <c r="V417" s="2" t="s">
        <v>594</v>
      </c>
    </row>
    <row r="418" spans="1:22">
      <c r="A418" s="2" t="s">
        <v>3063</v>
      </c>
      <c r="B418" s="2" t="s">
        <v>3064</v>
      </c>
      <c r="C418" s="2" t="s">
        <v>3065</v>
      </c>
      <c r="D418" s="2">
        <v>2024</v>
      </c>
      <c r="E418" s="3">
        <v>45566</v>
      </c>
      <c r="F418" s="2" t="s">
        <v>3066</v>
      </c>
      <c r="G418" s="2">
        <v>14</v>
      </c>
      <c r="H418" s="2">
        <v>10</v>
      </c>
      <c r="I418" s="2" t="s">
        <v>43</v>
      </c>
      <c r="J418" s="2" t="s">
        <v>3067</v>
      </c>
      <c r="K418" s="2" t="s">
        <v>61</v>
      </c>
      <c r="L418" s="2" t="s">
        <v>29</v>
      </c>
      <c r="M418" s="2" t="s">
        <v>498</v>
      </c>
      <c r="N418" s="2" t="s">
        <v>464</v>
      </c>
      <c r="O418" s="2" t="s">
        <v>3068</v>
      </c>
      <c r="P418" s="2" t="s">
        <v>3069</v>
      </c>
      <c r="Q418" s="2" t="s">
        <v>49</v>
      </c>
      <c r="R418" s="2" t="s">
        <v>3070</v>
      </c>
      <c r="S418" s="2" t="s">
        <v>3071</v>
      </c>
      <c r="T418" s="2" t="s">
        <v>3072</v>
      </c>
      <c r="U418" s="2" t="s">
        <v>3073</v>
      </c>
      <c r="V418" s="2" t="s">
        <v>2996</v>
      </c>
    </row>
    <row r="419" spans="1:22">
      <c r="A419" s="2" t="s">
        <v>3074</v>
      </c>
      <c r="B419" s="2" t="s">
        <v>3075</v>
      </c>
      <c r="C419" s="2" t="s">
        <v>3076</v>
      </c>
      <c r="D419" s="2">
        <v>2025</v>
      </c>
      <c r="E419" s="3">
        <v>45658</v>
      </c>
      <c r="F419" s="2" t="s">
        <v>3077</v>
      </c>
      <c r="G419" s="2" t="s">
        <v>43</v>
      </c>
      <c r="H419" s="2" t="s">
        <v>43</v>
      </c>
      <c r="I419" s="2" t="s">
        <v>43</v>
      </c>
      <c r="J419" s="2" t="s">
        <v>3078</v>
      </c>
      <c r="K419" s="2" t="s">
        <v>302</v>
      </c>
      <c r="L419" s="2" t="s">
        <v>29</v>
      </c>
      <c r="M419" s="2" t="s">
        <v>2522</v>
      </c>
      <c r="N419" s="2" t="s">
        <v>3079</v>
      </c>
      <c r="O419" s="2" t="s">
        <v>3080</v>
      </c>
      <c r="P419" s="2" t="s">
        <v>3081</v>
      </c>
      <c r="Q419" s="2" t="s">
        <v>33</v>
      </c>
      <c r="R419" s="2" t="s">
        <v>3082</v>
      </c>
      <c r="S419" s="2" t="s">
        <v>1681</v>
      </c>
      <c r="T419" s="2" t="s">
        <v>3083</v>
      </c>
      <c r="U419" s="2" t="s">
        <v>3084</v>
      </c>
      <c r="V419" s="2" t="s">
        <v>80</v>
      </c>
    </row>
    <row r="420" spans="1:22">
      <c r="A420" s="2" t="s">
        <v>1916</v>
      </c>
      <c r="B420" s="2" t="s">
        <v>3075</v>
      </c>
      <c r="C420" s="2" t="s">
        <v>3076</v>
      </c>
      <c r="D420" s="2">
        <v>2025</v>
      </c>
      <c r="E420" s="3">
        <v>45658</v>
      </c>
      <c r="F420" s="2" t="s">
        <v>3077</v>
      </c>
      <c r="G420" s="2" t="s">
        <v>43</v>
      </c>
      <c r="H420" s="2" t="s">
        <v>43</v>
      </c>
      <c r="I420" s="2" t="s">
        <v>43</v>
      </c>
      <c r="J420" s="2" t="s">
        <v>3078</v>
      </c>
      <c r="K420" s="2" t="s">
        <v>302</v>
      </c>
      <c r="L420" s="2" t="s">
        <v>29</v>
      </c>
      <c r="M420" s="2" t="s">
        <v>2522</v>
      </c>
      <c r="N420" s="2" t="s">
        <v>3079</v>
      </c>
      <c r="O420" s="2" t="s">
        <v>3080</v>
      </c>
      <c r="P420" s="2" t="s">
        <v>3081</v>
      </c>
      <c r="Q420" s="2" t="s">
        <v>33</v>
      </c>
      <c r="R420" s="2" t="s">
        <v>3082</v>
      </c>
      <c r="S420" s="2" t="s">
        <v>1681</v>
      </c>
      <c r="T420" s="2" t="s">
        <v>3083</v>
      </c>
      <c r="U420" s="2" t="s">
        <v>3084</v>
      </c>
      <c r="V420" s="2" t="s">
        <v>80</v>
      </c>
    </row>
    <row r="421" spans="1:22" ht="28.8">
      <c r="A421" s="2" t="s">
        <v>276</v>
      </c>
      <c r="B421" s="2" t="s">
        <v>3085</v>
      </c>
      <c r="C421" s="2" t="s">
        <v>3086</v>
      </c>
      <c r="D421" s="2">
        <v>2025</v>
      </c>
      <c r="E421" s="3">
        <v>45809</v>
      </c>
      <c r="F421" s="2" t="s">
        <v>651</v>
      </c>
      <c r="G421" s="2">
        <v>14</v>
      </c>
      <c r="H421" s="2">
        <v>11</v>
      </c>
      <c r="I421" s="2" t="s">
        <v>43</v>
      </c>
      <c r="J421" s="2" t="s">
        <v>652</v>
      </c>
      <c r="K421" s="2" t="s">
        <v>61</v>
      </c>
      <c r="L421" s="2" t="s">
        <v>29</v>
      </c>
      <c r="M421" s="2" t="s">
        <v>653</v>
      </c>
      <c r="N421" s="2" t="s">
        <v>476</v>
      </c>
      <c r="O421" s="2" t="s">
        <v>1919</v>
      </c>
      <c r="P421" s="2" t="s">
        <v>3087</v>
      </c>
      <c r="Q421" s="2" t="s">
        <v>49</v>
      </c>
      <c r="R421" s="2" t="s">
        <v>3088</v>
      </c>
      <c r="S421" s="2" t="s">
        <v>3089</v>
      </c>
      <c r="T421" s="2" t="s">
        <v>3090</v>
      </c>
      <c r="U421" s="2" t="s">
        <v>3091</v>
      </c>
      <c r="V421" s="2" t="s">
        <v>3092</v>
      </c>
    </row>
    <row r="422" spans="1:22">
      <c r="A422" s="2" t="s">
        <v>3093</v>
      </c>
      <c r="B422" s="2" t="s">
        <v>3094</v>
      </c>
      <c r="C422" s="2" t="s">
        <v>3095</v>
      </c>
      <c r="D422" s="2">
        <v>2024</v>
      </c>
      <c r="E422" s="3">
        <v>45352</v>
      </c>
      <c r="F422" s="2" t="s">
        <v>3096</v>
      </c>
      <c r="G422" s="2">
        <v>152</v>
      </c>
      <c r="H422" s="2">
        <v>3</v>
      </c>
      <c r="I422" s="2" t="s">
        <v>3097</v>
      </c>
      <c r="J422" s="2" t="s">
        <v>3098</v>
      </c>
      <c r="K422" s="2" t="s">
        <v>3099</v>
      </c>
      <c r="L422" s="2" t="s">
        <v>1867</v>
      </c>
      <c r="M422" s="2" t="s">
        <v>47</v>
      </c>
      <c r="N422" s="2" t="s">
        <v>2797</v>
      </c>
      <c r="O422" s="2" t="s">
        <v>3100</v>
      </c>
      <c r="P422" s="2" t="s">
        <v>3101</v>
      </c>
      <c r="Q422" s="2" t="s">
        <v>33</v>
      </c>
      <c r="R422" s="2" t="s">
        <v>3102</v>
      </c>
      <c r="S422" s="2" t="s">
        <v>79</v>
      </c>
      <c r="T422" s="2" t="s">
        <v>2488</v>
      </c>
      <c r="U422" s="2" t="s">
        <v>2489</v>
      </c>
      <c r="V422" s="2" t="s">
        <v>80</v>
      </c>
    </row>
    <row r="423" spans="1:22">
      <c r="A423" s="2" t="s">
        <v>3103</v>
      </c>
      <c r="B423" s="2" t="s">
        <v>3094</v>
      </c>
      <c r="C423" s="2" t="s">
        <v>3095</v>
      </c>
      <c r="D423" s="2">
        <v>2024</v>
      </c>
      <c r="E423" s="3">
        <v>45352</v>
      </c>
      <c r="F423" s="2" t="s">
        <v>3096</v>
      </c>
      <c r="G423" s="2">
        <v>152</v>
      </c>
      <c r="H423" s="2">
        <v>3</v>
      </c>
      <c r="I423" s="2" t="s">
        <v>3097</v>
      </c>
      <c r="J423" s="2" t="s">
        <v>3098</v>
      </c>
      <c r="K423" s="2" t="s">
        <v>3099</v>
      </c>
      <c r="L423" s="2" t="s">
        <v>1867</v>
      </c>
      <c r="M423" s="2" t="s">
        <v>47</v>
      </c>
      <c r="N423" s="2" t="s">
        <v>2797</v>
      </c>
      <c r="O423" s="2" t="s">
        <v>3100</v>
      </c>
      <c r="P423" s="2" t="s">
        <v>3101</v>
      </c>
      <c r="Q423" s="2" t="s">
        <v>33</v>
      </c>
      <c r="R423" s="2" t="s">
        <v>3102</v>
      </c>
      <c r="S423" s="2" t="s">
        <v>79</v>
      </c>
      <c r="T423" s="2" t="s">
        <v>2488</v>
      </c>
      <c r="U423" s="2" t="s">
        <v>2489</v>
      </c>
      <c r="V423" s="2" t="s">
        <v>80</v>
      </c>
    </row>
    <row r="424" spans="1:22">
      <c r="A424" s="2" t="s">
        <v>1751</v>
      </c>
      <c r="B424" s="2" t="s">
        <v>3104</v>
      </c>
      <c r="C424" s="2" t="s">
        <v>3105</v>
      </c>
      <c r="D424" s="2">
        <v>2025</v>
      </c>
      <c r="E424" s="3">
        <v>45853</v>
      </c>
      <c r="F424" s="2" t="s">
        <v>957</v>
      </c>
      <c r="G424" s="2">
        <v>603</v>
      </c>
      <c r="H424" s="2">
        <v>14</v>
      </c>
      <c r="I424" s="2" t="s">
        <v>3106</v>
      </c>
      <c r="J424" s="2" t="s">
        <v>959</v>
      </c>
      <c r="K424" s="2" t="s">
        <v>119</v>
      </c>
      <c r="L424" s="2" t="s">
        <v>29</v>
      </c>
      <c r="M424" s="2" t="s">
        <v>567</v>
      </c>
      <c r="N424" s="2" t="s">
        <v>1520</v>
      </c>
      <c r="O424" s="4">
        <v>1476</v>
      </c>
      <c r="P424" s="2" t="s">
        <v>3107</v>
      </c>
      <c r="Q424" s="2" t="s">
        <v>33</v>
      </c>
      <c r="R424" s="2" t="s">
        <v>3108</v>
      </c>
      <c r="S424" s="2" t="s">
        <v>174</v>
      </c>
      <c r="T424" s="2" t="s">
        <v>175</v>
      </c>
      <c r="U424" s="2" t="s">
        <v>176</v>
      </c>
      <c r="V424" s="2" t="s">
        <v>177</v>
      </c>
    </row>
    <row r="425" spans="1:22">
      <c r="A425" s="2" t="s">
        <v>1619</v>
      </c>
      <c r="B425" s="2" t="s">
        <v>3109</v>
      </c>
      <c r="C425" s="2" t="s">
        <v>3110</v>
      </c>
      <c r="D425" s="2">
        <v>2025</v>
      </c>
      <c r="E425" s="3">
        <v>45678</v>
      </c>
      <c r="F425" s="2" t="s">
        <v>3111</v>
      </c>
      <c r="G425" s="2" t="s">
        <v>43</v>
      </c>
      <c r="H425" s="2" t="s">
        <v>43</v>
      </c>
      <c r="I425" s="2" t="s">
        <v>3112</v>
      </c>
      <c r="J425" s="2" t="s">
        <v>43</v>
      </c>
      <c r="K425" s="2" t="s">
        <v>3113</v>
      </c>
      <c r="L425" s="2" t="s">
        <v>29</v>
      </c>
      <c r="M425" s="2" t="s">
        <v>43</v>
      </c>
      <c r="N425" s="2" t="s">
        <v>43</v>
      </c>
      <c r="O425" s="2" t="s">
        <v>43</v>
      </c>
      <c r="P425" s="2" t="s">
        <v>3114</v>
      </c>
      <c r="Q425" s="2" t="s">
        <v>2112</v>
      </c>
      <c r="R425" s="2" t="s">
        <v>3115</v>
      </c>
      <c r="S425" s="2" t="s">
        <v>3116</v>
      </c>
      <c r="T425" s="2" t="s">
        <v>3117</v>
      </c>
      <c r="U425" s="2" t="s">
        <v>3118</v>
      </c>
      <c r="V425" s="2" t="s">
        <v>594</v>
      </c>
    </row>
    <row r="426" spans="1:22" ht="28.8">
      <c r="A426" s="2" t="s">
        <v>1908</v>
      </c>
      <c r="B426" s="2" t="s">
        <v>3119</v>
      </c>
      <c r="C426" s="2" t="s">
        <v>3120</v>
      </c>
      <c r="D426" s="2">
        <v>2025</v>
      </c>
      <c r="E426" s="3">
        <v>45992</v>
      </c>
      <c r="F426" s="2" t="s">
        <v>3121</v>
      </c>
      <c r="G426" s="2">
        <v>11</v>
      </c>
      <c r="H426" s="2">
        <v>1</v>
      </c>
      <c r="I426" s="2" t="s">
        <v>43</v>
      </c>
      <c r="J426" s="2" t="s">
        <v>3122</v>
      </c>
      <c r="K426" s="2" t="s">
        <v>220</v>
      </c>
      <c r="L426" s="2" t="s">
        <v>29</v>
      </c>
      <c r="M426" s="2" t="s">
        <v>667</v>
      </c>
      <c r="N426" s="2" t="s">
        <v>63</v>
      </c>
      <c r="O426" s="4">
        <v>1485</v>
      </c>
      <c r="P426" s="2" t="s">
        <v>3123</v>
      </c>
      <c r="Q426" s="2" t="s">
        <v>33</v>
      </c>
      <c r="R426" s="2" t="s">
        <v>3124</v>
      </c>
      <c r="S426" s="2" t="s">
        <v>3125</v>
      </c>
      <c r="T426" s="2" t="s">
        <v>3126</v>
      </c>
      <c r="U426" s="2" t="s">
        <v>3127</v>
      </c>
      <c r="V426" s="2" t="s">
        <v>1907</v>
      </c>
    </row>
    <row r="427" spans="1:22" ht="28.8">
      <c r="A427" s="2" t="s">
        <v>1396</v>
      </c>
      <c r="B427" s="2" t="s">
        <v>3119</v>
      </c>
      <c r="C427" s="2" t="s">
        <v>3120</v>
      </c>
      <c r="D427" s="2">
        <v>2025</v>
      </c>
      <c r="E427" s="3">
        <v>45992</v>
      </c>
      <c r="F427" s="2" t="s">
        <v>3121</v>
      </c>
      <c r="G427" s="2">
        <v>11</v>
      </c>
      <c r="H427" s="2">
        <v>1</v>
      </c>
      <c r="I427" s="2" t="s">
        <v>43</v>
      </c>
      <c r="J427" s="2" t="s">
        <v>3122</v>
      </c>
      <c r="K427" s="2" t="s">
        <v>220</v>
      </c>
      <c r="L427" s="2" t="s">
        <v>29</v>
      </c>
      <c r="M427" s="2" t="s">
        <v>667</v>
      </c>
      <c r="N427" s="2" t="s">
        <v>63</v>
      </c>
      <c r="O427" s="4">
        <v>1485</v>
      </c>
      <c r="P427" s="2" t="s">
        <v>3123</v>
      </c>
      <c r="Q427" s="2" t="s">
        <v>33</v>
      </c>
      <c r="R427" s="2" t="s">
        <v>3124</v>
      </c>
      <c r="S427" s="2" t="s">
        <v>3125</v>
      </c>
      <c r="T427" s="2" t="s">
        <v>3126</v>
      </c>
      <c r="U427" s="2" t="s">
        <v>3127</v>
      </c>
      <c r="V427" s="2" t="s">
        <v>1907</v>
      </c>
    </row>
    <row r="428" spans="1:22" ht="28.8">
      <c r="A428" s="2" t="s">
        <v>2815</v>
      </c>
      <c r="B428" s="2" t="s">
        <v>3119</v>
      </c>
      <c r="C428" s="2" t="s">
        <v>3120</v>
      </c>
      <c r="D428" s="2">
        <v>2025</v>
      </c>
      <c r="E428" s="3">
        <v>45992</v>
      </c>
      <c r="F428" s="2" t="s">
        <v>3121</v>
      </c>
      <c r="G428" s="2">
        <v>11</v>
      </c>
      <c r="H428" s="2">
        <v>1</v>
      </c>
      <c r="I428" s="2" t="s">
        <v>43</v>
      </c>
      <c r="J428" s="2" t="s">
        <v>3122</v>
      </c>
      <c r="K428" s="2" t="s">
        <v>220</v>
      </c>
      <c r="L428" s="2" t="s">
        <v>29</v>
      </c>
      <c r="M428" s="2" t="s">
        <v>667</v>
      </c>
      <c r="N428" s="2" t="s">
        <v>63</v>
      </c>
      <c r="O428" s="4">
        <v>1485</v>
      </c>
      <c r="P428" s="2" t="s">
        <v>3123</v>
      </c>
      <c r="Q428" s="2" t="s">
        <v>33</v>
      </c>
      <c r="R428" s="2" t="s">
        <v>3124</v>
      </c>
      <c r="S428" s="2" t="s">
        <v>3125</v>
      </c>
      <c r="T428" s="2" t="s">
        <v>3126</v>
      </c>
      <c r="U428" s="2" t="s">
        <v>3127</v>
      </c>
      <c r="V428" s="2" t="s">
        <v>1907</v>
      </c>
    </row>
    <row r="429" spans="1:22">
      <c r="A429" s="2" t="s">
        <v>3128</v>
      </c>
      <c r="B429" s="2" t="s">
        <v>3129</v>
      </c>
      <c r="C429" s="2" t="s">
        <v>3130</v>
      </c>
      <c r="D429" s="2">
        <v>2025</v>
      </c>
      <c r="E429" s="3">
        <v>45748</v>
      </c>
      <c r="F429" s="2" t="s">
        <v>3131</v>
      </c>
      <c r="G429" s="2">
        <v>25</v>
      </c>
      <c r="H429" s="2">
        <v>100</v>
      </c>
      <c r="I429" s="7">
        <v>20699</v>
      </c>
      <c r="J429" s="2" t="s">
        <v>3132</v>
      </c>
      <c r="K429" s="2" t="s">
        <v>3133</v>
      </c>
      <c r="L429" s="2" t="s">
        <v>1867</v>
      </c>
      <c r="M429" s="2" t="s">
        <v>2735</v>
      </c>
      <c r="N429" s="2" t="s">
        <v>3134</v>
      </c>
      <c r="O429" s="2" t="s">
        <v>3135</v>
      </c>
      <c r="P429" s="2" t="s">
        <v>3136</v>
      </c>
      <c r="Q429" s="2" t="s">
        <v>33</v>
      </c>
      <c r="R429" s="2" t="s">
        <v>3137</v>
      </c>
      <c r="S429" s="2" t="s">
        <v>3138</v>
      </c>
      <c r="T429" s="2" t="s">
        <v>3139</v>
      </c>
      <c r="U429" s="2" t="s">
        <v>3140</v>
      </c>
      <c r="V429" s="2" t="s">
        <v>80</v>
      </c>
    </row>
    <row r="430" spans="1:22">
      <c r="A430" s="2" t="s">
        <v>3141</v>
      </c>
      <c r="B430" s="2" t="s">
        <v>3142</v>
      </c>
      <c r="C430" s="2" t="s">
        <v>3143</v>
      </c>
      <c r="D430" s="2">
        <v>2025</v>
      </c>
      <c r="E430" s="3">
        <v>45778</v>
      </c>
      <c r="F430" s="2" t="s">
        <v>3144</v>
      </c>
      <c r="G430" s="2">
        <v>13</v>
      </c>
      <c r="H430" s="2">
        <v>10</v>
      </c>
      <c r="I430" s="2" t="s">
        <v>43</v>
      </c>
      <c r="J430" s="2" t="s">
        <v>3145</v>
      </c>
      <c r="K430" s="2" t="s">
        <v>61</v>
      </c>
      <c r="L430" s="2" t="s">
        <v>29</v>
      </c>
      <c r="M430" s="2" t="s">
        <v>2613</v>
      </c>
      <c r="N430" s="2" t="s">
        <v>374</v>
      </c>
      <c r="O430" s="2" t="s">
        <v>3146</v>
      </c>
      <c r="P430" s="2" t="s">
        <v>3147</v>
      </c>
      <c r="Q430" s="2" t="s">
        <v>33</v>
      </c>
      <c r="R430" s="2" t="s">
        <v>3148</v>
      </c>
      <c r="S430" s="2" t="s">
        <v>3149</v>
      </c>
      <c r="T430" s="2" t="s">
        <v>3150</v>
      </c>
      <c r="U430" s="2" t="s">
        <v>3151</v>
      </c>
      <c r="V430" s="2" t="s">
        <v>80</v>
      </c>
    </row>
    <row r="431" spans="1:22" ht="28.8">
      <c r="A431" s="2" t="s">
        <v>3152</v>
      </c>
      <c r="B431" s="2" t="s">
        <v>3153</v>
      </c>
      <c r="C431" s="2" t="s">
        <v>3154</v>
      </c>
      <c r="D431" s="2">
        <v>2025</v>
      </c>
      <c r="E431" s="3">
        <v>45962</v>
      </c>
      <c r="F431" s="2" t="s">
        <v>73</v>
      </c>
      <c r="G431" s="2">
        <v>26</v>
      </c>
      <c r="H431" s="2">
        <v>22</v>
      </c>
      <c r="I431" s="2" t="s">
        <v>43</v>
      </c>
      <c r="J431" s="2" t="s">
        <v>74</v>
      </c>
      <c r="K431" s="2" t="s">
        <v>61</v>
      </c>
      <c r="L431" s="2" t="s">
        <v>29</v>
      </c>
      <c r="M431" s="2" t="s">
        <v>76</v>
      </c>
      <c r="N431" s="2" t="s">
        <v>76</v>
      </c>
      <c r="O431" s="4">
        <v>1316</v>
      </c>
      <c r="P431" s="2" t="s">
        <v>3155</v>
      </c>
      <c r="Q431" s="2" t="s">
        <v>49</v>
      </c>
      <c r="R431" s="2" t="s">
        <v>3156</v>
      </c>
      <c r="S431" s="2" t="s">
        <v>3157</v>
      </c>
      <c r="T431" s="2" t="s">
        <v>3158</v>
      </c>
      <c r="U431" s="2" t="s">
        <v>3159</v>
      </c>
      <c r="V431" s="2" t="s">
        <v>1060</v>
      </c>
    </row>
    <row r="432" spans="1:22" ht="28.8">
      <c r="A432" s="2" t="s">
        <v>1061</v>
      </c>
      <c r="B432" s="2" t="s">
        <v>3153</v>
      </c>
      <c r="C432" s="2" t="s">
        <v>3154</v>
      </c>
      <c r="D432" s="2">
        <v>2025</v>
      </c>
      <c r="E432" s="3">
        <v>45962</v>
      </c>
      <c r="F432" s="2" t="s">
        <v>73</v>
      </c>
      <c r="G432" s="2">
        <v>26</v>
      </c>
      <c r="H432" s="2">
        <v>22</v>
      </c>
      <c r="I432" s="2" t="s">
        <v>43</v>
      </c>
      <c r="J432" s="2" t="s">
        <v>74</v>
      </c>
      <c r="K432" s="2" t="s">
        <v>61</v>
      </c>
      <c r="L432" s="2" t="s">
        <v>29</v>
      </c>
      <c r="M432" s="2" t="s">
        <v>76</v>
      </c>
      <c r="N432" s="2" t="s">
        <v>76</v>
      </c>
      <c r="O432" s="4">
        <v>1316</v>
      </c>
      <c r="P432" s="2" t="s">
        <v>3155</v>
      </c>
      <c r="Q432" s="2" t="s">
        <v>49</v>
      </c>
      <c r="R432" s="2" t="s">
        <v>3156</v>
      </c>
      <c r="S432" s="2" t="s">
        <v>3157</v>
      </c>
      <c r="T432" s="2" t="s">
        <v>3158</v>
      </c>
      <c r="U432" s="2" t="s">
        <v>3159</v>
      </c>
      <c r="V432" s="2" t="s">
        <v>1060</v>
      </c>
    </row>
    <row r="433" spans="1:22">
      <c r="A433" s="2" t="s">
        <v>622</v>
      </c>
      <c r="B433" s="2" t="s">
        <v>3160</v>
      </c>
      <c r="C433" s="2" t="s">
        <v>3161</v>
      </c>
      <c r="D433" s="2">
        <v>2025</v>
      </c>
      <c r="E433" s="3">
        <v>45992</v>
      </c>
      <c r="F433" s="2" t="s">
        <v>2175</v>
      </c>
      <c r="G433" s="2">
        <v>6</v>
      </c>
      <c r="H433" s="2">
        <v>4</v>
      </c>
      <c r="I433" s="2" t="s">
        <v>43</v>
      </c>
      <c r="J433" s="2" t="s">
        <v>2176</v>
      </c>
      <c r="K433" s="2" t="s">
        <v>61</v>
      </c>
      <c r="L433" s="2" t="s">
        <v>29</v>
      </c>
      <c r="M433" s="2" t="s">
        <v>2177</v>
      </c>
      <c r="N433" s="2" t="s">
        <v>2178</v>
      </c>
      <c r="O433" s="2" t="s">
        <v>2179</v>
      </c>
      <c r="P433" s="2" t="s">
        <v>3162</v>
      </c>
      <c r="Q433" s="2" t="s">
        <v>49</v>
      </c>
      <c r="R433" s="2" t="s">
        <v>3163</v>
      </c>
      <c r="S433" s="2" t="s">
        <v>3164</v>
      </c>
      <c r="T433" s="2" t="s">
        <v>3165</v>
      </c>
      <c r="U433" s="2" t="s">
        <v>3166</v>
      </c>
      <c r="V433" s="2" t="s">
        <v>80</v>
      </c>
    </row>
    <row r="434" spans="1:22">
      <c r="A434" s="2" t="s">
        <v>635</v>
      </c>
      <c r="B434" s="2" t="s">
        <v>3167</v>
      </c>
      <c r="C434" s="2" t="s">
        <v>3168</v>
      </c>
      <c r="D434" s="2">
        <v>2025</v>
      </c>
      <c r="E434" s="3">
        <v>45658</v>
      </c>
      <c r="F434" s="2" t="s">
        <v>3169</v>
      </c>
      <c r="G434" s="2">
        <v>60</v>
      </c>
      <c r="H434" s="2">
        <v>1</v>
      </c>
      <c r="I434" s="2" t="s">
        <v>43</v>
      </c>
      <c r="J434" s="2" t="s">
        <v>3170</v>
      </c>
      <c r="K434" s="2" t="s">
        <v>119</v>
      </c>
      <c r="L434" s="2" t="s">
        <v>29</v>
      </c>
      <c r="M434" s="2" t="s">
        <v>2110</v>
      </c>
      <c r="N434" s="2" t="s">
        <v>1520</v>
      </c>
      <c r="O434" s="2" t="s">
        <v>1184</v>
      </c>
      <c r="P434" s="2" t="s">
        <v>3171</v>
      </c>
      <c r="Q434" s="2" t="s">
        <v>644</v>
      </c>
      <c r="R434" s="2" t="s">
        <v>3172</v>
      </c>
      <c r="S434" s="2" t="s">
        <v>1106</v>
      </c>
      <c r="T434" s="2" t="s">
        <v>3173</v>
      </c>
      <c r="U434" s="2" t="s">
        <v>3174</v>
      </c>
      <c r="V434" s="2" t="s">
        <v>80</v>
      </c>
    </row>
    <row r="435" spans="1:22">
      <c r="A435" s="2" t="s">
        <v>1551</v>
      </c>
      <c r="B435" s="2" t="s">
        <v>3175</v>
      </c>
      <c r="C435" s="2" t="s">
        <v>3176</v>
      </c>
      <c r="D435" s="2">
        <v>2024</v>
      </c>
      <c r="E435" s="3">
        <v>45292</v>
      </c>
      <c r="F435" s="2" t="s">
        <v>203</v>
      </c>
      <c r="G435" s="2">
        <v>15</v>
      </c>
      <c r="H435" s="2" t="s">
        <v>43</v>
      </c>
      <c r="I435" s="2" t="s">
        <v>43</v>
      </c>
      <c r="J435" s="2" t="s">
        <v>204</v>
      </c>
      <c r="K435" s="2" t="s">
        <v>183</v>
      </c>
      <c r="L435" s="2" t="s">
        <v>29</v>
      </c>
      <c r="M435" s="2" t="s">
        <v>205</v>
      </c>
      <c r="N435" s="2" t="s">
        <v>63</v>
      </c>
      <c r="O435" s="2" t="s">
        <v>206</v>
      </c>
      <c r="P435" s="2" t="s">
        <v>3177</v>
      </c>
      <c r="Q435" s="2" t="s">
        <v>33</v>
      </c>
      <c r="R435" s="2" t="s">
        <v>3178</v>
      </c>
      <c r="S435" s="2" t="s">
        <v>79</v>
      </c>
      <c r="T435" s="5">
        <v>601053680000000</v>
      </c>
      <c r="U435" s="2" t="s">
        <v>79</v>
      </c>
      <c r="V435" s="2" t="s">
        <v>80</v>
      </c>
    </row>
    <row r="436" spans="1:22">
      <c r="A436" s="2" t="s">
        <v>3179</v>
      </c>
      <c r="B436" s="2" t="s">
        <v>3175</v>
      </c>
      <c r="C436" s="2" t="s">
        <v>3176</v>
      </c>
      <c r="D436" s="2">
        <v>2024</v>
      </c>
      <c r="E436" s="3">
        <v>45292</v>
      </c>
      <c r="F436" s="2" t="s">
        <v>203</v>
      </c>
      <c r="G436" s="2">
        <v>15</v>
      </c>
      <c r="H436" s="2" t="s">
        <v>43</v>
      </c>
      <c r="I436" s="2" t="s">
        <v>43</v>
      </c>
      <c r="J436" s="2" t="s">
        <v>204</v>
      </c>
      <c r="K436" s="2" t="s">
        <v>183</v>
      </c>
      <c r="L436" s="2" t="s">
        <v>29</v>
      </c>
      <c r="M436" s="2" t="s">
        <v>205</v>
      </c>
      <c r="N436" s="2" t="s">
        <v>63</v>
      </c>
      <c r="O436" s="2" t="s">
        <v>206</v>
      </c>
      <c r="P436" s="2" t="s">
        <v>3177</v>
      </c>
      <c r="Q436" s="2" t="s">
        <v>33</v>
      </c>
      <c r="R436" s="2" t="s">
        <v>3178</v>
      </c>
      <c r="S436" s="2" t="s">
        <v>79</v>
      </c>
      <c r="T436" s="5">
        <v>601053680000000</v>
      </c>
      <c r="U436" s="2" t="s">
        <v>79</v>
      </c>
      <c r="V436" s="2" t="s">
        <v>80</v>
      </c>
    </row>
    <row r="437" spans="1:22">
      <c r="A437" s="2" t="s">
        <v>3180</v>
      </c>
      <c r="B437" s="2" t="s">
        <v>3175</v>
      </c>
      <c r="C437" s="2" t="s">
        <v>3176</v>
      </c>
      <c r="D437" s="2">
        <v>2024</v>
      </c>
      <c r="E437" s="3">
        <v>45292</v>
      </c>
      <c r="F437" s="2" t="s">
        <v>203</v>
      </c>
      <c r="G437" s="2">
        <v>15</v>
      </c>
      <c r="H437" s="2" t="s">
        <v>43</v>
      </c>
      <c r="I437" s="2" t="s">
        <v>43</v>
      </c>
      <c r="J437" s="2" t="s">
        <v>204</v>
      </c>
      <c r="K437" s="2" t="s">
        <v>183</v>
      </c>
      <c r="L437" s="2" t="s">
        <v>29</v>
      </c>
      <c r="M437" s="2" t="s">
        <v>205</v>
      </c>
      <c r="N437" s="2" t="s">
        <v>63</v>
      </c>
      <c r="O437" s="2" t="s">
        <v>206</v>
      </c>
      <c r="P437" s="2" t="s">
        <v>3177</v>
      </c>
      <c r="Q437" s="2" t="s">
        <v>33</v>
      </c>
      <c r="R437" s="2" t="s">
        <v>3178</v>
      </c>
      <c r="S437" s="2" t="s">
        <v>79</v>
      </c>
      <c r="T437" s="5">
        <v>601053680000000</v>
      </c>
      <c r="U437" s="2" t="s">
        <v>79</v>
      </c>
      <c r="V437" s="2" t="s">
        <v>80</v>
      </c>
    </row>
    <row r="438" spans="1:22">
      <c r="A438" s="2" t="s">
        <v>3181</v>
      </c>
      <c r="B438" s="2" t="s">
        <v>3182</v>
      </c>
      <c r="C438" s="2" t="s">
        <v>3183</v>
      </c>
      <c r="D438" s="2">
        <v>2024</v>
      </c>
      <c r="E438" s="3">
        <v>45536</v>
      </c>
      <c r="F438" s="2" t="s">
        <v>2392</v>
      </c>
      <c r="G438" s="2">
        <v>35</v>
      </c>
      <c r="H438" s="6">
        <v>46178</v>
      </c>
      <c r="I438" s="2" t="s">
        <v>3184</v>
      </c>
      <c r="J438" s="2" t="s">
        <v>2394</v>
      </c>
      <c r="K438" s="2" t="s">
        <v>392</v>
      </c>
      <c r="L438" s="2" t="s">
        <v>773</v>
      </c>
      <c r="M438" s="2" t="s">
        <v>47</v>
      </c>
      <c r="N438" s="2" t="s">
        <v>2395</v>
      </c>
      <c r="O438" s="2" t="s">
        <v>2396</v>
      </c>
      <c r="P438" s="2" t="s">
        <v>3185</v>
      </c>
      <c r="Q438" s="2" t="s">
        <v>33</v>
      </c>
      <c r="R438" s="2" t="s">
        <v>3186</v>
      </c>
      <c r="S438" s="2" t="s">
        <v>1106</v>
      </c>
      <c r="T438" s="2" t="s">
        <v>3021</v>
      </c>
      <c r="U438" s="2" t="s">
        <v>3022</v>
      </c>
      <c r="V438" s="2" t="s">
        <v>80</v>
      </c>
    </row>
    <row r="439" spans="1:22">
      <c r="A439" s="2" t="s">
        <v>3187</v>
      </c>
      <c r="B439" s="2" t="s">
        <v>3188</v>
      </c>
      <c r="C439" s="2" t="s">
        <v>3189</v>
      </c>
      <c r="D439" s="2">
        <v>2024</v>
      </c>
      <c r="E439" s="3">
        <v>45323</v>
      </c>
      <c r="F439" s="2" t="s">
        <v>3096</v>
      </c>
      <c r="G439" s="2">
        <v>152</v>
      </c>
      <c r="H439" s="2">
        <v>2</v>
      </c>
      <c r="I439" s="2" t="s">
        <v>3190</v>
      </c>
      <c r="J439" s="2" t="s">
        <v>3098</v>
      </c>
      <c r="K439" s="2" t="s">
        <v>3099</v>
      </c>
      <c r="L439" s="2" t="s">
        <v>1867</v>
      </c>
      <c r="M439" s="2" t="s">
        <v>47</v>
      </c>
      <c r="N439" s="2" t="s">
        <v>2797</v>
      </c>
      <c r="O439" s="2" t="s">
        <v>3100</v>
      </c>
      <c r="P439" s="2" t="s">
        <v>3191</v>
      </c>
      <c r="Q439" s="2" t="s">
        <v>33</v>
      </c>
      <c r="R439" s="2" t="s">
        <v>3192</v>
      </c>
      <c r="S439" s="2" t="s">
        <v>844</v>
      </c>
      <c r="T439" s="2" t="s">
        <v>3193</v>
      </c>
      <c r="U439" s="2" t="s">
        <v>3194</v>
      </c>
      <c r="V439" s="2" t="s">
        <v>80</v>
      </c>
    </row>
    <row r="440" spans="1:22">
      <c r="A440" s="2" t="s">
        <v>3195</v>
      </c>
      <c r="B440" s="2" t="s">
        <v>3188</v>
      </c>
      <c r="C440" s="2" t="s">
        <v>3189</v>
      </c>
      <c r="D440" s="2">
        <v>2024</v>
      </c>
      <c r="E440" s="3">
        <v>45323</v>
      </c>
      <c r="F440" s="2" t="s">
        <v>3096</v>
      </c>
      <c r="G440" s="2">
        <v>152</v>
      </c>
      <c r="H440" s="2">
        <v>2</v>
      </c>
      <c r="I440" s="2" t="s">
        <v>3190</v>
      </c>
      <c r="J440" s="2" t="s">
        <v>3098</v>
      </c>
      <c r="K440" s="2" t="s">
        <v>3099</v>
      </c>
      <c r="L440" s="2" t="s">
        <v>1867</v>
      </c>
      <c r="M440" s="2" t="s">
        <v>47</v>
      </c>
      <c r="N440" s="2" t="s">
        <v>2797</v>
      </c>
      <c r="O440" s="2" t="s">
        <v>3100</v>
      </c>
      <c r="P440" s="2" t="s">
        <v>3191</v>
      </c>
      <c r="Q440" s="2" t="s">
        <v>33</v>
      </c>
      <c r="R440" s="2" t="s">
        <v>3192</v>
      </c>
      <c r="S440" s="2" t="s">
        <v>844</v>
      </c>
      <c r="T440" s="2" t="s">
        <v>3193</v>
      </c>
      <c r="U440" s="2" t="s">
        <v>3194</v>
      </c>
      <c r="V440" s="2" t="s">
        <v>80</v>
      </c>
    </row>
    <row r="441" spans="1:22">
      <c r="A441" s="2" t="s">
        <v>3196</v>
      </c>
      <c r="B441" s="2" t="s">
        <v>3197</v>
      </c>
      <c r="C441" s="2" t="s">
        <v>3198</v>
      </c>
      <c r="D441" s="2">
        <v>2025</v>
      </c>
      <c r="E441" s="3">
        <v>45658</v>
      </c>
      <c r="F441" s="2" t="s">
        <v>3199</v>
      </c>
      <c r="G441" s="2">
        <v>20</v>
      </c>
      <c r="H441" s="2" t="s">
        <v>43</v>
      </c>
      <c r="I441" s="2" t="s">
        <v>43</v>
      </c>
      <c r="J441" s="2" t="s">
        <v>3200</v>
      </c>
      <c r="K441" s="2" t="s">
        <v>3201</v>
      </c>
      <c r="L441" s="2" t="s">
        <v>3202</v>
      </c>
      <c r="M441" s="2" t="s">
        <v>3203</v>
      </c>
      <c r="N441" s="2" t="s">
        <v>2424</v>
      </c>
      <c r="O441" s="2" t="s">
        <v>3204</v>
      </c>
      <c r="P441" s="2" t="s">
        <v>3205</v>
      </c>
      <c r="Q441" s="2" t="s">
        <v>33</v>
      </c>
      <c r="R441" s="2" t="s">
        <v>3206</v>
      </c>
      <c r="S441" s="2" t="s">
        <v>3207</v>
      </c>
      <c r="T441" s="2" t="s">
        <v>3208</v>
      </c>
      <c r="U441" s="2" t="s">
        <v>3209</v>
      </c>
      <c r="V441" s="2" t="s">
        <v>80</v>
      </c>
    </row>
    <row r="442" spans="1:22">
      <c r="A442" s="2" t="s">
        <v>3141</v>
      </c>
      <c r="B442" s="2" t="s">
        <v>3210</v>
      </c>
      <c r="C442" s="2" t="s">
        <v>3211</v>
      </c>
      <c r="D442" s="2">
        <v>2025</v>
      </c>
      <c r="E442" s="3">
        <v>45778</v>
      </c>
      <c r="F442" s="2" t="s">
        <v>3212</v>
      </c>
      <c r="G442" s="2">
        <v>114</v>
      </c>
      <c r="H442" s="2">
        <v>5</v>
      </c>
      <c r="I442" s="2" t="s">
        <v>3213</v>
      </c>
      <c r="J442" s="2" t="s">
        <v>3214</v>
      </c>
      <c r="K442" s="2" t="s">
        <v>119</v>
      </c>
      <c r="L442" s="2" t="s">
        <v>29</v>
      </c>
      <c r="M442" s="2" t="s">
        <v>184</v>
      </c>
      <c r="N442" s="2" t="s">
        <v>1473</v>
      </c>
      <c r="O442" s="2" t="s">
        <v>3215</v>
      </c>
      <c r="P442" s="2" t="s">
        <v>3216</v>
      </c>
      <c r="Q442" s="2" t="s">
        <v>33</v>
      </c>
      <c r="R442" s="2" t="s">
        <v>3217</v>
      </c>
      <c r="S442" s="2" t="s">
        <v>3218</v>
      </c>
      <c r="T442" s="2" t="s">
        <v>3219</v>
      </c>
      <c r="U442" s="2" t="s">
        <v>3220</v>
      </c>
      <c r="V442" s="2" t="s">
        <v>3221</v>
      </c>
    </row>
    <row r="443" spans="1:22">
      <c r="A443" s="2" t="s">
        <v>1012</v>
      </c>
      <c r="B443" s="2" t="s">
        <v>3222</v>
      </c>
      <c r="C443" s="2" t="s">
        <v>3223</v>
      </c>
      <c r="D443" s="2">
        <v>2025</v>
      </c>
      <c r="E443" s="3">
        <v>45778</v>
      </c>
      <c r="F443" s="2" t="s">
        <v>889</v>
      </c>
      <c r="G443" s="2">
        <v>14</v>
      </c>
      <c r="H443" s="2">
        <v>5</v>
      </c>
      <c r="I443" s="2" t="s">
        <v>43</v>
      </c>
      <c r="J443" s="2" t="s">
        <v>890</v>
      </c>
      <c r="K443" s="2" t="s">
        <v>61</v>
      </c>
      <c r="L443" s="2" t="s">
        <v>29</v>
      </c>
      <c r="M443" s="2" t="s">
        <v>1093</v>
      </c>
      <c r="N443" s="2" t="s">
        <v>171</v>
      </c>
      <c r="O443" s="4">
        <v>1706</v>
      </c>
      <c r="P443" s="2" t="s">
        <v>3224</v>
      </c>
      <c r="Q443" s="2" t="s">
        <v>33</v>
      </c>
      <c r="R443" s="2" t="s">
        <v>3225</v>
      </c>
      <c r="S443" s="2" t="s">
        <v>3226</v>
      </c>
      <c r="T443" s="2" t="s">
        <v>3227</v>
      </c>
      <c r="U443" s="2" t="s">
        <v>3228</v>
      </c>
      <c r="V443" s="2" t="s">
        <v>621</v>
      </c>
    </row>
    <row r="444" spans="1:22">
      <c r="A444" s="2" t="s">
        <v>3229</v>
      </c>
      <c r="B444" s="2" t="s">
        <v>3230</v>
      </c>
      <c r="C444" s="2" t="s">
        <v>3231</v>
      </c>
      <c r="D444" s="2">
        <v>2025</v>
      </c>
      <c r="E444" s="3">
        <v>45658</v>
      </c>
      <c r="F444" s="2" t="s">
        <v>3232</v>
      </c>
      <c r="G444" s="2">
        <v>15</v>
      </c>
      <c r="H444" s="2">
        <v>1</v>
      </c>
      <c r="I444" s="2" t="s">
        <v>43</v>
      </c>
      <c r="J444" s="2" t="s">
        <v>3233</v>
      </c>
      <c r="K444" s="2" t="s">
        <v>3234</v>
      </c>
      <c r="L444" s="2" t="s">
        <v>1867</v>
      </c>
      <c r="M444" s="2" t="s">
        <v>2203</v>
      </c>
      <c r="N444" s="2" t="s">
        <v>3235</v>
      </c>
      <c r="O444" s="2" t="s">
        <v>3236</v>
      </c>
      <c r="P444" s="2" t="s">
        <v>3237</v>
      </c>
      <c r="Q444" s="2" t="s">
        <v>33</v>
      </c>
      <c r="R444" s="2" t="s">
        <v>3238</v>
      </c>
      <c r="S444" s="2" t="s">
        <v>3239</v>
      </c>
      <c r="T444" s="2" t="s">
        <v>3240</v>
      </c>
      <c r="U444" s="2" t="s">
        <v>3241</v>
      </c>
      <c r="V444" s="2" t="s">
        <v>594</v>
      </c>
    </row>
    <row r="445" spans="1:22" ht="28.8">
      <c r="A445" s="2" t="s">
        <v>22</v>
      </c>
      <c r="B445" s="2" t="s">
        <v>3242</v>
      </c>
      <c r="C445" s="2" t="s">
        <v>3243</v>
      </c>
      <c r="D445" s="2">
        <v>2024</v>
      </c>
      <c r="E445" s="3">
        <v>45597</v>
      </c>
      <c r="F445" s="2" t="s">
        <v>357</v>
      </c>
      <c r="G445" s="2">
        <v>19</v>
      </c>
      <c r="H445" s="2">
        <v>11</v>
      </c>
      <c r="I445" s="2" t="s">
        <v>3244</v>
      </c>
      <c r="J445" s="2" t="s">
        <v>359</v>
      </c>
      <c r="K445" s="2" t="s">
        <v>360</v>
      </c>
      <c r="L445" s="2" t="s">
        <v>29</v>
      </c>
      <c r="M445" s="2" t="s">
        <v>485</v>
      </c>
      <c r="N445" s="2" t="s">
        <v>76</v>
      </c>
      <c r="O445" s="2" t="s">
        <v>486</v>
      </c>
      <c r="P445" s="2" t="s">
        <v>3245</v>
      </c>
      <c r="Q445" s="2" t="s">
        <v>33</v>
      </c>
      <c r="R445" s="2" t="s">
        <v>3246</v>
      </c>
      <c r="S445" s="2" t="s">
        <v>3247</v>
      </c>
      <c r="T445" s="2" t="s">
        <v>3248</v>
      </c>
      <c r="U445" s="2" t="s">
        <v>3249</v>
      </c>
      <c r="V445" s="2" t="s">
        <v>3250</v>
      </c>
    </row>
    <row r="446" spans="1:22">
      <c r="A446" s="2" t="s">
        <v>3251</v>
      </c>
      <c r="B446" s="2" t="s">
        <v>3252</v>
      </c>
      <c r="C446" s="2" t="s">
        <v>3253</v>
      </c>
      <c r="D446" s="2">
        <v>2024</v>
      </c>
      <c r="E446" s="3">
        <v>45292</v>
      </c>
      <c r="F446" s="2" t="s">
        <v>3252</v>
      </c>
      <c r="G446" s="2" t="s">
        <v>43</v>
      </c>
      <c r="H446" s="2" t="s">
        <v>43</v>
      </c>
      <c r="I446" s="2" t="s">
        <v>3254</v>
      </c>
      <c r="J446" s="2" t="s">
        <v>43</v>
      </c>
      <c r="K446" s="2" t="s">
        <v>3255</v>
      </c>
      <c r="L446" s="2" t="s">
        <v>29</v>
      </c>
      <c r="M446" s="2" t="s">
        <v>43</v>
      </c>
      <c r="N446" s="2" t="s">
        <v>43</v>
      </c>
      <c r="O446" s="2" t="s">
        <v>43</v>
      </c>
      <c r="P446" s="2" t="s">
        <v>3256</v>
      </c>
      <c r="Q446" s="2" t="s">
        <v>3257</v>
      </c>
      <c r="R446" s="2" t="s">
        <v>3258</v>
      </c>
      <c r="S446" s="2" t="s">
        <v>79</v>
      </c>
      <c r="T446" s="2" t="s">
        <v>3259</v>
      </c>
      <c r="U446" s="2" t="s">
        <v>3260</v>
      </c>
      <c r="V446" s="2" t="s">
        <v>80</v>
      </c>
    </row>
    <row r="447" spans="1:22">
      <c r="A447" s="2" t="s">
        <v>1916</v>
      </c>
      <c r="B447" s="2" t="s">
        <v>3261</v>
      </c>
      <c r="C447" s="2" t="s">
        <v>3262</v>
      </c>
      <c r="D447" s="2">
        <v>2025</v>
      </c>
      <c r="E447" s="3">
        <v>45658</v>
      </c>
      <c r="F447" s="2" t="s">
        <v>3263</v>
      </c>
      <c r="G447" s="2">
        <v>60</v>
      </c>
      <c r="H447" s="2">
        <v>1</v>
      </c>
      <c r="I447" s="2" t="s">
        <v>43</v>
      </c>
      <c r="J447" s="2" t="s">
        <v>3264</v>
      </c>
      <c r="K447" s="2" t="s">
        <v>772</v>
      </c>
      <c r="L447" s="2" t="s">
        <v>773</v>
      </c>
      <c r="M447" s="2" t="s">
        <v>47</v>
      </c>
      <c r="N447" s="2" t="s">
        <v>3050</v>
      </c>
      <c r="O447" s="2" t="s">
        <v>3265</v>
      </c>
      <c r="P447" s="2" t="s">
        <v>3266</v>
      </c>
      <c r="Q447" s="2" t="s">
        <v>49</v>
      </c>
      <c r="R447" s="2" t="s">
        <v>3267</v>
      </c>
      <c r="S447" s="2" t="s">
        <v>3268</v>
      </c>
      <c r="T447" s="2" t="s">
        <v>3269</v>
      </c>
      <c r="U447" s="2" t="s">
        <v>3270</v>
      </c>
      <c r="V447" s="2" t="s">
        <v>80</v>
      </c>
    </row>
    <row r="448" spans="1:22">
      <c r="A448" s="2" t="s">
        <v>3271</v>
      </c>
      <c r="B448" s="2" t="s">
        <v>3261</v>
      </c>
      <c r="C448" s="2" t="s">
        <v>3262</v>
      </c>
      <c r="D448" s="2">
        <v>2025</v>
      </c>
      <c r="E448" s="3">
        <v>45658</v>
      </c>
      <c r="F448" s="2" t="s">
        <v>3263</v>
      </c>
      <c r="G448" s="2">
        <v>60</v>
      </c>
      <c r="H448" s="2">
        <v>1</v>
      </c>
      <c r="I448" s="2" t="s">
        <v>43</v>
      </c>
      <c r="J448" s="2" t="s">
        <v>3264</v>
      </c>
      <c r="K448" s="2" t="s">
        <v>772</v>
      </c>
      <c r="L448" s="2" t="s">
        <v>773</v>
      </c>
      <c r="M448" s="2" t="s">
        <v>47</v>
      </c>
      <c r="N448" s="2" t="s">
        <v>3050</v>
      </c>
      <c r="O448" s="2" t="s">
        <v>3265</v>
      </c>
      <c r="P448" s="2" t="s">
        <v>3266</v>
      </c>
      <c r="Q448" s="2" t="s">
        <v>49</v>
      </c>
      <c r="R448" s="2" t="s">
        <v>3267</v>
      </c>
      <c r="S448" s="2" t="s">
        <v>3268</v>
      </c>
      <c r="T448" s="2" t="s">
        <v>3269</v>
      </c>
      <c r="U448" s="2" t="s">
        <v>3270</v>
      </c>
      <c r="V448" s="2" t="s">
        <v>80</v>
      </c>
    </row>
    <row r="449" spans="1:22">
      <c r="A449" s="2" t="s">
        <v>1344</v>
      </c>
      <c r="B449" s="2" t="s">
        <v>3261</v>
      </c>
      <c r="C449" s="2" t="s">
        <v>3262</v>
      </c>
      <c r="D449" s="2">
        <v>2025</v>
      </c>
      <c r="E449" s="3">
        <v>45658</v>
      </c>
      <c r="F449" s="2" t="s">
        <v>3263</v>
      </c>
      <c r="G449" s="2">
        <v>60</v>
      </c>
      <c r="H449" s="2">
        <v>1</v>
      </c>
      <c r="I449" s="2" t="s">
        <v>43</v>
      </c>
      <c r="J449" s="2" t="s">
        <v>3264</v>
      </c>
      <c r="K449" s="2" t="s">
        <v>772</v>
      </c>
      <c r="L449" s="2" t="s">
        <v>773</v>
      </c>
      <c r="M449" s="2" t="s">
        <v>47</v>
      </c>
      <c r="N449" s="2" t="s">
        <v>3050</v>
      </c>
      <c r="O449" s="2" t="s">
        <v>3265</v>
      </c>
      <c r="P449" s="2" t="s">
        <v>3266</v>
      </c>
      <c r="Q449" s="2" t="s">
        <v>49</v>
      </c>
      <c r="R449" s="2" t="s">
        <v>3267</v>
      </c>
      <c r="S449" s="2" t="s">
        <v>3268</v>
      </c>
      <c r="T449" s="2" t="s">
        <v>3269</v>
      </c>
      <c r="U449" s="2" t="s">
        <v>3270</v>
      </c>
      <c r="V449" s="2" t="s">
        <v>80</v>
      </c>
    </row>
    <row r="450" spans="1:22" ht="28.8">
      <c r="A450" s="2" t="s">
        <v>276</v>
      </c>
      <c r="B450" s="2" t="s">
        <v>3272</v>
      </c>
      <c r="C450" s="2" t="s">
        <v>3273</v>
      </c>
      <c r="D450" s="2">
        <v>2025</v>
      </c>
      <c r="E450" s="3">
        <v>45992</v>
      </c>
      <c r="F450" s="2" t="s">
        <v>1819</v>
      </c>
      <c r="G450" s="2">
        <v>204</v>
      </c>
      <c r="H450" s="2" t="s">
        <v>43</v>
      </c>
      <c r="I450" s="2" t="s">
        <v>43</v>
      </c>
      <c r="J450" s="2" t="s">
        <v>1821</v>
      </c>
      <c r="K450" s="2" t="s">
        <v>734</v>
      </c>
      <c r="L450" s="2" t="s">
        <v>29</v>
      </c>
      <c r="M450" s="2" t="s">
        <v>195</v>
      </c>
      <c r="N450" s="2" t="s">
        <v>1520</v>
      </c>
      <c r="O450" s="2" t="s">
        <v>2531</v>
      </c>
      <c r="P450" s="2" t="s">
        <v>3274</v>
      </c>
      <c r="Q450" s="2" t="s">
        <v>33</v>
      </c>
      <c r="R450" s="2" t="s">
        <v>3275</v>
      </c>
      <c r="S450" s="2" t="s">
        <v>3276</v>
      </c>
      <c r="T450" s="2" t="s">
        <v>3277</v>
      </c>
      <c r="U450" s="2" t="s">
        <v>3278</v>
      </c>
      <c r="V450" s="2" t="s">
        <v>3279</v>
      </c>
    </row>
    <row r="451" spans="1:22">
      <c r="A451" s="2" t="s">
        <v>3280</v>
      </c>
      <c r="B451" s="2" t="s">
        <v>3281</v>
      </c>
      <c r="C451" s="2" t="s">
        <v>3282</v>
      </c>
      <c r="D451" s="2">
        <v>2025</v>
      </c>
      <c r="E451" s="3">
        <v>45658</v>
      </c>
      <c r="F451" s="2" t="s">
        <v>3283</v>
      </c>
      <c r="G451" s="2">
        <v>26</v>
      </c>
      <c r="H451" s="2">
        <v>1</v>
      </c>
      <c r="I451" s="7">
        <v>44197</v>
      </c>
      <c r="J451" s="2" t="s">
        <v>3284</v>
      </c>
      <c r="K451" s="2" t="s">
        <v>3285</v>
      </c>
      <c r="L451" s="2" t="s">
        <v>29</v>
      </c>
      <c r="M451" s="2" t="s">
        <v>2735</v>
      </c>
      <c r="N451" s="2" t="s">
        <v>171</v>
      </c>
      <c r="O451" s="2" t="s">
        <v>3286</v>
      </c>
      <c r="P451" s="2" t="s">
        <v>3287</v>
      </c>
      <c r="Q451" s="2" t="s">
        <v>33</v>
      </c>
      <c r="R451" s="2" t="s">
        <v>3288</v>
      </c>
      <c r="S451" s="2" t="s">
        <v>3289</v>
      </c>
      <c r="T451" s="2" t="s">
        <v>3290</v>
      </c>
      <c r="U451" s="2" t="s">
        <v>3291</v>
      </c>
      <c r="V451" s="2" t="s">
        <v>594</v>
      </c>
    </row>
    <row r="452" spans="1:22">
      <c r="A452" s="2" t="s">
        <v>1109</v>
      </c>
      <c r="B452" s="2" t="s">
        <v>3292</v>
      </c>
      <c r="C452" s="2" t="s">
        <v>1111</v>
      </c>
      <c r="D452" s="2">
        <v>2024</v>
      </c>
      <c r="E452" s="3">
        <v>45597</v>
      </c>
      <c r="F452" s="2" t="s">
        <v>1112</v>
      </c>
      <c r="G452" s="2">
        <v>69</v>
      </c>
      <c r="H452" s="2" t="s">
        <v>43</v>
      </c>
      <c r="I452" s="2" t="s">
        <v>43</v>
      </c>
      <c r="J452" s="2" t="s">
        <v>1113</v>
      </c>
      <c r="K452" s="2" t="s">
        <v>45</v>
      </c>
      <c r="L452" s="2" t="s">
        <v>29</v>
      </c>
      <c r="M452" s="2" t="s">
        <v>3293</v>
      </c>
      <c r="N452" s="2" t="s">
        <v>498</v>
      </c>
      <c r="O452" s="4">
        <v>1711</v>
      </c>
      <c r="P452" s="2" t="s">
        <v>3294</v>
      </c>
      <c r="Q452" s="2" t="s">
        <v>33</v>
      </c>
      <c r="R452" s="2" t="s">
        <v>3295</v>
      </c>
      <c r="S452" s="2" t="s">
        <v>1117</v>
      </c>
      <c r="T452" s="2" t="s">
        <v>1118</v>
      </c>
      <c r="U452" s="2" t="s">
        <v>1119</v>
      </c>
      <c r="V452" s="2" t="s">
        <v>80</v>
      </c>
    </row>
    <row r="453" spans="1:22">
      <c r="A453" s="2" t="s">
        <v>1282</v>
      </c>
      <c r="B453" s="2" t="s">
        <v>3296</v>
      </c>
      <c r="C453" s="2" t="s">
        <v>3297</v>
      </c>
      <c r="D453" s="2">
        <v>2025</v>
      </c>
      <c r="E453" s="3">
        <v>45839</v>
      </c>
      <c r="F453" s="2" t="s">
        <v>3298</v>
      </c>
      <c r="G453" s="2">
        <v>15</v>
      </c>
      <c r="H453" s="2">
        <v>14</v>
      </c>
      <c r="I453" s="2" t="s">
        <v>43</v>
      </c>
      <c r="J453" s="2" t="s">
        <v>3299</v>
      </c>
      <c r="K453" s="2" t="s">
        <v>61</v>
      </c>
      <c r="L453" s="2" t="s">
        <v>29</v>
      </c>
      <c r="M453" s="2" t="s">
        <v>667</v>
      </c>
      <c r="N453" s="2" t="s">
        <v>807</v>
      </c>
      <c r="O453" s="2" t="s">
        <v>3300</v>
      </c>
      <c r="P453" s="2" t="s">
        <v>3301</v>
      </c>
      <c r="Q453" s="2" t="s">
        <v>33</v>
      </c>
      <c r="R453" s="2" t="s">
        <v>3302</v>
      </c>
      <c r="S453" s="2" t="s">
        <v>3303</v>
      </c>
      <c r="T453" s="2" t="s">
        <v>3304</v>
      </c>
      <c r="U453" s="2" t="s">
        <v>3305</v>
      </c>
      <c r="V453" s="2" t="s">
        <v>2163</v>
      </c>
    </row>
    <row r="454" spans="1:22">
      <c r="A454" s="2" t="s">
        <v>2322</v>
      </c>
      <c r="B454" s="2" t="s">
        <v>3306</v>
      </c>
      <c r="C454" s="2" t="s">
        <v>3307</v>
      </c>
      <c r="D454" s="2">
        <v>2024</v>
      </c>
      <c r="E454" s="3">
        <v>45474</v>
      </c>
      <c r="F454" s="2" t="s">
        <v>3308</v>
      </c>
      <c r="G454" s="2">
        <v>532</v>
      </c>
      <c r="H454" s="2">
        <v>7</v>
      </c>
      <c r="I454" s="2" t="s">
        <v>43</v>
      </c>
      <c r="J454" s="2" t="s">
        <v>3309</v>
      </c>
      <c r="K454" s="2" t="s">
        <v>119</v>
      </c>
      <c r="L454" s="2" t="s">
        <v>29</v>
      </c>
      <c r="M454" s="2" t="s">
        <v>144</v>
      </c>
      <c r="N454" s="2" t="s">
        <v>2053</v>
      </c>
      <c r="O454" s="4">
        <v>1084</v>
      </c>
      <c r="P454" s="2" t="s">
        <v>3310</v>
      </c>
      <c r="Q454" s="2" t="s">
        <v>33</v>
      </c>
      <c r="R454" s="2" t="s">
        <v>3311</v>
      </c>
      <c r="S454" s="2" t="s">
        <v>3312</v>
      </c>
      <c r="T454" s="2" t="s">
        <v>3313</v>
      </c>
      <c r="U454" s="2" t="s">
        <v>3314</v>
      </c>
      <c r="V454" s="2" t="s">
        <v>80</v>
      </c>
    </row>
    <row r="455" spans="1:22">
      <c r="A455" s="2" t="s">
        <v>790</v>
      </c>
      <c r="B455" s="2" t="s">
        <v>3315</v>
      </c>
      <c r="C455" s="2" t="s">
        <v>3316</v>
      </c>
      <c r="D455" s="2">
        <v>2024</v>
      </c>
      <c r="E455" s="3">
        <v>45292</v>
      </c>
      <c r="F455" s="2" t="s">
        <v>2766</v>
      </c>
      <c r="G455" s="2">
        <v>61</v>
      </c>
      <c r="H455" s="2">
        <v>3</v>
      </c>
      <c r="I455" s="2" t="s">
        <v>43</v>
      </c>
      <c r="J455" s="2" t="s">
        <v>2767</v>
      </c>
      <c r="K455" s="2" t="s">
        <v>2768</v>
      </c>
      <c r="L455" s="2" t="s">
        <v>1867</v>
      </c>
      <c r="M455" s="2" t="s">
        <v>3317</v>
      </c>
      <c r="N455" s="2" t="s">
        <v>1868</v>
      </c>
      <c r="O455" s="2" t="s">
        <v>3318</v>
      </c>
      <c r="P455" s="2" t="s">
        <v>3319</v>
      </c>
      <c r="Q455" s="2" t="s">
        <v>33</v>
      </c>
      <c r="R455" s="2" t="s">
        <v>3320</v>
      </c>
      <c r="S455" s="2" t="s">
        <v>3321</v>
      </c>
      <c r="T455" s="2" t="s">
        <v>3322</v>
      </c>
      <c r="U455" s="2" t="s">
        <v>3323</v>
      </c>
      <c r="V455" s="2" t="s">
        <v>80</v>
      </c>
    </row>
    <row r="456" spans="1:22">
      <c r="A456" s="2" t="s">
        <v>2608</v>
      </c>
      <c r="B456" s="2" t="s">
        <v>3324</v>
      </c>
      <c r="C456" s="2" t="s">
        <v>3325</v>
      </c>
      <c r="D456" s="2">
        <v>2025</v>
      </c>
      <c r="E456" s="3">
        <v>45809</v>
      </c>
      <c r="F456" s="2" t="s">
        <v>2245</v>
      </c>
      <c r="G456" s="2">
        <v>53</v>
      </c>
      <c r="H456" s="2">
        <v>6</v>
      </c>
      <c r="I456" s="2" t="s">
        <v>3326</v>
      </c>
      <c r="J456" s="2" t="s">
        <v>2247</v>
      </c>
      <c r="K456" s="2" t="s">
        <v>566</v>
      </c>
      <c r="L456" s="2" t="s">
        <v>29</v>
      </c>
      <c r="M456" s="2" t="s">
        <v>2248</v>
      </c>
      <c r="N456" s="2" t="s">
        <v>121</v>
      </c>
      <c r="O456" s="4">
        <v>1921</v>
      </c>
      <c r="P456" s="2" t="s">
        <v>3327</v>
      </c>
      <c r="Q456" s="2" t="s">
        <v>644</v>
      </c>
      <c r="R456" s="2" t="s">
        <v>3328</v>
      </c>
      <c r="S456" s="2" t="s">
        <v>1681</v>
      </c>
      <c r="T456" s="2" t="s">
        <v>2606</v>
      </c>
      <c r="U456" s="2" t="s">
        <v>1681</v>
      </c>
      <c r="V456" s="2" t="s">
        <v>80</v>
      </c>
    </row>
    <row r="457" spans="1:22">
      <c r="A457" s="2" t="s">
        <v>3032</v>
      </c>
      <c r="B457" s="2" t="s">
        <v>3324</v>
      </c>
      <c r="C457" s="2" t="s">
        <v>3325</v>
      </c>
      <c r="D457" s="2">
        <v>2025</v>
      </c>
      <c r="E457" s="3">
        <v>45809</v>
      </c>
      <c r="F457" s="2" t="s">
        <v>2245</v>
      </c>
      <c r="G457" s="2">
        <v>53</v>
      </c>
      <c r="H457" s="2">
        <v>6</v>
      </c>
      <c r="I457" s="2" t="s">
        <v>3326</v>
      </c>
      <c r="J457" s="2" t="s">
        <v>2247</v>
      </c>
      <c r="K457" s="2" t="s">
        <v>566</v>
      </c>
      <c r="L457" s="2" t="s">
        <v>29</v>
      </c>
      <c r="M457" s="2" t="s">
        <v>2248</v>
      </c>
      <c r="N457" s="2" t="s">
        <v>121</v>
      </c>
      <c r="O457" s="4">
        <v>1921</v>
      </c>
      <c r="P457" s="2" t="s">
        <v>3327</v>
      </c>
      <c r="Q457" s="2" t="s">
        <v>644</v>
      </c>
      <c r="R457" s="2" t="s">
        <v>3328</v>
      </c>
      <c r="S457" s="2" t="s">
        <v>1681</v>
      </c>
      <c r="T457" s="2" t="s">
        <v>2606</v>
      </c>
      <c r="U457" s="2" t="s">
        <v>1681</v>
      </c>
      <c r="V457" s="2" t="s">
        <v>80</v>
      </c>
    </row>
    <row r="458" spans="1:22">
      <c r="A458" s="2" t="s">
        <v>1344</v>
      </c>
      <c r="B458" s="2" t="s">
        <v>3324</v>
      </c>
      <c r="C458" s="2" t="s">
        <v>3325</v>
      </c>
      <c r="D458" s="2">
        <v>2025</v>
      </c>
      <c r="E458" s="3">
        <v>45809</v>
      </c>
      <c r="F458" s="2" t="s">
        <v>2245</v>
      </c>
      <c r="G458" s="2">
        <v>53</v>
      </c>
      <c r="H458" s="2">
        <v>6</v>
      </c>
      <c r="I458" s="2" t="s">
        <v>3326</v>
      </c>
      <c r="J458" s="2" t="s">
        <v>2247</v>
      </c>
      <c r="K458" s="2" t="s">
        <v>566</v>
      </c>
      <c r="L458" s="2" t="s">
        <v>29</v>
      </c>
      <c r="M458" s="2" t="s">
        <v>2248</v>
      </c>
      <c r="N458" s="2" t="s">
        <v>121</v>
      </c>
      <c r="O458" s="4">
        <v>1921</v>
      </c>
      <c r="P458" s="2" t="s">
        <v>3327</v>
      </c>
      <c r="Q458" s="2" t="s">
        <v>644</v>
      </c>
      <c r="R458" s="2" t="s">
        <v>3328</v>
      </c>
      <c r="S458" s="2" t="s">
        <v>1681</v>
      </c>
      <c r="T458" s="2" t="s">
        <v>2606</v>
      </c>
      <c r="U458" s="2" t="s">
        <v>1681</v>
      </c>
      <c r="V458" s="2" t="s">
        <v>80</v>
      </c>
    </row>
    <row r="459" spans="1:22">
      <c r="A459" s="2" t="s">
        <v>1916</v>
      </c>
      <c r="B459" s="2" t="s">
        <v>3324</v>
      </c>
      <c r="C459" s="2" t="s">
        <v>3325</v>
      </c>
      <c r="D459" s="2">
        <v>2025</v>
      </c>
      <c r="E459" s="3">
        <v>45809</v>
      </c>
      <c r="F459" s="2" t="s">
        <v>2245</v>
      </c>
      <c r="G459" s="2">
        <v>53</v>
      </c>
      <c r="H459" s="2">
        <v>6</v>
      </c>
      <c r="I459" s="2" t="s">
        <v>3326</v>
      </c>
      <c r="J459" s="2" t="s">
        <v>2247</v>
      </c>
      <c r="K459" s="2" t="s">
        <v>566</v>
      </c>
      <c r="L459" s="2" t="s">
        <v>29</v>
      </c>
      <c r="M459" s="2" t="s">
        <v>2248</v>
      </c>
      <c r="N459" s="2" t="s">
        <v>121</v>
      </c>
      <c r="O459" s="4">
        <v>1921</v>
      </c>
      <c r="P459" s="2" t="s">
        <v>3327</v>
      </c>
      <c r="Q459" s="2" t="s">
        <v>644</v>
      </c>
      <c r="R459" s="2" t="s">
        <v>3328</v>
      </c>
      <c r="S459" s="2" t="s">
        <v>1681</v>
      </c>
      <c r="T459" s="2" t="s">
        <v>2606</v>
      </c>
      <c r="U459" s="2" t="s">
        <v>1681</v>
      </c>
      <c r="V459" s="2" t="s">
        <v>80</v>
      </c>
    </row>
    <row r="460" spans="1:22" ht="28.8">
      <c r="A460" s="2" t="s">
        <v>3329</v>
      </c>
      <c r="B460" s="2" t="s">
        <v>3330</v>
      </c>
      <c r="C460" s="2" t="s">
        <v>3331</v>
      </c>
      <c r="D460" s="2">
        <v>2024</v>
      </c>
      <c r="E460" s="3">
        <v>45474</v>
      </c>
      <c r="F460" s="2" t="s">
        <v>3332</v>
      </c>
      <c r="G460" s="2">
        <v>12</v>
      </c>
      <c r="H460" s="2">
        <v>7</v>
      </c>
      <c r="I460" s="2" t="s">
        <v>43</v>
      </c>
      <c r="J460" s="2" t="s">
        <v>3333</v>
      </c>
      <c r="K460" s="2" t="s">
        <v>61</v>
      </c>
      <c r="L460" s="2" t="s">
        <v>29</v>
      </c>
      <c r="M460" s="2" t="s">
        <v>2110</v>
      </c>
      <c r="N460" s="2" t="s">
        <v>440</v>
      </c>
      <c r="O460" s="2" t="s">
        <v>3334</v>
      </c>
      <c r="P460" s="2" t="s">
        <v>3335</v>
      </c>
      <c r="Q460" s="2" t="s">
        <v>33</v>
      </c>
      <c r="R460" s="2" t="s">
        <v>3336</v>
      </c>
      <c r="S460" s="2" t="s">
        <v>3337</v>
      </c>
      <c r="T460" s="2" t="s">
        <v>3338</v>
      </c>
      <c r="U460" s="2" t="s">
        <v>3339</v>
      </c>
      <c r="V460" s="2" t="s">
        <v>2163</v>
      </c>
    </row>
    <row r="461" spans="1:22" ht="28.8">
      <c r="A461" s="2" t="s">
        <v>1355</v>
      </c>
      <c r="B461" s="2" t="s">
        <v>3330</v>
      </c>
      <c r="C461" s="2" t="s">
        <v>3331</v>
      </c>
      <c r="D461" s="2">
        <v>2024</v>
      </c>
      <c r="E461" s="3">
        <v>45474</v>
      </c>
      <c r="F461" s="2" t="s">
        <v>3332</v>
      </c>
      <c r="G461" s="2">
        <v>12</v>
      </c>
      <c r="H461" s="2">
        <v>7</v>
      </c>
      <c r="I461" s="2" t="s">
        <v>43</v>
      </c>
      <c r="J461" s="2" t="s">
        <v>3333</v>
      </c>
      <c r="K461" s="2" t="s">
        <v>61</v>
      </c>
      <c r="L461" s="2" t="s">
        <v>29</v>
      </c>
      <c r="M461" s="2" t="s">
        <v>2110</v>
      </c>
      <c r="N461" s="2" t="s">
        <v>440</v>
      </c>
      <c r="O461" s="2" t="s">
        <v>3334</v>
      </c>
      <c r="P461" s="2" t="s">
        <v>3335</v>
      </c>
      <c r="Q461" s="2" t="s">
        <v>33</v>
      </c>
      <c r="R461" s="2" t="s">
        <v>3336</v>
      </c>
      <c r="S461" s="2" t="s">
        <v>3337</v>
      </c>
      <c r="T461" s="2" t="s">
        <v>3338</v>
      </c>
      <c r="U461" s="2" t="s">
        <v>3339</v>
      </c>
      <c r="V461" s="2" t="s">
        <v>2163</v>
      </c>
    </row>
    <row r="462" spans="1:22">
      <c r="A462" s="2" t="s">
        <v>1619</v>
      </c>
      <c r="B462" s="2" t="s">
        <v>3340</v>
      </c>
      <c r="C462" s="2" t="s">
        <v>3341</v>
      </c>
      <c r="D462" s="2">
        <v>2025</v>
      </c>
      <c r="E462" s="3">
        <v>45658</v>
      </c>
      <c r="F462" s="2" t="s">
        <v>167</v>
      </c>
      <c r="G462" s="2">
        <v>15368</v>
      </c>
      <c r="H462" s="2" t="s">
        <v>43</v>
      </c>
      <c r="I462" s="2" t="s">
        <v>3342</v>
      </c>
      <c r="J462" s="2" t="s">
        <v>3343</v>
      </c>
      <c r="K462" s="2" t="s">
        <v>718</v>
      </c>
      <c r="L462" s="2" t="s">
        <v>29</v>
      </c>
      <c r="M462" s="2" t="s">
        <v>3038</v>
      </c>
      <c r="N462" s="2" t="s">
        <v>2144</v>
      </c>
      <c r="O462" s="2" t="s">
        <v>3344</v>
      </c>
      <c r="P462" s="2" t="s">
        <v>3345</v>
      </c>
      <c r="Q462" s="2" t="s">
        <v>2112</v>
      </c>
      <c r="R462" s="2" t="s">
        <v>3346</v>
      </c>
      <c r="S462" s="2" t="s">
        <v>3347</v>
      </c>
      <c r="T462" s="2" t="s">
        <v>3348</v>
      </c>
      <c r="U462" s="2" t="s">
        <v>3349</v>
      </c>
      <c r="V462" s="2" t="s">
        <v>80</v>
      </c>
    </row>
    <row r="463" spans="1:22">
      <c r="A463" s="2" t="s">
        <v>3350</v>
      </c>
      <c r="B463" s="2" t="s">
        <v>3351</v>
      </c>
      <c r="C463" s="2" t="s">
        <v>3352</v>
      </c>
      <c r="D463" s="2">
        <v>2024</v>
      </c>
      <c r="E463" s="3">
        <v>45292</v>
      </c>
      <c r="F463" s="2" t="s">
        <v>3353</v>
      </c>
      <c r="G463" s="2">
        <v>62</v>
      </c>
      <c r="H463" s="2">
        <v>1</v>
      </c>
      <c r="I463" s="2" t="s">
        <v>3354</v>
      </c>
      <c r="J463" s="2" t="s">
        <v>3355</v>
      </c>
      <c r="K463" s="2" t="s">
        <v>3356</v>
      </c>
      <c r="L463" s="2" t="s">
        <v>1867</v>
      </c>
      <c r="M463" s="2" t="s">
        <v>3357</v>
      </c>
      <c r="N463" s="2" t="s">
        <v>3358</v>
      </c>
      <c r="O463" s="2" t="s">
        <v>3359</v>
      </c>
      <c r="P463" s="2" t="s">
        <v>3360</v>
      </c>
      <c r="Q463" s="2" t="s">
        <v>49</v>
      </c>
      <c r="R463" s="2" t="s">
        <v>3361</v>
      </c>
      <c r="S463" s="2" t="s">
        <v>3362</v>
      </c>
      <c r="T463" s="2" t="s">
        <v>3363</v>
      </c>
      <c r="U463" s="2" t="s">
        <v>3364</v>
      </c>
      <c r="V463" s="2" t="s">
        <v>1380</v>
      </c>
    </row>
    <row r="464" spans="1:22">
      <c r="A464" s="2" t="s">
        <v>3365</v>
      </c>
      <c r="B464" s="2" t="s">
        <v>3351</v>
      </c>
      <c r="C464" s="2" t="s">
        <v>3352</v>
      </c>
      <c r="D464" s="2">
        <v>2024</v>
      </c>
      <c r="E464" s="3">
        <v>45292</v>
      </c>
      <c r="F464" s="2" t="s">
        <v>3353</v>
      </c>
      <c r="G464" s="2">
        <v>62</v>
      </c>
      <c r="H464" s="2">
        <v>1</v>
      </c>
      <c r="I464" s="2" t="s">
        <v>3354</v>
      </c>
      <c r="J464" s="2" t="s">
        <v>3355</v>
      </c>
      <c r="K464" s="2" t="s">
        <v>3356</v>
      </c>
      <c r="L464" s="2" t="s">
        <v>1867</v>
      </c>
      <c r="M464" s="2" t="s">
        <v>3357</v>
      </c>
      <c r="N464" s="2" t="s">
        <v>3358</v>
      </c>
      <c r="O464" s="2" t="s">
        <v>3359</v>
      </c>
      <c r="P464" s="2" t="s">
        <v>3360</v>
      </c>
      <c r="Q464" s="2" t="s">
        <v>49</v>
      </c>
      <c r="R464" s="2" t="s">
        <v>3361</v>
      </c>
      <c r="S464" s="2" t="s">
        <v>3362</v>
      </c>
      <c r="T464" s="2" t="s">
        <v>3363</v>
      </c>
      <c r="U464" s="2" t="s">
        <v>3364</v>
      </c>
      <c r="V464" s="2" t="s">
        <v>1380</v>
      </c>
    </row>
    <row r="465" spans="1:22">
      <c r="A465" s="2" t="s">
        <v>1916</v>
      </c>
      <c r="B465" s="2" t="s">
        <v>3366</v>
      </c>
      <c r="C465" s="2" t="s">
        <v>3367</v>
      </c>
      <c r="D465" s="2">
        <v>2024</v>
      </c>
      <c r="E465" s="3">
        <v>45294</v>
      </c>
      <c r="F465" s="2" t="s">
        <v>3368</v>
      </c>
      <c r="G465" s="2">
        <v>17</v>
      </c>
      <c r="H465" s="2">
        <v>1</v>
      </c>
      <c r="I465" s="2" t="s">
        <v>43</v>
      </c>
      <c r="J465" s="2" t="s">
        <v>3369</v>
      </c>
      <c r="K465" s="2" t="s">
        <v>438</v>
      </c>
      <c r="L465" s="2" t="s">
        <v>29</v>
      </c>
      <c r="M465" s="2" t="s">
        <v>904</v>
      </c>
      <c r="N465" s="2" t="s">
        <v>1488</v>
      </c>
      <c r="O465" s="2" t="s">
        <v>3370</v>
      </c>
      <c r="P465" s="2" t="s">
        <v>3371</v>
      </c>
      <c r="Q465" s="2" t="s">
        <v>33</v>
      </c>
      <c r="R465" s="2" t="s">
        <v>3372</v>
      </c>
      <c r="S465" s="2" t="s">
        <v>1681</v>
      </c>
      <c r="T465" s="2" t="s">
        <v>2606</v>
      </c>
      <c r="U465" s="2" t="s">
        <v>1681</v>
      </c>
      <c r="V465" s="2" t="s">
        <v>80</v>
      </c>
    </row>
    <row r="466" spans="1:22">
      <c r="A466" s="2" t="s">
        <v>2629</v>
      </c>
      <c r="B466" s="2" t="s">
        <v>3366</v>
      </c>
      <c r="C466" s="2" t="s">
        <v>3367</v>
      </c>
      <c r="D466" s="2">
        <v>2024</v>
      </c>
      <c r="E466" s="3">
        <v>45294</v>
      </c>
      <c r="F466" s="2" t="s">
        <v>3368</v>
      </c>
      <c r="G466" s="2">
        <v>17</v>
      </c>
      <c r="H466" s="2">
        <v>1</v>
      </c>
      <c r="I466" s="2" t="s">
        <v>43</v>
      </c>
      <c r="J466" s="2" t="s">
        <v>3369</v>
      </c>
      <c r="K466" s="2" t="s">
        <v>438</v>
      </c>
      <c r="L466" s="2" t="s">
        <v>29</v>
      </c>
      <c r="M466" s="2" t="s">
        <v>904</v>
      </c>
      <c r="N466" s="2" t="s">
        <v>1488</v>
      </c>
      <c r="O466" s="2" t="s">
        <v>3370</v>
      </c>
      <c r="P466" s="2" t="s">
        <v>3371</v>
      </c>
      <c r="Q466" s="2" t="s">
        <v>33</v>
      </c>
      <c r="R466" s="2" t="s">
        <v>3372</v>
      </c>
      <c r="S466" s="2" t="s">
        <v>1681</v>
      </c>
      <c r="T466" s="2" t="s">
        <v>2606</v>
      </c>
      <c r="U466" s="2" t="s">
        <v>1681</v>
      </c>
      <c r="V466" s="2" t="s">
        <v>80</v>
      </c>
    </row>
    <row r="467" spans="1:22">
      <c r="A467" s="2" t="s">
        <v>1344</v>
      </c>
      <c r="B467" s="2" t="s">
        <v>3366</v>
      </c>
      <c r="C467" s="2" t="s">
        <v>3367</v>
      </c>
      <c r="D467" s="2">
        <v>2024</v>
      </c>
      <c r="E467" s="3">
        <v>45294</v>
      </c>
      <c r="F467" s="2" t="s">
        <v>3368</v>
      </c>
      <c r="G467" s="2">
        <v>17</v>
      </c>
      <c r="H467" s="2">
        <v>1</v>
      </c>
      <c r="I467" s="2" t="s">
        <v>43</v>
      </c>
      <c r="J467" s="2" t="s">
        <v>3369</v>
      </c>
      <c r="K467" s="2" t="s">
        <v>438</v>
      </c>
      <c r="L467" s="2" t="s">
        <v>29</v>
      </c>
      <c r="M467" s="2" t="s">
        <v>904</v>
      </c>
      <c r="N467" s="2" t="s">
        <v>1488</v>
      </c>
      <c r="O467" s="2" t="s">
        <v>3370</v>
      </c>
      <c r="P467" s="2" t="s">
        <v>3371</v>
      </c>
      <c r="Q467" s="2" t="s">
        <v>33</v>
      </c>
      <c r="R467" s="2" t="s">
        <v>3372</v>
      </c>
      <c r="S467" s="2" t="s">
        <v>1681</v>
      </c>
      <c r="T467" s="2" t="s">
        <v>2606</v>
      </c>
      <c r="U467" s="2" t="s">
        <v>1681</v>
      </c>
      <c r="V467" s="2" t="s">
        <v>80</v>
      </c>
    </row>
    <row r="468" spans="1:22">
      <c r="A468" s="2" t="s">
        <v>433</v>
      </c>
      <c r="B468" s="2" t="s">
        <v>3366</v>
      </c>
      <c r="C468" s="2" t="s">
        <v>3367</v>
      </c>
      <c r="D468" s="2">
        <v>2024</v>
      </c>
      <c r="E468" s="3">
        <v>45294</v>
      </c>
      <c r="F468" s="2" t="s">
        <v>3368</v>
      </c>
      <c r="G468" s="2">
        <v>17</v>
      </c>
      <c r="H468" s="2">
        <v>1</v>
      </c>
      <c r="I468" s="2" t="s">
        <v>43</v>
      </c>
      <c r="J468" s="2" t="s">
        <v>3369</v>
      </c>
      <c r="K468" s="2" t="s">
        <v>438</v>
      </c>
      <c r="L468" s="2" t="s">
        <v>29</v>
      </c>
      <c r="M468" s="2" t="s">
        <v>904</v>
      </c>
      <c r="N468" s="2" t="s">
        <v>1488</v>
      </c>
      <c r="O468" s="2" t="s">
        <v>3370</v>
      </c>
      <c r="P468" s="2" t="s">
        <v>3371</v>
      </c>
      <c r="Q468" s="2" t="s">
        <v>33</v>
      </c>
      <c r="R468" s="2" t="s">
        <v>3372</v>
      </c>
      <c r="S468" s="2" t="s">
        <v>1681</v>
      </c>
      <c r="T468" s="2" t="s">
        <v>2606</v>
      </c>
      <c r="U468" s="2" t="s">
        <v>1681</v>
      </c>
      <c r="V468" s="2" t="s">
        <v>80</v>
      </c>
    </row>
    <row r="469" spans="1:22">
      <c r="A469" s="2" t="s">
        <v>3141</v>
      </c>
      <c r="B469" s="2" t="s">
        <v>3373</v>
      </c>
      <c r="C469" s="2" t="s">
        <v>3374</v>
      </c>
      <c r="D469" s="2">
        <v>2025</v>
      </c>
      <c r="E469" s="3">
        <v>45962</v>
      </c>
      <c r="F469" s="2" t="s">
        <v>167</v>
      </c>
      <c r="G469" s="2">
        <v>17</v>
      </c>
      <c r="H469" s="2">
        <v>21</v>
      </c>
      <c r="I469" s="2" t="s">
        <v>43</v>
      </c>
      <c r="J469" s="2" t="s">
        <v>279</v>
      </c>
      <c r="K469" s="2" t="s">
        <v>61</v>
      </c>
      <c r="L469" s="2" t="s">
        <v>29</v>
      </c>
      <c r="M469" s="2" t="s">
        <v>1285</v>
      </c>
      <c r="N469" s="2" t="s">
        <v>247</v>
      </c>
      <c r="O469" s="4">
        <v>1499</v>
      </c>
      <c r="P469" s="2" t="s">
        <v>3375</v>
      </c>
      <c r="Q469" s="2" t="s">
        <v>33</v>
      </c>
      <c r="R469" s="2" t="s">
        <v>3376</v>
      </c>
      <c r="S469" s="2" t="s">
        <v>79</v>
      </c>
      <c r="T469" s="5">
        <v>601053680000000</v>
      </c>
      <c r="U469" s="2" t="s">
        <v>79</v>
      </c>
      <c r="V469" s="2" t="s">
        <v>80</v>
      </c>
    </row>
    <row r="470" spans="1:22">
      <c r="A470" s="2" t="s">
        <v>1024</v>
      </c>
      <c r="B470" s="2" t="s">
        <v>3373</v>
      </c>
      <c r="C470" s="2" t="s">
        <v>3374</v>
      </c>
      <c r="D470" s="2">
        <v>2025</v>
      </c>
      <c r="E470" s="3">
        <v>45962</v>
      </c>
      <c r="F470" s="2" t="s">
        <v>167</v>
      </c>
      <c r="G470" s="2">
        <v>17</v>
      </c>
      <c r="H470" s="2">
        <v>21</v>
      </c>
      <c r="I470" s="2" t="s">
        <v>43</v>
      </c>
      <c r="J470" s="2" t="s">
        <v>279</v>
      </c>
      <c r="K470" s="2" t="s">
        <v>61</v>
      </c>
      <c r="L470" s="2" t="s">
        <v>29</v>
      </c>
      <c r="M470" s="2" t="s">
        <v>1285</v>
      </c>
      <c r="N470" s="2" t="s">
        <v>247</v>
      </c>
      <c r="O470" s="4">
        <v>1499</v>
      </c>
      <c r="P470" s="2" t="s">
        <v>3375</v>
      </c>
      <c r="Q470" s="2" t="s">
        <v>33</v>
      </c>
      <c r="R470" s="2" t="s">
        <v>3376</v>
      </c>
      <c r="S470" s="2" t="s">
        <v>79</v>
      </c>
      <c r="T470" s="5">
        <v>601053680000000</v>
      </c>
      <c r="U470" s="2" t="s">
        <v>79</v>
      </c>
      <c r="V470" s="2" t="s">
        <v>80</v>
      </c>
    </row>
    <row r="471" spans="1:22">
      <c r="A471" s="2" t="s">
        <v>2100</v>
      </c>
      <c r="B471" s="2" t="s">
        <v>3377</v>
      </c>
      <c r="C471" s="2" t="s">
        <v>3378</v>
      </c>
      <c r="D471" s="2">
        <v>2024</v>
      </c>
      <c r="E471" s="3">
        <v>45337</v>
      </c>
      <c r="F471" s="2" t="s">
        <v>3379</v>
      </c>
      <c r="G471" s="2">
        <v>10</v>
      </c>
      <c r="H471" s="2">
        <v>3</v>
      </c>
      <c r="I471" s="2" t="s">
        <v>43</v>
      </c>
      <c r="J471" s="2" t="s">
        <v>3380</v>
      </c>
      <c r="K471" s="2" t="s">
        <v>45</v>
      </c>
      <c r="L471" s="2" t="s">
        <v>29</v>
      </c>
      <c r="M471" s="2" t="s">
        <v>2110</v>
      </c>
      <c r="N471" s="2" t="s">
        <v>1544</v>
      </c>
      <c r="O471" s="2" t="s">
        <v>3381</v>
      </c>
      <c r="P471" s="2" t="s">
        <v>3382</v>
      </c>
      <c r="Q471" s="2" t="s">
        <v>33</v>
      </c>
      <c r="R471" s="2" t="s">
        <v>3383</v>
      </c>
      <c r="S471" s="2" t="s">
        <v>3384</v>
      </c>
      <c r="T471" s="2" t="s">
        <v>3385</v>
      </c>
      <c r="U471" s="2" t="s">
        <v>3384</v>
      </c>
      <c r="V471" s="2" t="s">
        <v>80</v>
      </c>
    </row>
    <row r="472" spans="1:22">
      <c r="A472" s="2" t="s">
        <v>3386</v>
      </c>
      <c r="B472" s="2" t="s">
        <v>3387</v>
      </c>
      <c r="C472" s="2" t="s">
        <v>3388</v>
      </c>
      <c r="D472" s="2">
        <v>2025</v>
      </c>
      <c r="E472" s="3">
        <v>45659</v>
      </c>
      <c r="F472" s="2" t="s">
        <v>3389</v>
      </c>
      <c r="G472" s="2">
        <v>10</v>
      </c>
      <c r="H472" s="2" t="s">
        <v>43</v>
      </c>
      <c r="I472" s="2" t="s">
        <v>43</v>
      </c>
      <c r="J472" s="2" t="s">
        <v>3390</v>
      </c>
      <c r="K472" s="2" t="s">
        <v>3391</v>
      </c>
      <c r="L472" s="2" t="s">
        <v>1867</v>
      </c>
      <c r="M472" s="2" t="s">
        <v>43</v>
      </c>
      <c r="N472" s="2" t="s">
        <v>43</v>
      </c>
      <c r="O472" s="2" t="s">
        <v>43</v>
      </c>
      <c r="P472" s="2" t="s">
        <v>3392</v>
      </c>
      <c r="Q472" s="2" t="s">
        <v>33</v>
      </c>
      <c r="R472" s="2" t="s">
        <v>3393</v>
      </c>
      <c r="S472" s="2" t="s">
        <v>3394</v>
      </c>
      <c r="T472" s="2" t="s">
        <v>3395</v>
      </c>
      <c r="U472" s="2" t="s">
        <v>3396</v>
      </c>
      <c r="V472" s="2" t="s">
        <v>80</v>
      </c>
    </row>
    <row r="473" spans="1:22">
      <c r="A473" s="2" t="s">
        <v>1024</v>
      </c>
      <c r="B473" s="2" t="s">
        <v>3397</v>
      </c>
      <c r="C473" s="2" t="s">
        <v>3398</v>
      </c>
      <c r="D473" s="2">
        <v>2025</v>
      </c>
      <c r="E473" s="3">
        <v>45658</v>
      </c>
      <c r="F473" s="2" t="s">
        <v>167</v>
      </c>
      <c r="G473" s="2">
        <v>17</v>
      </c>
      <c r="H473" s="2">
        <v>2</v>
      </c>
      <c r="I473" s="2" t="s">
        <v>43</v>
      </c>
      <c r="J473" s="2" t="s">
        <v>279</v>
      </c>
      <c r="K473" s="2" t="s">
        <v>61</v>
      </c>
      <c r="L473" s="2" t="s">
        <v>29</v>
      </c>
      <c r="M473" s="2" t="s">
        <v>1285</v>
      </c>
      <c r="N473" s="2" t="s">
        <v>247</v>
      </c>
      <c r="O473" s="4">
        <v>1499</v>
      </c>
      <c r="P473" s="2" t="s">
        <v>3399</v>
      </c>
      <c r="Q473" s="2" t="s">
        <v>33</v>
      </c>
      <c r="R473" s="2" t="s">
        <v>3400</v>
      </c>
      <c r="S473" s="2" t="s">
        <v>79</v>
      </c>
      <c r="T473" s="5">
        <v>601053680000000</v>
      </c>
      <c r="U473" s="2" t="s">
        <v>79</v>
      </c>
      <c r="V473" s="2" t="s">
        <v>80</v>
      </c>
    </row>
    <row r="474" spans="1:22">
      <c r="A474" s="2" t="s">
        <v>1515</v>
      </c>
      <c r="B474" s="2" t="s">
        <v>3397</v>
      </c>
      <c r="C474" s="2" t="s">
        <v>3398</v>
      </c>
      <c r="D474" s="2">
        <v>2025</v>
      </c>
      <c r="E474" s="3">
        <v>45658</v>
      </c>
      <c r="F474" s="2" t="s">
        <v>167</v>
      </c>
      <c r="G474" s="2">
        <v>17</v>
      </c>
      <c r="H474" s="2">
        <v>2</v>
      </c>
      <c r="I474" s="2" t="s">
        <v>43</v>
      </c>
      <c r="J474" s="2" t="s">
        <v>279</v>
      </c>
      <c r="K474" s="2" t="s">
        <v>61</v>
      </c>
      <c r="L474" s="2" t="s">
        <v>29</v>
      </c>
      <c r="M474" s="2" t="s">
        <v>1285</v>
      </c>
      <c r="N474" s="2" t="s">
        <v>247</v>
      </c>
      <c r="O474" s="4">
        <v>1499</v>
      </c>
      <c r="P474" s="2" t="s">
        <v>3399</v>
      </c>
      <c r="Q474" s="2" t="s">
        <v>33</v>
      </c>
      <c r="R474" s="2" t="s">
        <v>3400</v>
      </c>
      <c r="S474" s="2" t="s">
        <v>79</v>
      </c>
      <c r="T474" s="5">
        <v>601053680000000</v>
      </c>
      <c r="U474" s="2" t="s">
        <v>79</v>
      </c>
      <c r="V474" s="2" t="s">
        <v>80</v>
      </c>
    </row>
    <row r="475" spans="1:22">
      <c r="A475" s="2" t="s">
        <v>1013</v>
      </c>
      <c r="B475" s="2" t="s">
        <v>3397</v>
      </c>
      <c r="C475" s="2" t="s">
        <v>3398</v>
      </c>
      <c r="D475" s="2">
        <v>2025</v>
      </c>
      <c r="E475" s="3">
        <v>45658</v>
      </c>
      <c r="F475" s="2" t="s">
        <v>167</v>
      </c>
      <c r="G475" s="2">
        <v>17</v>
      </c>
      <c r="H475" s="2">
        <v>2</v>
      </c>
      <c r="I475" s="2" t="s">
        <v>43</v>
      </c>
      <c r="J475" s="2" t="s">
        <v>279</v>
      </c>
      <c r="K475" s="2" t="s">
        <v>61</v>
      </c>
      <c r="L475" s="2" t="s">
        <v>29</v>
      </c>
      <c r="M475" s="2" t="s">
        <v>1285</v>
      </c>
      <c r="N475" s="2" t="s">
        <v>247</v>
      </c>
      <c r="O475" s="4">
        <v>1499</v>
      </c>
      <c r="P475" s="2" t="s">
        <v>3399</v>
      </c>
      <c r="Q475" s="2" t="s">
        <v>33</v>
      </c>
      <c r="R475" s="2" t="s">
        <v>3400</v>
      </c>
      <c r="S475" s="2" t="s">
        <v>79</v>
      </c>
      <c r="T475" s="5">
        <v>601053680000000</v>
      </c>
      <c r="U475" s="2" t="s">
        <v>79</v>
      </c>
      <c r="V475" s="2" t="s">
        <v>80</v>
      </c>
    </row>
    <row r="476" spans="1:22">
      <c r="A476" s="2" t="s">
        <v>3141</v>
      </c>
      <c r="B476" s="2" t="s">
        <v>3397</v>
      </c>
      <c r="C476" s="2" t="s">
        <v>3398</v>
      </c>
      <c r="D476" s="2">
        <v>2025</v>
      </c>
      <c r="E476" s="3">
        <v>45658</v>
      </c>
      <c r="F476" s="2" t="s">
        <v>167</v>
      </c>
      <c r="G476" s="2">
        <v>17</v>
      </c>
      <c r="H476" s="2">
        <v>2</v>
      </c>
      <c r="I476" s="2" t="s">
        <v>43</v>
      </c>
      <c r="J476" s="2" t="s">
        <v>279</v>
      </c>
      <c r="K476" s="2" t="s">
        <v>61</v>
      </c>
      <c r="L476" s="2" t="s">
        <v>29</v>
      </c>
      <c r="M476" s="2" t="s">
        <v>1285</v>
      </c>
      <c r="N476" s="2" t="s">
        <v>247</v>
      </c>
      <c r="O476" s="4">
        <v>1499</v>
      </c>
      <c r="P476" s="2" t="s">
        <v>3399</v>
      </c>
      <c r="Q476" s="2" t="s">
        <v>33</v>
      </c>
      <c r="R476" s="2" t="s">
        <v>3400</v>
      </c>
      <c r="S476" s="2" t="s">
        <v>79</v>
      </c>
      <c r="T476" s="5">
        <v>601053680000000</v>
      </c>
      <c r="U476" s="2" t="s">
        <v>79</v>
      </c>
      <c r="V476" s="2" t="s">
        <v>80</v>
      </c>
    </row>
    <row r="477" spans="1:22">
      <c r="A477" s="2" t="s">
        <v>39</v>
      </c>
      <c r="B477" s="2" t="s">
        <v>3401</v>
      </c>
      <c r="C477" s="2" t="s">
        <v>3402</v>
      </c>
      <c r="D477" s="2">
        <v>2024</v>
      </c>
      <c r="E477" s="3">
        <v>45627</v>
      </c>
      <c r="F477" s="2" t="s">
        <v>3403</v>
      </c>
      <c r="G477" s="2">
        <v>6</v>
      </c>
      <c r="H477" s="2">
        <v>12</v>
      </c>
      <c r="I477" s="2" t="s">
        <v>3404</v>
      </c>
      <c r="J477" s="2" t="s">
        <v>3405</v>
      </c>
      <c r="K477" s="2" t="s">
        <v>220</v>
      </c>
      <c r="L477" s="2" t="s">
        <v>29</v>
      </c>
      <c r="M477" s="2" t="s">
        <v>145</v>
      </c>
      <c r="N477" s="2" t="s">
        <v>105</v>
      </c>
      <c r="O477" s="4">
        <v>7529</v>
      </c>
      <c r="P477" s="2" t="s">
        <v>3406</v>
      </c>
      <c r="Q477" s="2" t="s">
        <v>2904</v>
      </c>
      <c r="R477" s="2" t="s">
        <v>3407</v>
      </c>
      <c r="S477" s="2" t="s">
        <v>1504</v>
      </c>
      <c r="T477" s="2" t="s">
        <v>3408</v>
      </c>
      <c r="U477" s="2" t="s">
        <v>3409</v>
      </c>
      <c r="V477" s="2" t="s">
        <v>621</v>
      </c>
    </row>
    <row r="478" spans="1:22">
      <c r="A478" s="2" t="s">
        <v>3410</v>
      </c>
      <c r="B478" s="2" t="s">
        <v>3411</v>
      </c>
      <c r="C478" s="2" t="s">
        <v>3412</v>
      </c>
      <c r="D478" s="2">
        <v>2025</v>
      </c>
      <c r="E478" s="3">
        <v>45658</v>
      </c>
      <c r="F478" s="2" t="s">
        <v>3413</v>
      </c>
      <c r="G478" s="2" t="s">
        <v>43</v>
      </c>
      <c r="H478" s="2">
        <v>44</v>
      </c>
      <c r="I478" s="2" t="s">
        <v>3414</v>
      </c>
      <c r="J478" s="2" t="s">
        <v>3415</v>
      </c>
      <c r="K478" s="2" t="s">
        <v>2768</v>
      </c>
      <c r="L478" s="2" t="s">
        <v>773</v>
      </c>
      <c r="M478" s="2" t="s">
        <v>3416</v>
      </c>
      <c r="N478" s="2" t="s">
        <v>2407</v>
      </c>
      <c r="O478" s="2" t="s">
        <v>3417</v>
      </c>
      <c r="P478" s="2" t="s">
        <v>3418</v>
      </c>
      <c r="Q478" s="2" t="s">
        <v>33</v>
      </c>
      <c r="R478" s="2" t="s">
        <v>3419</v>
      </c>
      <c r="S478" s="2" t="s">
        <v>79</v>
      </c>
      <c r="T478" s="5">
        <v>601053680000000</v>
      </c>
      <c r="U478" s="2" t="s">
        <v>79</v>
      </c>
      <c r="V478" s="2" t="s">
        <v>80</v>
      </c>
    </row>
    <row r="479" spans="1:22">
      <c r="A479" s="2" t="s">
        <v>3420</v>
      </c>
      <c r="B479" s="2" t="s">
        <v>3411</v>
      </c>
      <c r="C479" s="2" t="s">
        <v>3412</v>
      </c>
      <c r="D479" s="2">
        <v>2025</v>
      </c>
      <c r="E479" s="3">
        <v>45658</v>
      </c>
      <c r="F479" s="2" t="s">
        <v>3413</v>
      </c>
      <c r="G479" s="2" t="s">
        <v>43</v>
      </c>
      <c r="H479" s="2">
        <v>44</v>
      </c>
      <c r="I479" s="2" t="s">
        <v>3414</v>
      </c>
      <c r="J479" s="2" t="s">
        <v>3415</v>
      </c>
      <c r="K479" s="2" t="s">
        <v>2768</v>
      </c>
      <c r="L479" s="2" t="s">
        <v>773</v>
      </c>
      <c r="M479" s="2" t="s">
        <v>3416</v>
      </c>
      <c r="N479" s="2" t="s">
        <v>2407</v>
      </c>
      <c r="O479" s="2" t="s">
        <v>3417</v>
      </c>
      <c r="P479" s="2" t="s">
        <v>3418</v>
      </c>
      <c r="Q479" s="2" t="s">
        <v>33</v>
      </c>
      <c r="R479" s="2" t="s">
        <v>3419</v>
      </c>
      <c r="S479" s="2" t="s">
        <v>79</v>
      </c>
      <c r="T479" s="5">
        <v>601053680000000</v>
      </c>
      <c r="U479" s="2" t="s">
        <v>79</v>
      </c>
      <c r="V479" s="2" t="s">
        <v>80</v>
      </c>
    </row>
    <row r="480" spans="1:22">
      <c r="A480" s="2" t="s">
        <v>3421</v>
      </c>
      <c r="B480" s="2" t="s">
        <v>3422</v>
      </c>
      <c r="C480" s="2" t="s">
        <v>3423</v>
      </c>
      <c r="D480" s="2">
        <v>2024</v>
      </c>
      <c r="E480" s="3">
        <v>45594</v>
      </c>
      <c r="F480" s="2" t="s">
        <v>3424</v>
      </c>
      <c r="G480" s="2">
        <v>24</v>
      </c>
      <c r="H480" s="2" t="s">
        <v>43</v>
      </c>
      <c r="I480" s="2" t="s">
        <v>3425</v>
      </c>
      <c r="J480" s="2" t="s">
        <v>3426</v>
      </c>
      <c r="K480" s="2" t="s">
        <v>528</v>
      </c>
      <c r="L480" s="2" t="s">
        <v>29</v>
      </c>
      <c r="M480" s="2" t="s">
        <v>1919</v>
      </c>
      <c r="N480" s="2" t="s">
        <v>3427</v>
      </c>
      <c r="O480" s="2" t="s">
        <v>3428</v>
      </c>
      <c r="P480" s="2" t="s">
        <v>3429</v>
      </c>
      <c r="Q480" s="2" t="s">
        <v>1125</v>
      </c>
      <c r="R480" s="2" t="s">
        <v>3430</v>
      </c>
      <c r="S480" s="2" t="s">
        <v>79</v>
      </c>
      <c r="T480" s="2" t="s">
        <v>3431</v>
      </c>
      <c r="U480" s="2" t="s">
        <v>3432</v>
      </c>
      <c r="V480" s="2" t="s">
        <v>80</v>
      </c>
    </row>
    <row r="481" spans="1:22">
      <c r="A481" s="2" t="s">
        <v>3433</v>
      </c>
      <c r="B481" s="2" t="s">
        <v>3422</v>
      </c>
      <c r="C481" s="2" t="s">
        <v>3423</v>
      </c>
      <c r="D481" s="2">
        <v>2024</v>
      </c>
      <c r="E481" s="3">
        <v>45594</v>
      </c>
      <c r="F481" s="2" t="s">
        <v>3424</v>
      </c>
      <c r="G481" s="2">
        <v>24</v>
      </c>
      <c r="H481" s="2" t="s">
        <v>43</v>
      </c>
      <c r="I481" s="2" t="s">
        <v>3425</v>
      </c>
      <c r="J481" s="2" t="s">
        <v>3426</v>
      </c>
      <c r="K481" s="2" t="s">
        <v>528</v>
      </c>
      <c r="L481" s="2" t="s">
        <v>29</v>
      </c>
      <c r="M481" s="2" t="s">
        <v>1919</v>
      </c>
      <c r="N481" s="2" t="s">
        <v>3427</v>
      </c>
      <c r="O481" s="2" t="s">
        <v>3428</v>
      </c>
      <c r="P481" s="2" t="s">
        <v>3429</v>
      </c>
      <c r="Q481" s="2" t="s">
        <v>1125</v>
      </c>
      <c r="R481" s="2" t="s">
        <v>3430</v>
      </c>
      <c r="S481" s="2" t="s">
        <v>79</v>
      </c>
      <c r="T481" s="2" t="s">
        <v>3431</v>
      </c>
      <c r="U481" s="2" t="s">
        <v>3432</v>
      </c>
      <c r="V481" s="2" t="s">
        <v>80</v>
      </c>
    </row>
    <row r="482" spans="1:22">
      <c r="A482" s="2" t="s">
        <v>3434</v>
      </c>
      <c r="B482" s="2" t="s">
        <v>3435</v>
      </c>
      <c r="C482" s="2" t="s">
        <v>3436</v>
      </c>
      <c r="D482" s="2">
        <v>2025</v>
      </c>
      <c r="E482" s="3">
        <v>45658</v>
      </c>
      <c r="F482" s="2" t="s">
        <v>2392</v>
      </c>
      <c r="G482" s="2">
        <v>36</v>
      </c>
      <c r="H482" s="2">
        <v>1</v>
      </c>
      <c r="I482" s="2" t="s">
        <v>3437</v>
      </c>
      <c r="J482" s="2" t="s">
        <v>2394</v>
      </c>
      <c r="K482" s="2" t="s">
        <v>392</v>
      </c>
      <c r="L482" s="2" t="s">
        <v>773</v>
      </c>
      <c r="M482" s="2" t="s">
        <v>1948</v>
      </c>
      <c r="N482" s="2" t="s">
        <v>2156</v>
      </c>
      <c r="O482" s="2" t="s">
        <v>3438</v>
      </c>
      <c r="P482" s="2" t="s">
        <v>3439</v>
      </c>
      <c r="Q482" s="2" t="s">
        <v>33</v>
      </c>
      <c r="R482" s="2" t="s">
        <v>3440</v>
      </c>
      <c r="S482" s="2" t="s">
        <v>1681</v>
      </c>
      <c r="T482" s="2" t="s">
        <v>2606</v>
      </c>
      <c r="U482" s="2" t="s">
        <v>1681</v>
      </c>
      <c r="V482" s="2" t="s">
        <v>80</v>
      </c>
    </row>
    <row r="483" spans="1:22">
      <c r="A483" s="2" t="s">
        <v>3441</v>
      </c>
      <c r="B483" s="2" t="s">
        <v>3435</v>
      </c>
      <c r="C483" s="2" t="s">
        <v>3436</v>
      </c>
      <c r="D483" s="2">
        <v>2025</v>
      </c>
      <c r="E483" s="3">
        <v>45658</v>
      </c>
      <c r="F483" s="2" t="s">
        <v>2392</v>
      </c>
      <c r="G483" s="2">
        <v>36</v>
      </c>
      <c r="H483" s="2">
        <v>1</v>
      </c>
      <c r="I483" s="2" t="s">
        <v>3437</v>
      </c>
      <c r="J483" s="2" t="s">
        <v>2394</v>
      </c>
      <c r="K483" s="2" t="s">
        <v>392</v>
      </c>
      <c r="L483" s="2" t="s">
        <v>773</v>
      </c>
      <c r="M483" s="2" t="s">
        <v>1948</v>
      </c>
      <c r="N483" s="2" t="s">
        <v>2156</v>
      </c>
      <c r="O483" s="2" t="s">
        <v>3438</v>
      </c>
      <c r="P483" s="2" t="s">
        <v>3439</v>
      </c>
      <c r="Q483" s="2" t="s">
        <v>33</v>
      </c>
      <c r="R483" s="2" t="s">
        <v>3440</v>
      </c>
      <c r="S483" s="2" t="s">
        <v>1681</v>
      </c>
      <c r="T483" s="2" t="s">
        <v>2606</v>
      </c>
      <c r="U483" s="2" t="s">
        <v>1681</v>
      </c>
      <c r="V483" s="2" t="s">
        <v>80</v>
      </c>
    </row>
    <row r="484" spans="1:22" ht="28.8">
      <c r="A484" s="2" t="s">
        <v>635</v>
      </c>
      <c r="B484" s="2" t="s">
        <v>3442</v>
      </c>
      <c r="C484" s="2" t="s">
        <v>3443</v>
      </c>
      <c r="D484" s="2">
        <v>2024</v>
      </c>
      <c r="E484" s="3">
        <v>45413</v>
      </c>
      <c r="F484" s="2" t="s">
        <v>3444</v>
      </c>
      <c r="G484" s="2">
        <v>94</v>
      </c>
      <c r="H484" s="2">
        <v>5</v>
      </c>
      <c r="I484" s="2" t="s">
        <v>3445</v>
      </c>
      <c r="J484" s="2" t="s">
        <v>3446</v>
      </c>
      <c r="K484" s="2" t="s">
        <v>3447</v>
      </c>
      <c r="L484" s="2" t="s">
        <v>29</v>
      </c>
      <c r="M484" s="2" t="s">
        <v>246</v>
      </c>
      <c r="N484" s="2" t="s">
        <v>464</v>
      </c>
      <c r="O484" s="4">
        <v>1249</v>
      </c>
      <c r="P484" s="2" t="s">
        <v>3448</v>
      </c>
      <c r="Q484" s="2" t="s">
        <v>644</v>
      </c>
      <c r="R484" s="2" t="s">
        <v>3449</v>
      </c>
      <c r="S484" s="2" t="s">
        <v>3450</v>
      </c>
      <c r="T484" s="2" t="s">
        <v>3451</v>
      </c>
      <c r="U484" s="2" t="s">
        <v>3452</v>
      </c>
      <c r="V484" s="2" t="s">
        <v>3453</v>
      </c>
    </row>
    <row r="485" spans="1:22">
      <c r="A485" s="2" t="s">
        <v>3141</v>
      </c>
      <c r="B485" s="2" t="s">
        <v>3454</v>
      </c>
      <c r="C485" s="2" t="s">
        <v>3455</v>
      </c>
      <c r="D485" s="2">
        <v>2024</v>
      </c>
      <c r="E485" s="3">
        <v>45627</v>
      </c>
      <c r="F485" s="2" t="s">
        <v>3456</v>
      </c>
      <c r="G485" s="2">
        <v>24</v>
      </c>
      <c r="H485" s="2">
        <v>1</v>
      </c>
      <c r="I485" s="2" t="s">
        <v>43</v>
      </c>
      <c r="J485" s="2" t="s">
        <v>3457</v>
      </c>
      <c r="K485" s="2" t="s">
        <v>233</v>
      </c>
      <c r="L485" s="2" t="s">
        <v>29</v>
      </c>
      <c r="M485" s="2" t="s">
        <v>498</v>
      </c>
      <c r="N485" s="2" t="s">
        <v>293</v>
      </c>
      <c r="O485" s="4">
        <v>1359</v>
      </c>
      <c r="P485" s="2" t="s">
        <v>3458</v>
      </c>
      <c r="Q485" s="2" t="s">
        <v>33</v>
      </c>
      <c r="R485" s="2" t="s">
        <v>3459</v>
      </c>
      <c r="S485" s="2" t="s">
        <v>3460</v>
      </c>
      <c r="T485" s="2" t="s">
        <v>3461</v>
      </c>
      <c r="U485" s="2" t="s">
        <v>3462</v>
      </c>
      <c r="V485" s="2" t="s">
        <v>594</v>
      </c>
    </row>
    <row r="486" spans="1:22">
      <c r="A486" s="2" t="s">
        <v>3152</v>
      </c>
      <c r="B486" s="2" t="s">
        <v>3463</v>
      </c>
      <c r="C486" s="2" t="s">
        <v>3464</v>
      </c>
      <c r="D486" s="2">
        <v>2025</v>
      </c>
      <c r="E486" s="3">
        <v>45658</v>
      </c>
      <c r="F486" s="2" t="s">
        <v>2611</v>
      </c>
      <c r="G486" s="2">
        <v>13</v>
      </c>
      <c r="H486" s="2" t="s">
        <v>43</v>
      </c>
      <c r="I486" s="2" t="s">
        <v>43</v>
      </c>
      <c r="J486" s="2" t="s">
        <v>2612</v>
      </c>
      <c r="K486" s="2" t="s">
        <v>183</v>
      </c>
      <c r="L486" s="2" t="s">
        <v>29</v>
      </c>
      <c r="M486" s="2" t="s">
        <v>120</v>
      </c>
      <c r="N486" s="2" t="s">
        <v>961</v>
      </c>
      <c r="O486" s="4">
        <v>1103</v>
      </c>
      <c r="P486" s="2" t="s">
        <v>3465</v>
      </c>
      <c r="Q486" s="2" t="s">
        <v>208</v>
      </c>
      <c r="R486" s="2" t="s">
        <v>3466</v>
      </c>
      <c r="S486" s="2" t="s">
        <v>3467</v>
      </c>
      <c r="T486" s="2" t="s">
        <v>3468</v>
      </c>
      <c r="U486" s="2" t="s">
        <v>3469</v>
      </c>
      <c r="V486" s="2" t="s">
        <v>594</v>
      </c>
    </row>
    <row r="487" spans="1:22">
      <c r="A487" s="2" t="s">
        <v>3470</v>
      </c>
      <c r="B487" s="2" t="s">
        <v>3471</v>
      </c>
      <c r="C487" s="2" t="s">
        <v>3472</v>
      </c>
      <c r="D487" s="2">
        <v>2024</v>
      </c>
      <c r="E487" s="3">
        <v>45352</v>
      </c>
      <c r="F487" s="2" t="s">
        <v>3473</v>
      </c>
      <c r="G487" s="2">
        <v>25</v>
      </c>
      <c r="H487" s="2">
        <v>2</v>
      </c>
      <c r="I487" s="2" t="s">
        <v>43</v>
      </c>
      <c r="J487" s="2" t="s">
        <v>3474</v>
      </c>
      <c r="K487" s="2" t="s">
        <v>392</v>
      </c>
      <c r="L487" s="2" t="s">
        <v>773</v>
      </c>
      <c r="M487" s="2" t="s">
        <v>3475</v>
      </c>
      <c r="N487" s="2" t="s">
        <v>1136</v>
      </c>
      <c r="O487" s="2" t="s">
        <v>3476</v>
      </c>
      <c r="P487" s="2" t="s">
        <v>3477</v>
      </c>
      <c r="Q487" s="2" t="s">
        <v>33</v>
      </c>
      <c r="R487" s="2" t="s">
        <v>3478</v>
      </c>
      <c r="S487" s="2" t="s">
        <v>3479</v>
      </c>
      <c r="T487" s="2" t="s">
        <v>3480</v>
      </c>
      <c r="U487" s="2" t="s">
        <v>3481</v>
      </c>
      <c r="V487" s="2" t="s">
        <v>80</v>
      </c>
    </row>
    <row r="488" spans="1:22">
      <c r="A488" s="2" t="s">
        <v>3482</v>
      </c>
      <c r="B488" s="2" t="s">
        <v>3471</v>
      </c>
      <c r="C488" s="2" t="s">
        <v>3472</v>
      </c>
      <c r="D488" s="2">
        <v>2024</v>
      </c>
      <c r="E488" s="3">
        <v>45352</v>
      </c>
      <c r="F488" s="2" t="s">
        <v>3473</v>
      </c>
      <c r="G488" s="2">
        <v>25</v>
      </c>
      <c r="H488" s="2">
        <v>2</v>
      </c>
      <c r="I488" s="2" t="s">
        <v>43</v>
      </c>
      <c r="J488" s="2" t="s">
        <v>3474</v>
      </c>
      <c r="K488" s="2" t="s">
        <v>392</v>
      </c>
      <c r="L488" s="2" t="s">
        <v>773</v>
      </c>
      <c r="M488" s="2" t="s">
        <v>3475</v>
      </c>
      <c r="N488" s="2" t="s">
        <v>1136</v>
      </c>
      <c r="O488" s="2" t="s">
        <v>3476</v>
      </c>
      <c r="P488" s="2" t="s">
        <v>3477</v>
      </c>
      <c r="Q488" s="2" t="s">
        <v>33</v>
      </c>
      <c r="R488" s="2" t="s">
        <v>3478</v>
      </c>
      <c r="S488" s="2" t="s">
        <v>3479</v>
      </c>
      <c r="T488" s="2" t="s">
        <v>3480</v>
      </c>
      <c r="U488" s="2" t="s">
        <v>3481</v>
      </c>
      <c r="V488" s="2" t="s">
        <v>80</v>
      </c>
    </row>
    <row r="489" spans="1:22">
      <c r="A489" s="2" t="s">
        <v>967</v>
      </c>
      <c r="B489" s="2" t="s">
        <v>3483</v>
      </c>
      <c r="C489" s="2" t="s">
        <v>3484</v>
      </c>
      <c r="D489" s="2">
        <v>2025</v>
      </c>
      <c r="E489" s="3">
        <v>45658</v>
      </c>
      <c r="F489" s="2" t="s">
        <v>167</v>
      </c>
      <c r="G489" s="2">
        <v>17</v>
      </c>
      <c r="H489" s="2">
        <v>1</v>
      </c>
      <c r="I489" s="2" t="s">
        <v>43</v>
      </c>
      <c r="J489" s="2" t="s">
        <v>279</v>
      </c>
      <c r="K489" s="2" t="s">
        <v>61</v>
      </c>
      <c r="L489" s="2" t="s">
        <v>29</v>
      </c>
      <c r="M489" s="2" t="s">
        <v>1285</v>
      </c>
      <c r="N489" s="2" t="s">
        <v>247</v>
      </c>
      <c r="O489" s="4">
        <v>1499</v>
      </c>
      <c r="P489" s="2" t="s">
        <v>3485</v>
      </c>
      <c r="Q489" s="2" t="s">
        <v>33</v>
      </c>
      <c r="R489" s="2" t="s">
        <v>3486</v>
      </c>
      <c r="S489" s="2" t="s">
        <v>1117</v>
      </c>
      <c r="T489" s="2" t="s">
        <v>3487</v>
      </c>
      <c r="U489" s="2" t="s">
        <v>3488</v>
      </c>
      <c r="V489" s="2" t="s">
        <v>80</v>
      </c>
    </row>
    <row r="490" spans="1:22" ht="28.8">
      <c r="A490" s="2" t="s">
        <v>254</v>
      </c>
      <c r="B490" s="2" t="s">
        <v>3489</v>
      </c>
      <c r="C490" s="2" t="s">
        <v>3490</v>
      </c>
      <c r="D490" s="2">
        <v>2025</v>
      </c>
      <c r="E490" s="3">
        <v>45664</v>
      </c>
      <c r="F490" s="2" t="s">
        <v>3491</v>
      </c>
      <c r="G490" s="2">
        <v>9</v>
      </c>
      <c r="H490" s="2">
        <v>1</v>
      </c>
      <c r="I490" s="2" t="s">
        <v>43</v>
      </c>
      <c r="J490" s="2" t="s">
        <v>3492</v>
      </c>
      <c r="K490" s="2" t="s">
        <v>566</v>
      </c>
      <c r="L490" s="2" t="s">
        <v>29</v>
      </c>
      <c r="M490" s="2" t="s">
        <v>374</v>
      </c>
      <c r="N490" s="2" t="s">
        <v>961</v>
      </c>
      <c r="O490" s="4">
        <v>2423</v>
      </c>
      <c r="P490" s="2" t="s">
        <v>3493</v>
      </c>
      <c r="Q490" s="2" t="s">
        <v>49</v>
      </c>
      <c r="R490" s="2" t="s">
        <v>3494</v>
      </c>
      <c r="S490" s="2" t="s">
        <v>3495</v>
      </c>
      <c r="T490" s="2" t="s">
        <v>3496</v>
      </c>
      <c r="U490" s="2" t="s">
        <v>3497</v>
      </c>
      <c r="V490" s="2" t="s">
        <v>3498</v>
      </c>
    </row>
    <row r="491" spans="1:22">
      <c r="A491" s="2" t="s">
        <v>1916</v>
      </c>
      <c r="B491" s="2" t="s">
        <v>3499</v>
      </c>
      <c r="C491" s="2" t="s">
        <v>3500</v>
      </c>
      <c r="D491" s="2">
        <v>2024</v>
      </c>
      <c r="E491" s="3">
        <v>45627</v>
      </c>
      <c r="F491" s="2" t="s">
        <v>231</v>
      </c>
      <c r="G491" s="2">
        <v>28</v>
      </c>
      <c r="H491" s="2">
        <v>1</v>
      </c>
      <c r="I491" s="2" t="s">
        <v>43</v>
      </c>
      <c r="J491" s="2" t="s">
        <v>232</v>
      </c>
      <c r="K491" s="2" t="s">
        <v>233</v>
      </c>
      <c r="L491" s="2" t="s">
        <v>29</v>
      </c>
      <c r="M491" s="2" t="s">
        <v>1337</v>
      </c>
      <c r="N491" s="2" t="s">
        <v>31</v>
      </c>
      <c r="O491" s="4">
        <v>2738</v>
      </c>
      <c r="P491" s="2" t="s">
        <v>3501</v>
      </c>
      <c r="Q491" s="2" t="s">
        <v>644</v>
      </c>
      <c r="R491" s="2" t="s">
        <v>3502</v>
      </c>
      <c r="S491" s="2" t="s">
        <v>1681</v>
      </c>
      <c r="T491" s="2" t="s">
        <v>2606</v>
      </c>
      <c r="U491" s="2" t="s">
        <v>1681</v>
      </c>
      <c r="V491" s="2" t="s">
        <v>80</v>
      </c>
    </row>
    <row r="492" spans="1:22">
      <c r="A492" s="2" t="s">
        <v>1344</v>
      </c>
      <c r="B492" s="2" t="s">
        <v>3499</v>
      </c>
      <c r="C492" s="2" t="s">
        <v>3500</v>
      </c>
      <c r="D492" s="2">
        <v>2024</v>
      </c>
      <c r="E492" s="3">
        <v>45627</v>
      </c>
      <c r="F492" s="2" t="s">
        <v>231</v>
      </c>
      <c r="G492" s="2">
        <v>28</v>
      </c>
      <c r="H492" s="2">
        <v>1</v>
      </c>
      <c r="I492" s="2" t="s">
        <v>43</v>
      </c>
      <c r="J492" s="2" t="s">
        <v>232</v>
      </c>
      <c r="K492" s="2" t="s">
        <v>233</v>
      </c>
      <c r="L492" s="2" t="s">
        <v>29</v>
      </c>
      <c r="M492" s="2" t="s">
        <v>1337</v>
      </c>
      <c r="N492" s="2" t="s">
        <v>31</v>
      </c>
      <c r="O492" s="4">
        <v>2738</v>
      </c>
      <c r="P492" s="2" t="s">
        <v>3501</v>
      </c>
      <c r="Q492" s="2" t="s">
        <v>644</v>
      </c>
      <c r="R492" s="2" t="s">
        <v>3502</v>
      </c>
      <c r="S492" s="2" t="s">
        <v>1681</v>
      </c>
      <c r="T492" s="2" t="s">
        <v>2606</v>
      </c>
      <c r="U492" s="2" t="s">
        <v>1681</v>
      </c>
      <c r="V492" s="2" t="s">
        <v>80</v>
      </c>
    </row>
    <row r="493" spans="1:22">
      <c r="A493" s="2" t="s">
        <v>2629</v>
      </c>
      <c r="B493" s="2" t="s">
        <v>3499</v>
      </c>
      <c r="C493" s="2" t="s">
        <v>3500</v>
      </c>
      <c r="D493" s="2">
        <v>2024</v>
      </c>
      <c r="E493" s="3">
        <v>45627</v>
      </c>
      <c r="F493" s="2" t="s">
        <v>231</v>
      </c>
      <c r="G493" s="2">
        <v>28</v>
      </c>
      <c r="H493" s="2">
        <v>1</v>
      </c>
      <c r="I493" s="2" t="s">
        <v>43</v>
      </c>
      <c r="J493" s="2" t="s">
        <v>232</v>
      </c>
      <c r="K493" s="2" t="s">
        <v>233</v>
      </c>
      <c r="L493" s="2" t="s">
        <v>29</v>
      </c>
      <c r="M493" s="2" t="s">
        <v>1337</v>
      </c>
      <c r="N493" s="2" t="s">
        <v>31</v>
      </c>
      <c r="O493" s="4">
        <v>2738</v>
      </c>
      <c r="P493" s="2" t="s">
        <v>3501</v>
      </c>
      <c r="Q493" s="2" t="s">
        <v>644</v>
      </c>
      <c r="R493" s="2" t="s">
        <v>3502</v>
      </c>
      <c r="S493" s="2" t="s">
        <v>1681</v>
      </c>
      <c r="T493" s="2" t="s">
        <v>2606</v>
      </c>
      <c r="U493" s="2" t="s">
        <v>1681</v>
      </c>
      <c r="V493" s="2" t="s">
        <v>80</v>
      </c>
    </row>
    <row r="494" spans="1:22">
      <c r="A494" s="2" t="s">
        <v>3503</v>
      </c>
      <c r="B494" s="2" t="s">
        <v>3504</v>
      </c>
      <c r="C494" s="2" t="s">
        <v>3505</v>
      </c>
      <c r="D494" s="2">
        <v>2024</v>
      </c>
      <c r="E494" s="3">
        <v>45292</v>
      </c>
      <c r="F494" s="2" t="s">
        <v>3506</v>
      </c>
      <c r="G494" s="2">
        <v>17</v>
      </c>
      <c r="H494" s="2">
        <v>3</v>
      </c>
      <c r="I494" s="7">
        <v>44136</v>
      </c>
      <c r="J494" s="2" t="s">
        <v>3507</v>
      </c>
      <c r="K494" s="2" t="s">
        <v>3508</v>
      </c>
      <c r="L494" s="2" t="s">
        <v>773</v>
      </c>
      <c r="M494" s="2" t="s">
        <v>1135</v>
      </c>
      <c r="N494" s="2" t="s">
        <v>1136</v>
      </c>
      <c r="O494" s="2" t="s">
        <v>3509</v>
      </c>
      <c r="P494" s="2" t="s">
        <v>3510</v>
      </c>
      <c r="Q494" s="2" t="s">
        <v>33</v>
      </c>
      <c r="R494" s="2" t="s">
        <v>3511</v>
      </c>
      <c r="S494" s="2" t="s">
        <v>3512</v>
      </c>
      <c r="T494" s="2" t="s">
        <v>3513</v>
      </c>
      <c r="U494" s="2" t="s">
        <v>3514</v>
      </c>
      <c r="V494" s="2" t="s">
        <v>80</v>
      </c>
    </row>
    <row r="495" spans="1:22">
      <c r="A495" s="2" t="s">
        <v>3515</v>
      </c>
      <c r="B495" s="2" t="s">
        <v>3516</v>
      </c>
      <c r="C495" s="2" t="s">
        <v>3517</v>
      </c>
      <c r="D495" s="2">
        <v>2025</v>
      </c>
      <c r="E495" s="3">
        <v>45809</v>
      </c>
      <c r="F495" s="2" t="s">
        <v>3518</v>
      </c>
      <c r="G495" s="2">
        <v>38</v>
      </c>
      <c r="H495" s="2">
        <v>6</v>
      </c>
      <c r="I495" s="2" t="s">
        <v>3519</v>
      </c>
      <c r="J495" s="2" t="s">
        <v>3520</v>
      </c>
      <c r="K495" s="2" t="s">
        <v>3037</v>
      </c>
      <c r="L495" s="2" t="s">
        <v>29</v>
      </c>
      <c r="M495" s="2" t="s">
        <v>498</v>
      </c>
      <c r="N495" s="2" t="s">
        <v>1473</v>
      </c>
      <c r="O495" s="4">
        <v>1109</v>
      </c>
      <c r="P495" s="2" t="s">
        <v>3521</v>
      </c>
      <c r="Q495" s="2" t="s">
        <v>33</v>
      </c>
      <c r="R495" s="2" t="s">
        <v>3522</v>
      </c>
      <c r="S495" s="2" t="s">
        <v>511</v>
      </c>
      <c r="T495" s="2" t="s">
        <v>3523</v>
      </c>
      <c r="U495" s="2" t="s">
        <v>3524</v>
      </c>
      <c r="V495" s="2" t="s">
        <v>80</v>
      </c>
    </row>
    <row r="496" spans="1:22">
      <c r="A496" s="2" t="s">
        <v>3525</v>
      </c>
      <c r="B496" s="2" t="s">
        <v>3526</v>
      </c>
      <c r="C496" s="2" t="s">
        <v>3527</v>
      </c>
      <c r="D496" s="2">
        <v>2024</v>
      </c>
      <c r="E496" s="3">
        <v>45292</v>
      </c>
      <c r="F496" s="2" t="s">
        <v>3528</v>
      </c>
      <c r="G496" s="2" t="s">
        <v>43</v>
      </c>
      <c r="H496" s="2">
        <v>21</v>
      </c>
      <c r="I496" s="2" t="s">
        <v>3529</v>
      </c>
      <c r="J496" s="2" t="s">
        <v>3530</v>
      </c>
      <c r="K496" s="2" t="s">
        <v>3531</v>
      </c>
      <c r="L496" s="2" t="s">
        <v>773</v>
      </c>
      <c r="M496" s="2" t="s">
        <v>47</v>
      </c>
      <c r="N496" s="2" t="s">
        <v>2754</v>
      </c>
      <c r="O496" s="2" t="s">
        <v>3532</v>
      </c>
      <c r="P496" s="2" t="s">
        <v>3533</v>
      </c>
      <c r="Q496" s="2" t="s">
        <v>33</v>
      </c>
      <c r="R496" s="2" t="s">
        <v>3534</v>
      </c>
      <c r="S496" s="2" t="s">
        <v>79</v>
      </c>
      <c r="T496" s="5">
        <v>601053680000000</v>
      </c>
      <c r="U496" s="2" t="s">
        <v>79</v>
      </c>
      <c r="V496" s="2" t="s">
        <v>80</v>
      </c>
    </row>
    <row r="497" spans="1:22">
      <c r="A497" s="2" t="s">
        <v>1527</v>
      </c>
      <c r="B497" s="2" t="s">
        <v>3535</v>
      </c>
      <c r="C497" s="2" t="s">
        <v>3536</v>
      </c>
      <c r="D497" s="2">
        <v>2025</v>
      </c>
      <c r="E497" s="3">
        <v>45658</v>
      </c>
      <c r="F497" s="2" t="s">
        <v>3537</v>
      </c>
      <c r="G497" s="2">
        <v>29</v>
      </c>
      <c r="H497" s="2">
        <v>2</v>
      </c>
      <c r="I497" s="7">
        <v>44927</v>
      </c>
      <c r="J497" s="2" t="s">
        <v>3538</v>
      </c>
      <c r="K497" s="2" t="s">
        <v>3539</v>
      </c>
      <c r="L497" s="2" t="s">
        <v>773</v>
      </c>
      <c r="M497" s="2" t="s">
        <v>853</v>
      </c>
      <c r="N497" s="2" t="s">
        <v>1976</v>
      </c>
      <c r="O497" s="2" t="s">
        <v>3540</v>
      </c>
      <c r="P497" s="2" t="s">
        <v>3541</v>
      </c>
      <c r="Q497" s="2" t="s">
        <v>33</v>
      </c>
      <c r="R497" s="2" t="s">
        <v>3542</v>
      </c>
      <c r="S497" s="2" t="s">
        <v>79</v>
      </c>
      <c r="T497" s="5">
        <v>601053680000000</v>
      </c>
      <c r="U497" s="2" t="s">
        <v>79</v>
      </c>
      <c r="V497" s="2" t="s">
        <v>3543</v>
      </c>
    </row>
    <row r="498" spans="1:22">
      <c r="A498" s="2" t="s">
        <v>3544</v>
      </c>
      <c r="B498" s="2" t="s">
        <v>3535</v>
      </c>
      <c r="C498" s="2" t="s">
        <v>3536</v>
      </c>
      <c r="D498" s="2">
        <v>2025</v>
      </c>
      <c r="E498" s="3">
        <v>45658</v>
      </c>
      <c r="F498" s="2" t="s">
        <v>3537</v>
      </c>
      <c r="G498" s="2">
        <v>29</v>
      </c>
      <c r="H498" s="2">
        <v>2</v>
      </c>
      <c r="I498" s="7">
        <v>44927</v>
      </c>
      <c r="J498" s="2" t="s">
        <v>3538</v>
      </c>
      <c r="K498" s="2" t="s">
        <v>3539</v>
      </c>
      <c r="L498" s="2" t="s">
        <v>773</v>
      </c>
      <c r="M498" s="2" t="s">
        <v>853</v>
      </c>
      <c r="N498" s="2" t="s">
        <v>1976</v>
      </c>
      <c r="O498" s="2" t="s">
        <v>3540</v>
      </c>
      <c r="P498" s="2" t="s">
        <v>3541</v>
      </c>
      <c r="Q498" s="2" t="s">
        <v>33</v>
      </c>
      <c r="R498" s="2" t="s">
        <v>3542</v>
      </c>
      <c r="S498" s="2" t="s">
        <v>79</v>
      </c>
      <c r="T498" s="5">
        <v>601053680000000</v>
      </c>
      <c r="U498" s="2" t="s">
        <v>79</v>
      </c>
      <c r="V498" s="2" t="s">
        <v>3543</v>
      </c>
    </row>
    <row r="499" spans="1:22">
      <c r="A499" s="2" t="s">
        <v>3545</v>
      </c>
      <c r="B499" s="2" t="s">
        <v>3535</v>
      </c>
      <c r="C499" s="2" t="s">
        <v>3536</v>
      </c>
      <c r="D499" s="2">
        <v>2025</v>
      </c>
      <c r="E499" s="3">
        <v>45658</v>
      </c>
      <c r="F499" s="2" t="s">
        <v>3537</v>
      </c>
      <c r="G499" s="2">
        <v>29</v>
      </c>
      <c r="H499" s="2">
        <v>2</v>
      </c>
      <c r="I499" s="7">
        <v>44927</v>
      </c>
      <c r="J499" s="2" t="s">
        <v>3538</v>
      </c>
      <c r="K499" s="2" t="s">
        <v>3539</v>
      </c>
      <c r="L499" s="2" t="s">
        <v>773</v>
      </c>
      <c r="M499" s="2" t="s">
        <v>853</v>
      </c>
      <c r="N499" s="2" t="s">
        <v>1976</v>
      </c>
      <c r="O499" s="2" t="s">
        <v>3540</v>
      </c>
      <c r="P499" s="2" t="s">
        <v>3541</v>
      </c>
      <c r="Q499" s="2" t="s">
        <v>33</v>
      </c>
      <c r="R499" s="2" t="s">
        <v>3542</v>
      </c>
      <c r="S499" s="2" t="s">
        <v>79</v>
      </c>
      <c r="T499" s="5">
        <v>601053680000000</v>
      </c>
      <c r="U499" s="2" t="s">
        <v>79</v>
      </c>
      <c r="V499" s="2" t="s">
        <v>3543</v>
      </c>
    </row>
    <row r="500" spans="1:22">
      <c r="A500" s="2" t="s">
        <v>1619</v>
      </c>
      <c r="B500" s="2" t="s">
        <v>3546</v>
      </c>
      <c r="C500" s="2" t="s">
        <v>3547</v>
      </c>
      <c r="D500" s="2">
        <v>2025</v>
      </c>
      <c r="E500" s="3">
        <v>45870</v>
      </c>
      <c r="F500" s="2" t="s">
        <v>2091</v>
      </c>
      <c r="G500" s="2">
        <v>13</v>
      </c>
      <c r="H500" s="2">
        <v>8</v>
      </c>
      <c r="I500" s="2" t="s">
        <v>43</v>
      </c>
      <c r="J500" s="2" t="s">
        <v>2092</v>
      </c>
      <c r="K500" s="2" t="s">
        <v>61</v>
      </c>
      <c r="L500" s="2" t="s">
        <v>29</v>
      </c>
      <c r="M500" s="2" t="s">
        <v>439</v>
      </c>
      <c r="N500" s="2" t="s">
        <v>196</v>
      </c>
      <c r="O500" s="2" t="s">
        <v>2093</v>
      </c>
      <c r="P500" s="2" t="s">
        <v>3548</v>
      </c>
      <c r="Q500" s="2" t="s">
        <v>33</v>
      </c>
      <c r="R500" s="2" t="s">
        <v>3549</v>
      </c>
      <c r="S500" s="2" t="s">
        <v>3550</v>
      </c>
      <c r="T500" s="2" t="s">
        <v>3551</v>
      </c>
      <c r="U500" s="2" t="s">
        <v>3552</v>
      </c>
      <c r="V500" s="2" t="s">
        <v>141</v>
      </c>
    </row>
    <row r="501" spans="1:22">
      <c r="A501" s="2" t="s">
        <v>2099</v>
      </c>
      <c r="B501" s="2" t="s">
        <v>3546</v>
      </c>
      <c r="C501" s="2" t="s">
        <v>3547</v>
      </c>
      <c r="D501" s="2">
        <v>2025</v>
      </c>
      <c r="E501" s="3">
        <v>45870</v>
      </c>
      <c r="F501" s="2" t="s">
        <v>2091</v>
      </c>
      <c r="G501" s="2">
        <v>13</v>
      </c>
      <c r="H501" s="2">
        <v>8</v>
      </c>
      <c r="I501" s="2" t="s">
        <v>43</v>
      </c>
      <c r="J501" s="2" t="s">
        <v>2092</v>
      </c>
      <c r="K501" s="2" t="s">
        <v>61</v>
      </c>
      <c r="L501" s="2" t="s">
        <v>29</v>
      </c>
      <c r="M501" s="2" t="s">
        <v>439</v>
      </c>
      <c r="N501" s="2" t="s">
        <v>196</v>
      </c>
      <c r="O501" s="2" t="s">
        <v>2093</v>
      </c>
      <c r="P501" s="2" t="s">
        <v>3548</v>
      </c>
      <c r="Q501" s="2" t="s">
        <v>33</v>
      </c>
      <c r="R501" s="2" t="s">
        <v>3549</v>
      </c>
      <c r="S501" s="2" t="s">
        <v>3550</v>
      </c>
      <c r="T501" s="2" t="s">
        <v>3551</v>
      </c>
      <c r="U501" s="2" t="s">
        <v>3552</v>
      </c>
      <c r="V501" s="2" t="s">
        <v>141</v>
      </c>
    </row>
    <row r="502" spans="1:22">
      <c r="A502" s="2" t="s">
        <v>3553</v>
      </c>
      <c r="B502" s="2" t="s">
        <v>3546</v>
      </c>
      <c r="C502" s="2" t="s">
        <v>3547</v>
      </c>
      <c r="D502" s="2">
        <v>2025</v>
      </c>
      <c r="E502" s="3">
        <v>45870</v>
      </c>
      <c r="F502" s="2" t="s">
        <v>2091</v>
      </c>
      <c r="G502" s="2">
        <v>13</v>
      </c>
      <c r="H502" s="2">
        <v>8</v>
      </c>
      <c r="I502" s="2" t="s">
        <v>43</v>
      </c>
      <c r="J502" s="2" t="s">
        <v>2092</v>
      </c>
      <c r="K502" s="2" t="s">
        <v>61</v>
      </c>
      <c r="L502" s="2" t="s">
        <v>29</v>
      </c>
      <c r="M502" s="2" t="s">
        <v>439</v>
      </c>
      <c r="N502" s="2" t="s">
        <v>196</v>
      </c>
      <c r="O502" s="2" t="s">
        <v>2093</v>
      </c>
      <c r="P502" s="2" t="s">
        <v>3548</v>
      </c>
      <c r="Q502" s="2" t="s">
        <v>33</v>
      </c>
      <c r="R502" s="2" t="s">
        <v>3549</v>
      </c>
      <c r="S502" s="2" t="s">
        <v>3550</v>
      </c>
      <c r="T502" s="2" t="s">
        <v>3551</v>
      </c>
      <c r="U502" s="2" t="s">
        <v>3552</v>
      </c>
      <c r="V502" s="2" t="s">
        <v>141</v>
      </c>
    </row>
    <row r="503" spans="1:22">
      <c r="A503" s="2" t="s">
        <v>2100</v>
      </c>
      <c r="B503" s="2" t="s">
        <v>3546</v>
      </c>
      <c r="C503" s="2" t="s">
        <v>3547</v>
      </c>
      <c r="D503" s="2">
        <v>2025</v>
      </c>
      <c r="E503" s="3">
        <v>45870</v>
      </c>
      <c r="F503" s="2" t="s">
        <v>2091</v>
      </c>
      <c r="G503" s="2">
        <v>13</v>
      </c>
      <c r="H503" s="2">
        <v>8</v>
      </c>
      <c r="I503" s="2" t="s">
        <v>43</v>
      </c>
      <c r="J503" s="2" t="s">
        <v>2092</v>
      </c>
      <c r="K503" s="2" t="s">
        <v>61</v>
      </c>
      <c r="L503" s="2" t="s">
        <v>29</v>
      </c>
      <c r="M503" s="2" t="s">
        <v>439</v>
      </c>
      <c r="N503" s="2" t="s">
        <v>196</v>
      </c>
      <c r="O503" s="2" t="s">
        <v>2093</v>
      </c>
      <c r="P503" s="2" t="s">
        <v>3548</v>
      </c>
      <c r="Q503" s="2" t="s">
        <v>33</v>
      </c>
      <c r="R503" s="2" t="s">
        <v>3549</v>
      </c>
      <c r="S503" s="2" t="s">
        <v>3550</v>
      </c>
      <c r="T503" s="2" t="s">
        <v>3551</v>
      </c>
      <c r="U503" s="2" t="s">
        <v>3552</v>
      </c>
      <c r="V503" s="2" t="s">
        <v>141</v>
      </c>
    </row>
    <row r="504" spans="1:22">
      <c r="A504" s="2" t="s">
        <v>3554</v>
      </c>
      <c r="B504" s="2" t="s">
        <v>3555</v>
      </c>
      <c r="C504" s="2" t="s">
        <v>3556</v>
      </c>
      <c r="D504" s="2">
        <v>2024</v>
      </c>
      <c r="E504" s="3">
        <v>45323</v>
      </c>
      <c r="F504" s="2" t="s">
        <v>3096</v>
      </c>
      <c r="G504" s="2">
        <v>152</v>
      </c>
      <c r="H504" s="2">
        <v>2</v>
      </c>
      <c r="I504" s="2" t="s">
        <v>3557</v>
      </c>
      <c r="J504" s="2" t="s">
        <v>3098</v>
      </c>
      <c r="K504" s="2" t="s">
        <v>3099</v>
      </c>
      <c r="L504" s="2" t="s">
        <v>1867</v>
      </c>
      <c r="M504" s="2" t="s">
        <v>47</v>
      </c>
      <c r="N504" s="2" t="s">
        <v>2797</v>
      </c>
      <c r="O504" s="2" t="s">
        <v>3100</v>
      </c>
      <c r="P504" s="2" t="s">
        <v>3558</v>
      </c>
      <c r="Q504" s="2" t="s">
        <v>49</v>
      </c>
      <c r="R504" s="2" t="s">
        <v>3559</v>
      </c>
      <c r="S504" s="2" t="s">
        <v>844</v>
      </c>
      <c r="T504" s="2" t="s">
        <v>3560</v>
      </c>
      <c r="U504" s="2" t="s">
        <v>3561</v>
      </c>
      <c r="V504" s="2" t="s">
        <v>80</v>
      </c>
    </row>
    <row r="505" spans="1:22">
      <c r="A505" s="2" t="s">
        <v>3562</v>
      </c>
      <c r="B505" s="2" t="s">
        <v>3563</v>
      </c>
      <c r="C505" s="2" t="s">
        <v>3564</v>
      </c>
      <c r="D505" s="2">
        <v>2025</v>
      </c>
      <c r="E505" s="3">
        <v>45931</v>
      </c>
      <c r="F505" s="2" t="s">
        <v>3565</v>
      </c>
      <c r="G505" s="2">
        <v>12</v>
      </c>
      <c r="H505" s="2">
        <v>5</v>
      </c>
      <c r="I505" s="2" t="s">
        <v>43</v>
      </c>
      <c r="J505" s="2" t="s">
        <v>3566</v>
      </c>
      <c r="K505" s="2" t="s">
        <v>61</v>
      </c>
      <c r="L505" s="2" t="s">
        <v>29</v>
      </c>
      <c r="M505" s="2" t="s">
        <v>498</v>
      </c>
      <c r="N505" s="2" t="s">
        <v>121</v>
      </c>
      <c r="O505" s="2" t="s">
        <v>3567</v>
      </c>
      <c r="P505" s="2" t="s">
        <v>3568</v>
      </c>
      <c r="Q505" s="2" t="s">
        <v>49</v>
      </c>
      <c r="R505" s="2" t="s">
        <v>3569</v>
      </c>
      <c r="S505" s="2" t="s">
        <v>844</v>
      </c>
      <c r="T505" s="2" t="s">
        <v>3570</v>
      </c>
      <c r="U505" s="2" t="s">
        <v>3571</v>
      </c>
      <c r="V505" s="2" t="s">
        <v>80</v>
      </c>
    </row>
    <row r="506" spans="1:22" ht="43.2">
      <c r="A506" s="2" t="s">
        <v>1925</v>
      </c>
      <c r="B506" s="2" t="s">
        <v>3572</v>
      </c>
      <c r="C506" s="2" t="s">
        <v>3573</v>
      </c>
      <c r="D506" s="2">
        <v>2025</v>
      </c>
      <c r="E506" s="3">
        <v>45992</v>
      </c>
      <c r="F506" s="2" t="s">
        <v>3574</v>
      </c>
      <c r="G506" s="2">
        <v>83</v>
      </c>
      <c r="H506" s="2">
        <v>1</v>
      </c>
      <c r="I506" s="2" t="s">
        <v>43</v>
      </c>
      <c r="J506" s="2" t="s">
        <v>3575</v>
      </c>
      <c r="K506" s="2" t="s">
        <v>233</v>
      </c>
      <c r="L506" s="2" t="s">
        <v>29</v>
      </c>
      <c r="M506" s="2" t="s">
        <v>144</v>
      </c>
      <c r="N506" s="2" t="s">
        <v>331</v>
      </c>
      <c r="O506" s="4">
        <v>1022</v>
      </c>
      <c r="P506" s="2" t="s">
        <v>3576</v>
      </c>
      <c r="Q506" s="2" t="s">
        <v>33</v>
      </c>
      <c r="R506" s="2" t="s">
        <v>3577</v>
      </c>
      <c r="S506" s="2" t="s">
        <v>3578</v>
      </c>
      <c r="T506" s="2" t="s">
        <v>3579</v>
      </c>
      <c r="U506" s="2" t="s">
        <v>3580</v>
      </c>
      <c r="V506" s="2" t="s">
        <v>3581</v>
      </c>
    </row>
    <row r="507" spans="1:22">
      <c r="A507" s="2" t="s">
        <v>3582</v>
      </c>
      <c r="B507" s="2" t="s">
        <v>3583</v>
      </c>
      <c r="C507" s="2" t="s">
        <v>3584</v>
      </c>
      <c r="D507" s="2">
        <v>2024</v>
      </c>
      <c r="E507" s="3">
        <v>45292</v>
      </c>
      <c r="F507" s="2" t="s">
        <v>2392</v>
      </c>
      <c r="G507" s="2">
        <v>35</v>
      </c>
      <c r="H507" s="2">
        <v>1</v>
      </c>
      <c r="I507" s="2" t="s">
        <v>3585</v>
      </c>
      <c r="J507" s="2" t="s">
        <v>2394</v>
      </c>
      <c r="K507" s="2" t="s">
        <v>392</v>
      </c>
      <c r="L507" s="2" t="s">
        <v>773</v>
      </c>
      <c r="M507" s="2" t="s">
        <v>47</v>
      </c>
      <c r="N507" s="2" t="s">
        <v>2395</v>
      </c>
      <c r="O507" s="2" t="s">
        <v>2396</v>
      </c>
      <c r="P507" s="2" t="s">
        <v>3586</v>
      </c>
      <c r="Q507" s="2" t="s">
        <v>33</v>
      </c>
      <c r="R507" s="2" t="s">
        <v>3587</v>
      </c>
      <c r="S507" s="2" t="s">
        <v>1681</v>
      </c>
      <c r="T507" s="2" t="s">
        <v>2606</v>
      </c>
      <c r="U507" s="2" t="s">
        <v>1681</v>
      </c>
      <c r="V507" s="2" t="s">
        <v>80</v>
      </c>
    </row>
    <row r="508" spans="1:22">
      <c r="A508" s="2" t="s">
        <v>1916</v>
      </c>
      <c r="B508" s="2" t="s">
        <v>3583</v>
      </c>
      <c r="C508" s="2" t="s">
        <v>3584</v>
      </c>
      <c r="D508" s="2">
        <v>2024</v>
      </c>
      <c r="E508" s="3">
        <v>45292</v>
      </c>
      <c r="F508" s="2" t="s">
        <v>2392</v>
      </c>
      <c r="G508" s="2">
        <v>35</v>
      </c>
      <c r="H508" s="2">
        <v>1</v>
      </c>
      <c r="I508" s="2" t="s">
        <v>3585</v>
      </c>
      <c r="J508" s="2" t="s">
        <v>2394</v>
      </c>
      <c r="K508" s="2" t="s">
        <v>392</v>
      </c>
      <c r="L508" s="2" t="s">
        <v>773</v>
      </c>
      <c r="M508" s="2" t="s">
        <v>47</v>
      </c>
      <c r="N508" s="2" t="s">
        <v>2395</v>
      </c>
      <c r="O508" s="2" t="s">
        <v>2396</v>
      </c>
      <c r="P508" s="2" t="s">
        <v>3586</v>
      </c>
      <c r="Q508" s="2" t="s">
        <v>33</v>
      </c>
      <c r="R508" s="2" t="s">
        <v>3587</v>
      </c>
      <c r="S508" s="2" t="s">
        <v>1681</v>
      </c>
      <c r="T508" s="2" t="s">
        <v>2606</v>
      </c>
      <c r="U508" s="2" t="s">
        <v>1681</v>
      </c>
      <c r="V508" s="2" t="s">
        <v>80</v>
      </c>
    </row>
    <row r="509" spans="1:22">
      <c r="A509" s="2" t="s">
        <v>3588</v>
      </c>
      <c r="B509" s="2" t="s">
        <v>3583</v>
      </c>
      <c r="C509" s="2" t="s">
        <v>3584</v>
      </c>
      <c r="D509" s="2">
        <v>2024</v>
      </c>
      <c r="E509" s="3">
        <v>45292</v>
      </c>
      <c r="F509" s="2" t="s">
        <v>2392</v>
      </c>
      <c r="G509" s="2">
        <v>35</v>
      </c>
      <c r="H509" s="2">
        <v>1</v>
      </c>
      <c r="I509" s="2" t="s">
        <v>3585</v>
      </c>
      <c r="J509" s="2" t="s">
        <v>2394</v>
      </c>
      <c r="K509" s="2" t="s">
        <v>392</v>
      </c>
      <c r="L509" s="2" t="s">
        <v>773</v>
      </c>
      <c r="M509" s="2" t="s">
        <v>47</v>
      </c>
      <c r="N509" s="2" t="s">
        <v>2395</v>
      </c>
      <c r="O509" s="2" t="s">
        <v>2396</v>
      </c>
      <c r="P509" s="2" t="s">
        <v>3586</v>
      </c>
      <c r="Q509" s="2" t="s">
        <v>33</v>
      </c>
      <c r="R509" s="2" t="s">
        <v>3587</v>
      </c>
      <c r="S509" s="2" t="s">
        <v>1681</v>
      </c>
      <c r="T509" s="2" t="s">
        <v>2606</v>
      </c>
      <c r="U509" s="2" t="s">
        <v>1681</v>
      </c>
      <c r="V509" s="2" t="s">
        <v>80</v>
      </c>
    </row>
    <row r="510" spans="1:22">
      <c r="A510" s="2" t="s">
        <v>3589</v>
      </c>
      <c r="B510" s="2" t="s">
        <v>3583</v>
      </c>
      <c r="C510" s="2" t="s">
        <v>3584</v>
      </c>
      <c r="D510" s="2">
        <v>2024</v>
      </c>
      <c r="E510" s="3">
        <v>45292</v>
      </c>
      <c r="F510" s="2" t="s">
        <v>2392</v>
      </c>
      <c r="G510" s="2">
        <v>35</v>
      </c>
      <c r="H510" s="2">
        <v>1</v>
      </c>
      <c r="I510" s="2" t="s">
        <v>3585</v>
      </c>
      <c r="J510" s="2" t="s">
        <v>2394</v>
      </c>
      <c r="K510" s="2" t="s">
        <v>392</v>
      </c>
      <c r="L510" s="2" t="s">
        <v>773</v>
      </c>
      <c r="M510" s="2" t="s">
        <v>47</v>
      </c>
      <c r="N510" s="2" t="s">
        <v>2395</v>
      </c>
      <c r="O510" s="2" t="s">
        <v>2396</v>
      </c>
      <c r="P510" s="2" t="s">
        <v>3586</v>
      </c>
      <c r="Q510" s="2" t="s">
        <v>33</v>
      </c>
      <c r="R510" s="2" t="s">
        <v>3587</v>
      </c>
      <c r="S510" s="2" t="s">
        <v>1681</v>
      </c>
      <c r="T510" s="2" t="s">
        <v>2606</v>
      </c>
      <c r="U510" s="2" t="s">
        <v>1681</v>
      </c>
      <c r="V510" s="2" t="s">
        <v>80</v>
      </c>
    </row>
    <row r="511" spans="1:22">
      <c r="A511" s="2" t="s">
        <v>2608</v>
      </c>
      <c r="B511" s="2" t="s">
        <v>3583</v>
      </c>
      <c r="C511" s="2" t="s">
        <v>3584</v>
      </c>
      <c r="D511" s="2">
        <v>2024</v>
      </c>
      <c r="E511" s="3">
        <v>45292</v>
      </c>
      <c r="F511" s="2" t="s">
        <v>2392</v>
      </c>
      <c r="G511" s="2">
        <v>35</v>
      </c>
      <c r="H511" s="2">
        <v>1</v>
      </c>
      <c r="I511" s="2" t="s">
        <v>3585</v>
      </c>
      <c r="J511" s="2" t="s">
        <v>2394</v>
      </c>
      <c r="K511" s="2" t="s">
        <v>392</v>
      </c>
      <c r="L511" s="2" t="s">
        <v>773</v>
      </c>
      <c r="M511" s="2" t="s">
        <v>47</v>
      </c>
      <c r="N511" s="2" t="s">
        <v>2395</v>
      </c>
      <c r="O511" s="2" t="s">
        <v>2396</v>
      </c>
      <c r="P511" s="2" t="s">
        <v>3586</v>
      </c>
      <c r="Q511" s="2" t="s">
        <v>33</v>
      </c>
      <c r="R511" s="2" t="s">
        <v>3587</v>
      </c>
      <c r="S511" s="2" t="s">
        <v>1681</v>
      </c>
      <c r="T511" s="2" t="s">
        <v>2606</v>
      </c>
      <c r="U511" s="2" t="s">
        <v>1681</v>
      </c>
      <c r="V511" s="2" t="s">
        <v>80</v>
      </c>
    </row>
    <row r="512" spans="1:22">
      <c r="A512" s="2" t="s">
        <v>1344</v>
      </c>
      <c r="B512" s="2" t="s">
        <v>3583</v>
      </c>
      <c r="C512" s="2" t="s">
        <v>3584</v>
      </c>
      <c r="D512" s="2">
        <v>2024</v>
      </c>
      <c r="E512" s="3">
        <v>45292</v>
      </c>
      <c r="F512" s="2" t="s">
        <v>2392</v>
      </c>
      <c r="G512" s="2">
        <v>35</v>
      </c>
      <c r="H512" s="2">
        <v>1</v>
      </c>
      <c r="I512" s="2" t="s">
        <v>3585</v>
      </c>
      <c r="J512" s="2" t="s">
        <v>2394</v>
      </c>
      <c r="K512" s="2" t="s">
        <v>392</v>
      </c>
      <c r="L512" s="2" t="s">
        <v>773</v>
      </c>
      <c r="M512" s="2" t="s">
        <v>47</v>
      </c>
      <c r="N512" s="2" t="s">
        <v>2395</v>
      </c>
      <c r="O512" s="2" t="s">
        <v>2396</v>
      </c>
      <c r="P512" s="2" t="s">
        <v>3586</v>
      </c>
      <c r="Q512" s="2" t="s">
        <v>33</v>
      </c>
      <c r="R512" s="2" t="s">
        <v>3587</v>
      </c>
      <c r="S512" s="2" t="s">
        <v>1681</v>
      </c>
      <c r="T512" s="2" t="s">
        <v>2606</v>
      </c>
      <c r="U512" s="2" t="s">
        <v>1681</v>
      </c>
      <c r="V512" s="2" t="s">
        <v>80</v>
      </c>
    </row>
    <row r="513" spans="1:22">
      <c r="A513" s="2" t="s">
        <v>3590</v>
      </c>
      <c r="B513" s="2" t="s">
        <v>3591</v>
      </c>
      <c r="C513" s="2" t="s">
        <v>3592</v>
      </c>
      <c r="D513" s="2">
        <v>2025</v>
      </c>
      <c r="E513" s="3">
        <v>45839</v>
      </c>
      <c r="F513" s="2" t="s">
        <v>2392</v>
      </c>
      <c r="G513" s="2">
        <v>36</v>
      </c>
      <c r="H513" s="2">
        <v>4</v>
      </c>
      <c r="I513" s="2" t="s">
        <v>3593</v>
      </c>
      <c r="J513" s="2" t="s">
        <v>2394</v>
      </c>
      <c r="K513" s="2" t="s">
        <v>392</v>
      </c>
      <c r="L513" s="2" t="s">
        <v>773</v>
      </c>
      <c r="M513" s="2" t="s">
        <v>1948</v>
      </c>
      <c r="N513" s="2" t="s">
        <v>2156</v>
      </c>
      <c r="O513" s="2" t="s">
        <v>3438</v>
      </c>
      <c r="P513" s="2" t="s">
        <v>3594</v>
      </c>
      <c r="Q513" s="2" t="s">
        <v>33</v>
      </c>
      <c r="R513" s="2" t="s">
        <v>3595</v>
      </c>
      <c r="S513" s="2" t="s">
        <v>1681</v>
      </c>
      <c r="T513" s="2" t="s">
        <v>2561</v>
      </c>
      <c r="U513" s="2" t="s">
        <v>2562</v>
      </c>
      <c r="V513" s="2" t="s">
        <v>80</v>
      </c>
    </row>
    <row r="514" spans="1:22">
      <c r="A514" s="2" t="s">
        <v>2563</v>
      </c>
      <c r="B514" s="2" t="s">
        <v>3591</v>
      </c>
      <c r="C514" s="2" t="s">
        <v>3592</v>
      </c>
      <c r="D514" s="2">
        <v>2025</v>
      </c>
      <c r="E514" s="3">
        <v>45839</v>
      </c>
      <c r="F514" s="2" t="s">
        <v>2392</v>
      </c>
      <c r="G514" s="2">
        <v>36</v>
      </c>
      <c r="H514" s="2">
        <v>4</v>
      </c>
      <c r="I514" s="2" t="s">
        <v>3593</v>
      </c>
      <c r="J514" s="2" t="s">
        <v>2394</v>
      </c>
      <c r="K514" s="2" t="s">
        <v>392</v>
      </c>
      <c r="L514" s="2" t="s">
        <v>773</v>
      </c>
      <c r="M514" s="2" t="s">
        <v>1948</v>
      </c>
      <c r="N514" s="2" t="s">
        <v>2156</v>
      </c>
      <c r="O514" s="2" t="s">
        <v>3438</v>
      </c>
      <c r="P514" s="2" t="s">
        <v>3594</v>
      </c>
      <c r="Q514" s="2" t="s">
        <v>33</v>
      </c>
      <c r="R514" s="2" t="s">
        <v>3595</v>
      </c>
      <c r="S514" s="2" t="s">
        <v>1681</v>
      </c>
      <c r="T514" s="2" t="s">
        <v>2561</v>
      </c>
      <c r="U514" s="2" t="s">
        <v>2562</v>
      </c>
      <c r="V514" s="2" t="s">
        <v>80</v>
      </c>
    </row>
    <row r="515" spans="1:22">
      <c r="A515" s="2" t="s">
        <v>2100</v>
      </c>
      <c r="B515" s="2" t="s">
        <v>3596</v>
      </c>
      <c r="C515" s="2" t="s">
        <v>3597</v>
      </c>
      <c r="D515" s="2">
        <v>2025</v>
      </c>
      <c r="E515" s="3">
        <v>45839</v>
      </c>
      <c r="F515" s="2" t="s">
        <v>3598</v>
      </c>
      <c r="G515" s="2">
        <v>10</v>
      </c>
      <c r="H515" s="2">
        <v>7</v>
      </c>
      <c r="I515" s="2" t="s">
        <v>43</v>
      </c>
      <c r="J515" s="2" t="s">
        <v>3599</v>
      </c>
      <c r="K515" s="2" t="s">
        <v>61</v>
      </c>
      <c r="L515" s="2" t="s">
        <v>29</v>
      </c>
      <c r="M515" s="2" t="s">
        <v>2119</v>
      </c>
      <c r="N515" s="2" t="s">
        <v>134</v>
      </c>
      <c r="O515" s="2" t="s">
        <v>3600</v>
      </c>
      <c r="P515" s="2" t="s">
        <v>3601</v>
      </c>
      <c r="Q515" s="2" t="s">
        <v>33</v>
      </c>
      <c r="R515" s="2" t="s">
        <v>3602</v>
      </c>
      <c r="S515" s="2" t="s">
        <v>3603</v>
      </c>
      <c r="T515" s="2" t="s">
        <v>3604</v>
      </c>
      <c r="U515" s="2" t="s">
        <v>3605</v>
      </c>
      <c r="V515" s="2" t="s">
        <v>1078</v>
      </c>
    </row>
    <row r="516" spans="1:22" ht="28.8">
      <c r="A516" s="2" t="s">
        <v>3606</v>
      </c>
      <c r="B516" s="2" t="s">
        <v>3607</v>
      </c>
      <c r="C516" s="2" t="s">
        <v>3608</v>
      </c>
      <c r="D516" s="2">
        <v>2024</v>
      </c>
      <c r="E516" s="3">
        <v>45292</v>
      </c>
      <c r="F516" s="2" t="s">
        <v>3609</v>
      </c>
      <c r="G516" s="2">
        <v>34</v>
      </c>
      <c r="H516" s="2">
        <v>2</v>
      </c>
      <c r="I516" s="2" t="s">
        <v>3610</v>
      </c>
      <c r="J516" s="2" t="s">
        <v>3611</v>
      </c>
      <c r="K516" s="2" t="s">
        <v>3612</v>
      </c>
      <c r="L516" s="2" t="s">
        <v>29</v>
      </c>
      <c r="M516" s="2" t="s">
        <v>393</v>
      </c>
      <c r="N516" s="2" t="s">
        <v>1444</v>
      </c>
      <c r="O516" s="2" t="s">
        <v>3613</v>
      </c>
      <c r="P516" s="2" t="s">
        <v>3614</v>
      </c>
      <c r="Q516" s="2" t="s">
        <v>33</v>
      </c>
      <c r="R516" s="2" t="s">
        <v>3615</v>
      </c>
      <c r="S516" s="2" t="s">
        <v>3616</v>
      </c>
      <c r="T516" s="2" t="s">
        <v>3617</v>
      </c>
      <c r="U516" s="2" t="s">
        <v>3618</v>
      </c>
      <c r="V516" s="2" t="s">
        <v>1249</v>
      </c>
    </row>
    <row r="517" spans="1:22">
      <c r="A517" s="2" t="s">
        <v>22</v>
      </c>
      <c r="B517" s="2" t="s">
        <v>3619</v>
      </c>
      <c r="C517" s="2" t="s">
        <v>3620</v>
      </c>
      <c r="D517" s="2">
        <v>2025</v>
      </c>
      <c r="E517" s="3">
        <v>45717</v>
      </c>
      <c r="F517" s="2" t="s">
        <v>3332</v>
      </c>
      <c r="G517" s="2">
        <v>13</v>
      </c>
      <c r="H517" s="2">
        <v>3</v>
      </c>
      <c r="I517" s="2" t="s">
        <v>43</v>
      </c>
      <c r="J517" s="2" t="s">
        <v>3333</v>
      </c>
      <c r="K517" s="2" t="s">
        <v>61</v>
      </c>
      <c r="L517" s="2" t="s">
        <v>29</v>
      </c>
      <c r="M517" s="2" t="s">
        <v>1326</v>
      </c>
      <c r="N517" s="2" t="s">
        <v>134</v>
      </c>
      <c r="O517" s="2" t="s">
        <v>2851</v>
      </c>
      <c r="P517" s="2" t="s">
        <v>3621</v>
      </c>
      <c r="Q517" s="2" t="s">
        <v>33</v>
      </c>
      <c r="R517" s="2" t="s">
        <v>3622</v>
      </c>
      <c r="S517" s="2" t="s">
        <v>3623</v>
      </c>
      <c r="T517" s="2" t="s">
        <v>3624</v>
      </c>
      <c r="U517" s="2" t="s">
        <v>3625</v>
      </c>
      <c r="V517" s="2" t="s">
        <v>3626</v>
      </c>
    </row>
    <row r="518" spans="1:22">
      <c r="A518" s="2" t="s">
        <v>97</v>
      </c>
      <c r="B518" s="2" t="s">
        <v>3627</v>
      </c>
      <c r="C518" s="2" t="s">
        <v>3628</v>
      </c>
      <c r="D518" s="2">
        <v>2024</v>
      </c>
      <c r="E518" s="3">
        <v>45459</v>
      </c>
      <c r="F518" s="2" t="s">
        <v>3629</v>
      </c>
      <c r="G518" s="2">
        <v>845</v>
      </c>
      <c r="H518" s="2" t="s">
        <v>43</v>
      </c>
      <c r="I518" s="2" t="s">
        <v>43</v>
      </c>
      <c r="J518" s="2" t="s">
        <v>3630</v>
      </c>
      <c r="K518" s="2" t="s">
        <v>103</v>
      </c>
      <c r="L518" s="2" t="s">
        <v>29</v>
      </c>
      <c r="M518" s="2" t="s">
        <v>1472</v>
      </c>
      <c r="N518" s="2" t="s">
        <v>1544</v>
      </c>
      <c r="O518" s="2" t="s">
        <v>3631</v>
      </c>
      <c r="P518" s="2" t="s">
        <v>3632</v>
      </c>
      <c r="Q518" s="2" t="s">
        <v>33</v>
      </c>
      <c r="R518" s="2" t="s">
        <v>3633</v>
      </c>
      <c r="S518" s="2" t="s">
        <v>3634</v>
      </c>
      <c r="T518" s="2" t="s">
        <v>3635</v>
      </c>
      <c r="U518" s="2" t="s">
        <v>3636</v>
      </c>
      <c r="V518" s="2" t="s">
        <v>80</v>
      </c>
    </row>
    <row r="519" spans="1:22">
      <c r="A519" s="2" t="s">
        <v>3637</v>
      </c>
      <c r="B519" s="2" t="s">
        <v>3638</v>
      </c>
      <c r="C519" s="2" t="s">
        <v>3639</v>
      </c>
      <c r="D519" s="2">
        <v>2024</v>
      </c>
      <c r="E519" s="3">
        <v>45292</v>
      </c>
      <c r="F519" s="2" t="s">
        <v>3640</v>
      </c>
      <c r="G519" s="2">
        <v>12</v>
      </c>
      <c r="H519" s="2">
        <v>1</v>
      </c>
      <c r="I519" s="7">
        <v>47119</v>
      </c>
      <c r="J519" s="2" t="s">
        <v>3641</v>
      </c>
      <c r="K519" s="2" t="s">
        <v>3642</v>
      </c>
      <c r="L519" s="2" t="s">
        <v>29</v>
      </c>
      <c r="M519" s="2" t="s">
        <v>3357</v>
      </c>
      <c r="N519" s="2" t="s">
        <v>3643</v>
      </c>
      <c r="O519" s="2" t="s">
        <v>3644</v>
      </c>
      <c r="P519" s="2" t="s">
        <v>3645</v>
      </c>
      <c r="Q519" s="2" t="s">
        <v>33</v>
      </c>
      <c r="R519" s="2" t="s">
        <v>3646</v>
      </c>
      <c r="S519" s="2" t="s">
        <v>511</v>
      </c>
      <c r="T519" s="2" t="s">
        <v>885</v>
      </c>
      <c r="U519" s="2" t="s">
        <v>886</v>
      </c>
      <c r="V519" s="2" t="s">
        <v>80</v>
      </c>
    </row>
    <row r="520" spans="1:22">
      <c r="A520" s="2" t="s">
        <v>3647</v>
      </c>
      <c r="B520" s="2" t="s">
        <v>3648</v>
      </c>
      <c r="C520" s="2" t="s">
        <v>3649</v>
      </c>
      <c r="D520" s="2">
        <v>2025</v>
      </c>
      <c r="E520" s="3">
        <v>46007</v>
      </c>
      <c r="F520" s="2" t="s">
        <v>731</v>
      </c>
      <c r="G520" s="2">
        <v>241</v>
      </c>
      <c r="H520" s="2" t="s">
        <v>43</v>
      </c>
      <c r="I520" s="2" t="s">
        <v>3650</v>
      </c>
      <c r="J520" s="2" t="s">
        <v>733</v>
      </c>
      <c r="K520" s="2" t="s">
        <v>734</v>
      </c>
      <c r="L520" s="2" t="s">
        <v>29</v>
      </c>
      <c r="M520" s="2" t="s">
        <v>1017</v>
      </c>
      <c r="N520" s="2" t="s">
        <v>247</v>
      </c>
      <c r="O520" s="4">
        <v>2105</v>
      </c>
      <c r="P520" s="2" t="s">
        <v>3651</v>
      </c>
      <c r="Q520" s="2" t="s">
        <v>49</v>
      </c>
      <c r="R520" s="2" t="s">
        <v>3652</v>
      </c>
      <c r="S520" s="2" t="s">
        <v>3653</v>
      </c>
      <c r="T520" s="2" t="s">
        <v>3654</v>
      </c>
      <c r="U520" s="2" t="s">
        <v>3655</v>
      </c>
      <c r="V520" s="2" t="s">
        <v>693</v>
      </c>
    </row>
    <row r="521" spans="1:22">
      <c r="A521" s="2" t="s">
        <v>1751</v>
      </c>
      <c r="B521" s="2" t="s">
        <v>3648</v>
      </c>
      <c r="C521" s="2" t="s">
        <v>3649</v>
      </c>
      <c r="D521" s="2">
        <v>2025</v>
      </c>
      <c r="E521" s="3">
        <v>46007</v>
      </c>
      <c r="F521" s="2" t="s">
        <v>731</v>
      </c>
      <c r="G521" s="2">
        <v>241</v>
      </c>
      <c r="H521" s="2" t="s">
        <v>43</v>
      </c>
      <c r="I521" s="2" t="s">
        <v>3650</v>
      </c>
      <c r="J521" s="2" t="s">
        <v>733</v>
      </c>
      <c r="K521" s="2" t="s">
        <v>734</v>
      </c>
      <c r="L521" s="2" t="s">
        <v>29</v>
      </c>
      <c r="M521" s="2" t="s">
        <v>1017</v>
      </c>
      <c r="N521" s="2" t="s">
        <v>247</v>
      </c>
      <c r="O521" s="4">
        <v>2105</v>
      </c>
      <c r="P521" s="2" t="s">
        <v>3651</v>
      </c>
      <c r="Q521" s="2" t="s">
        <v>49</v>
      </c>
      <c r="R521" s="2" t="s">
        <v>3652</v>
      </c>
      <c r="S521" s="2" t="s">
        <v>3653</v>
      </c>
      <c r="T521" s="2" t="s">
        <v>3654</v>
      </c>
      <c r="U521" s="2" t="s">
        <v>3655</v>
      </c>
      <c r="V521" s="2" t="s">
        <v>693</v>
      </c>
    </row>
    <row r="522" spans="1:22">
      <c r="A522" s="2" t="s">
        <v>2763</v>
      </c>
      <c r="B522" s="2" t="s">
        <v>3656</v>
      </c>
      <c r="C522" s="2" t="s">
        <v>3657</v>
      </c>
      <c r="D522" s="2">
        <v>2025</v>
      </c>
      <c r="E522" s="3">
        <v>45658</v>
      </c>
      <c r="F522" s="2" t="s">
        <v>3658</v>
      </c>
      <c r="G522" s="2">
        <v>50</v>
      </c>
      <c r="H522" s="2">
        <v>2</v>
      </c>
      <c r="I522" s="2" t="s">
        <v>3659</v>
      </c>
      <c r="J522" s="2" t="s">
        <v>3660</v>
      </c>
      <c r="K522" s="2" t="s">
        <v>3661</v>
      </c>
      <c r="L522" s="2" t="s">
        <v>29</v>
      </c>
      <c r="M522" s="2" t="s">
        <v>1691</v>
      </c>
      <c r="N522" s="2" t="s">
        <v>2797</v>
      </c>
      <c r="O522" s="2" t="s">
        <v>3662</v>
      </c>
      <c r="P522" s="2" t="s">
        <v>3663</v>
      </c>
      <c r="Q522" s="2" t="s">
        <v>33</v>
      </c>
      <c r="R522" s="2" t="s">
        <v>3664</v>
      </c>
      <c r="S522" s="2" t="s">
        <v>3665</v>
      </c>
      <c r="T522" s="2" t="s">
        <v>3666</v>
      </c>
      <c r="U522" s="2" t="s">
        <v>3667</v>
      </c>
      <c r="V522" s="2" t="s">
        <v>80</v>
      </c>
    </row>
    <row r="523" spans="1:22">
      <c r="A523" s="2" t="s">
        <v>3668</v>
      </c>
      <c r="B523" s="2" t="s">
        <v>3669</v>
      </c>
      <c r="C523" s="2" t="s">
        <v>3670</v>
      </c>
      <c r="D523" s="2">
        <v>2024</v>
      </c>
      <c r="E523" s="3">
        <v>45408</v>
      </c>
      <c r="F523" s="2" t="s">
        <v>3671</v>
      </c>
      <c r="G523" s="2">
        <v>24</v>
      </c>
      <c r="H523" s="2">
        <v>2</v>
      </c>
      <c r="I523" s="2" t="s">
        <v>43</v>
      </c>
      <c r="J523" s="2" t="s">
        <v>3672</v>
      </c>
      <c r="K523" s="2" t="s">
        <v>3673</v>
      </c>
      <c r="L523" s="2" t="s">
        <v>1867</v>
      </c>
      <c r="M523" s="2" t="s">
        <v>47</v>
      </c>
      <c r="N523" s="2" t="s">
        <v>3674</v>
      </c>
      <c r="O523" s="2" t="s">
        <v>2423</v>
      </c>
      <c r="P523" s="2" t="s">
        <v>3675</v>
      </c>
      <c r="Q523" s="2" t="s">
        <v>3676</v>
      </c>
      <c r="R523" s="2" t="s">
        <v>3677</v>
      </c>
      <c r="S523" s="2" t="s">
        <v>3678</v>
      </c>
      <c r="T523" s="2" t="s">
        <v>3679</v>
      </c>
      <c r="U523" s="2" t="s">
        <v>3680</v>
      </c>
      <c r="V523" s="2" t="s">
        <v>1380</v>
      </c>
    </row>
    <row r="524" spans="1:22">
      <c r="A524" s="2" t="s">
        <v>3141</v>
      </c>
      <c r="B524" s="2" t="s">
        <v>3681</v>
      </c>
      <c r="C524" s="2" t="s">
        <v>3682</v>
      </c>
      <c r="D524" s="2">
        <v>2024</v>
      </c>
      <c r="E524" s="3">
        <v>45627</v>
      </c>
      <c r="F524" s="2" t="s">
        <v>2912</v>
      </c>
      <c r="G524" s="2">
        <v>51</v>
      </c>
      <c r="H524" s="2">
        <v>6</v>
      </c>
      <c r="I524" s="2" t="s">
        <v>3683</v>
      </c>
      <c r="J524" s="2" t="s">
        <v>2914</v>
      </c>
      <c r="K524" s="2" t="s">
        <v>2915</v>
      </c>
      <c r="L524" s="2" t="s">
        <v>1867</v>
      </c>
      <c r="M524" s="2" t="s">
        <v>2155</v>
      </c>
      <c r="N524" s="2" t="s">
        <v>3684</v>
      </c>
      <c r="O524" s="2" t="s">
        <v>3685</v>
      </c>
      <c r="P524" s="2" t="s">
        <v>3686</v>
      </c>
      <c r="Q524" s="2" t="s">
        <v>644</v>
      </c>
      <c r="R524" s="2" t="s">
        <v>3687</v>
      </c>
      <c r="S524" s="2" t="s">
        <v>79</v>
      </c>
      <c r="T524" s="5">
        <v>601053680000000</v>
      </c>
      <c r="U524" s="2" t="s">
        <v>79</v>
      </c>
      <c r="V524" s="2" t="s">
        <v>80</v>
      </c>
    </row>
    <row r="525" spans="1:22">
      <c r="A525" s="2" t="s">
        <v>1024</v>
      </c>
      <c r="B525" s="2" t="s">
        <v>3681</v>
      </c>
      <c r="C525" s="2" t="s">
        <v>3682</v>
      </c>
      <c r="D525" s="2">
        <v>2024</v>
      </c>
      <c r="E525" s="3">
        <v>45627</v>
      </c>
      <c r="F525" s="2" t="s">
        <v>2912</v>
      </c>
      <c r="G525" s="2">
        <v>51</v>
      </c>
      <c r="H525" s="2">
        <v>6</v>
      </c>
      <c r="I525" s="2" t="s">
        <v>3683</v>
      </c>
      <c r="J525" s="2" t="s">
        <v>2914</v>
      </c>
      <c r="K525" s="2" t="s">
        <v>2915</v>
      </c>
      <c r="L525" s="2" t="s">
        <v>1867</v>
      </c>
      <c r="M525" s="2" t="s">
        <v>2155</v>
      </c>
      <c r="N525" s="2" t="s">
        <v>3684</v>
      </c>
      <c r="O525" s="2" t="s">
        <v>3685</v>
      </c>
      <c r="P525" s="2" t="s">
        <v>3686</v>
      </c>
      <c r="Q525" s="2" t="s">
        <v>644</v>
      </c>
      <c r="R525" s="2" t="s">
        <v>3687</v>
      </c>
      <c r="S525" s="2" t="s">
        <v>79</v>
      </c>
      <c r="T525" s="5">
        <v>601053680000000</v>
      </c>
      <c r="U525" s="2" t="s">
        <v>79</v>
      </c>
      <c r="V525" s="2" t="s">
        <v>80</v>
      </c>
    </row>
    <row r="526" spans="1:22">
      <c r="A526" s="2" t="s">
        <v>3688</v>
      </c>
      <c r="B526" s="2" t="s">
        <v>3681</v>
      </c>
      <c r="C526" s="2" t="s">
        <v>3682</v>
      </c>
      <c r="D526" s="2">
        <v>2024</v>
      </c>
      <c r="E526" s="3">
        <v>45627</v>
      </c>
      <c r="F526" s="2" t="s">
        <v>2912</v>
      </c>
      <c r="G526" s="2">
        <v>51</v>
      </c>
      <c r="H526" s="2">
        <v>6</v>
      </c>
      <c r="I526" s="2" t="s">
        <v>3683</v>
      </c>
      <c r="J526" s="2" t="s">
        <v>2914</v>
      </c>
      <c r="K526" s="2" t="s">
        <v>2915</v>
      </c>
      <c r="L526" s="2" t="s">
        <v>1867</v>
      </c>
      <c r="M526" s="2" t="s">
        <v>2155</v>
      </c>
      <c r="N526" s="2" t="s">
        <v>3684</v>
      </c>
      <c r="O526" s="2" t="s">
        <v>3685</v>
      </c>
      <c r="P526" s="2" t="s">
        <v>3686</v>
      </c>
      <c r="Q526" s="2" t="s">
        <v>644</v>
      </c>
      <c r="R526" s="2" t="s">
        <v>3687</v>
      </c>
      <c r="S526" s="2" t="s">
        <v>79</v>
      </c>
      <c r="T526" s="5">
        <v>601053680000000</v>
      </c>
      <c r="U526" s="2" t="s">
        <v>79</v>
      </c>
      <c r="V526" s="2" t="s">
        <v>80</v>
      </c>
    </row>
    <row r="527" spans="1:22">
      <c r="A527" s="2" t="s">
        <v>3689</v>
      </c>
      <c r="B527" s="2" t="s">
        <v>3690</v>
      </c>
      <c r="C527" s="2" t="s">
        <v>3691</v>
      </c>
      <c r="D527" s="2">
        <v>2025</v>
      </c>
      <c r="E527" s="3">
        <v>45931</v>
      </c>
      <c r="F527" s="2" t="s">
        <v>3692</v>
      </c>
      <c r="G527" s="2">
        <v>31</v>
      </c>
      <c r="H527" s="2">
        <v>7</v>
      </c>
      <c r="I527" s="2" t="s">
        <v>3693</v>
      </c>
      <c r="J527" s="2" t="s">
        <v>3694</v>
      </c>
      <c r="K527" s="2" t="s">
        <v>45</v>
      </c>
      <c r="L527" s="2" t="s">
        <v>29</v>
      </c>
      <c r="M527" s="2" t="s">
        <v>2785</v>
      </c>
      <c r="N527" s="2" t="s">
        <v>807</v>
      </c>
      <c r="O527" s="2" t="s">
        <v>654</v>
      </c>
      <c r="P527" s="2" t="s">
        <v>3695</v>
      </c>
      <c r="Q527" s="2" t="s">
        <v>33</v>
      </c>
      <c r="R527" s="2" t="s">
        <v>3696</v>
      </c>
      <c r="S527" s="2" t="s">
        <v>3697</v>
      </c>
      <c r="T527" s="2" t="s">
        <v>3698</v>
      </c>
      <c r="U527" s="2" t="s">
        <v>3699</v>
      </c>
      <c r="V527" s="2" t="s">
        <v>594</v>
      </c>
    </row>
    <row r="528" spans="1:22">
      <c r="A528" s="2" t="s">
        <v>3700</v>
      </c>
      <c r="B528" s="2" t="s">
        <v>3701</v>
      </c>
      <c r="C528" s="2" t="s">
        <v>3702</v>
      </c>
      <c r="D528" s="2">
        <v>2024</v>
      </c>
      <c r="E528" s="3">
        <v>45292</v>
      </c>
      <c r="F528" s="2" t="s">
        <v>3703</v>
      </c>
      <c r="G528" s="2" t="s">
        <v>43</v>
      </c>
      <c r="H528" s="2" t="s">
        <v>43</v>
      </c>
      <c r="I528" s="2" t="s">
        <v>43</v>
      </c>
      <c r="J528" s="2" t="s">
        <v>3704</v>
      </c>
      <c r="K528" s="2" t="s">
        <v>3705</v>
      </c>
      <c r="L528" s="2" t="s">
        <v>29</v>
      </c>
      <c r="M528" s="2" t="s">
        <v>2203</v>
      </c>
      <c r="N528" s="2" t="s">
        <v>3706</v>
      </c>
      <c r="O528" s="2" t="s">
        <v>43</v>
      </c>
      <c r="P528" s="2" t="s">
        <v>3707</v>
      </c>
      <c r="Q528" s="2" t="s">
        <v>2112</v>
      </c>
      <c r="R528" s="2" t="s">
        <v>3708</v>
      </c>
      <c r="S528" s="2" t="s">
        <v>3709</v>
      </c>
      <c r="T528" s="2" t="s">
        <v>3710</v>
      </c>
      <c r="U528" s="2" t="s">
        <v>3709</v>
      </c>
      <c r="V528" s="2" t="s">
        <v>80</v>
      </c>
    </row>
    <row r="529" spans="1:22">
      <c r="A529" s="2" t="s">
        <v>1983</v>
      </c>
      <c r="B529" s="2" t="s">
        <v>3711</v>
      </c>
      <c r="C529" s="2" t="s">
        <v>3712</v>
      </c>
      <c r="D529" s="2">
        <v>2025</v>
      </c>
      <c r="E529" s="3">
        <v>45992</v>
      </c>
      <c r="F529" s="2" t="s">
        <v>3713</v>
      </c>
      <c r="G529" s="2">
        <v>5</v>
      </c>
      <c r="H529" s="2">
        <v>12</v>
      </c>
      <c r="I529" s="2" t="s">
        <v>43</v>
      </c>
      <c r="J529" s="2" t="s">
        <v>3714</v>
      </c>
      <c r="K529" s="2" t="s">
        <v>61</v>
      </c>
      <c r="L529" s="2" t="s">
        <v>29</v>
      </c>
      <c r="M529" s="2" t="s">
        <v>105</v>
      </c>
      <c r="N529" s="2" t="s">
        <v>3715</v>
      </c>
      <c r="O529" s="2" t="s">
        <v>3716</v>
      </c>
      <c r="P529" s="2" t="s">
        <v>3717</v>
      </c>
      <c r="Q529" s="2" t="s">
        <v>33</v>
      </c>
      <c r="R529" s="2" t="s">
        <v>3718</v>
      </c>
      <c r="S529" s="2" t="s">
        <v>3719</v>
      </c>
      <c r="T529" s="2" t="s">
        <v>3720</v>
      </c>
      <c r="U529" s="2" t="s">
        <v>3721</v>
      </c>
      <c r="V529" s="2" t="s">
        <v>594</v>
      </c>
    </row>
    <row r="530" spans="1:22">
      <c r="A530" s="2" t="s">
        <v>2672</v>
      </c>
      <c r="B530" s="2" t="s">
        <v>3722</v>
      </c>
      <c r="C530" s="2" t="s">
        <v>3723</v>
      </c>
      <c r="D530" s="2">
        <v>2025</v>
      </c>
      <c r="E530" s="3">
        <v>45976</v>
      </c>
      <c r="F530" s="2" t="s">
        <v>3724</v>
      </c>
      <c r="G530" s="2">
        <v>709</v>
      </c>
      <c r="H530" s="2" t="s">
        <v>43</v>
      </c>
      <c r="I530" s="2" t="s">
        <v>43</v>
      </c>
      <c r="J530" s="2" t="s">
        <v>3725</v>
      </c>
      <c r="K530" s="2" t="s">
        <v>103</v>
      </c>
      <c r="L530" s="2" t="s">
        <v>29</v>
      </c>
      <c r="M530" s="2" t="s">
        <v>1072</v>
      </c>
      <c r="N530" s="2" t="s">
        <v>498</v>
      </c>
      <c r="O530" s="4">
        <v>1117</v>
      </c>
      <c r="P530" s="2" t="s">
        <v>3726</v>
      </c>
      <c r="Q530" s="2" t="s">
        <v>33</v>
      </c>
      <c r="R530" s="2" t="s">
        <v>3727</v>
      </c>
      <c r="S530" s="2" t="s">
        <v>3728</v>
      </c>
      <c r="T530" s="2" t="s">
        <v>3729</v>
      </c>
      <c r="U530" s="2" t="s">
        <v>3730</v>
      </c>
      <c r="V530" s="2" t="s">
        <v>621</v>
      </c>
    </row>
    <row r="531" spans="1:22">
      <c r="A531" s="2" t="s">
        <v>200</v>
      </c>
      <c r="B531" s="2" t="s">
        <v>3731</v>
      </c>
      <c r="C531" s="2" t="s">
        <v>3732</v>
      </c>
      <c r="D531" s="2">
        <v>2024</v>
      </c>
      <c r="E531" s="3">
        <v>45292</v>
      </c>
      <c r="F531" s="2" t="s">
        <v>3733</v>
      </c>
      <c r="G531" s="2">
        <v>9</v>
      </c>
      <c r="H531" s="2" t="s">
        <v>43</v>
      </c>
      <c r="I531" s="2" t="s">
        <v>43</v>
      </c>
      <c r="J531" s="2" t="s">
        <v>3734</v>
      </c>
      <c r="K531" s="2" t="s">
        <v>45</v>
      </c>
      <c r="L531" s="2" t="s">
        <v>29</v>
      </c>
      <c r="M531" s="2" t="s">
        <v>1326</v>
      </c>
      <c r="N531" s="2" t="s">
        <v>234</v>
      </c>
      <c r="O531" s="2" t="s">
        <v>3735</v>
      </c>
      <c r="P531" s="2" t="s">
        <v>3736</v>
      </c>
      <c r="Q531" s="2" t="s">
        <v>33</v>
      </c>
      <c r="R531" s="2" t="s">
        <v>3737</v>
      </c>
      <c r="S531" s="2" t="s">
        <v>3738</v>
      </c>
      <c r="T531" s="2" t="s">
        <v>3739</v>
      </c>
      <c r="U531" s="2" t="s">
        <v>3740</v>
      </c>
      <c r="V531" s="2" t="s">
        <v>3741</v>
      </c>
    </row>
    <row r="532" spans="1:22">
      <c r="A532" s="2" t="s">
        <v>1109</v>
      </c>
      <c r="B532" s="2" t="s">
        <v>3742</v>
      </c>
      <c r="C532" s="2" t="s">
        <v>3743</v>
      </c>
      <c r="D532" s="2">
        <v>2025</v>
      </c>
      <c r="E532" s="3">
        <v>45658</v>
      </c>
      <c r="F532" s="2" t="s">
        <v>1112</v>
      </c>
      <c r="G532" s="2">
        <v>71</v>
      </c>
      <c r="H532" s="2" t="s">
        <v>43</v>
      </c>
      <c r="I532" s="2" t="s">
        <v>43</v>
      </c>
      <c r="J532" s="2" t="s">
        <v>1113</v>
      </c>
      <c r="K532" s="2" t="s">
        <v>45</v>
      </c>
      <c r="L532" s="2" t="s">
        <v>29</v>
      </c>
      <c r="M532" s="2" t="s">
        <v>1114</v>
      </c>
      <c r="N532" s="2" t="s">
        <v>75</v>
      </c>
      <c r="O532" s="4">
        <v>1672</v>
      </c>
      <c r="P532" s="2" t="s">
        <v>3744</v>
      </c>
      <c r="Q532" s="2" t="s">
        <v>33</v>
      </c>
      <c r="R532" s="2" t="s">
        <v>3745</v>
      </c>
      <c r="S532" s="2" t="s">
        <v>1117</v>
      </c>
      <c r="T532" s="2" t="s">
        <v>2961</v>
      </c>
      <c r="U532" s="2" t="s">
        <v>2962</v>
      </c>
      <c r="V532" s="2" t="s">
        <v>80</v>
      </c>
    </row>
    <row r="533" spans="1:22">
      <c r="A533" s="2" t="s">
        <v>967</v>
      </c>
      <c r="B533" s="2" t="s">
        <v>3746</v>
      </c>
      <c r="C533" s="2" t="s">
        <v>3747</v>
      </c>
      <c r="D533" s="2">
        <v>2025</v>
      </c>
      <c r="E533" s="3">
        <v>45717</v>
      </c>
      <c r="F533" s="2" t="s">
        <v>3748</v>
      </c>
      <c r="G533" s="2">
        <v>10</v>
      </c>
      <c r="H533" s="2">
        <v>1</v>
      </c>
      <c r="I533" s="2" t="s">
        <v>43</v>
      </c>
      <c r="J533" s="2" t="s">
        <v>3749</v>
      </c>
      <c r="K533" s="2" t="s">
        <v>61</v>
      </c>
      <c r="L533" s="2" t="s">
        <v>29</v>
      </c>
      <c r="M533" s="2" t="s">
        <v>3750</v>
      </c>
      <c r="N533" s="2" t="s">
        <v>1327</v>
      </c>
      <c r="O533" s="2" t="s">
        <v>3751</v>
      </c>
      <c r="P533" s="2" t="s">
        <v>3752</v>
      </c>
      <c r="Q533" s="2" t="s">
        <v>33</v>
      </c>
      <c r="R533" s="2" t="s">
        <v>3753</v>
      </c>
      <c r="S533" s="2" t="s">
        <v>398</v>
      </c>
      <c r="T533" s="2" t="s">
        <v>3754</v>
      </c>
      <c r="U533" s="2" t="s">
        <v>3755</v>
      </c>
      <c r="V533" s="2" t="s">
        <v>80</v>
      </c>
    </row>
    <row r="534" spans="1:22">
      <c r="A534" s="2" t="s">
        <v>22</v>
      </c>
      <c r="B534" s="2" t="s">
        <v>3756</v>
      </c>
      <c r="C534" s="2" t="s">
        <v>3757</v>
      </c>
      <c r="D534" s="2">
        <v>2025</v>
      </c>
      <c r="E534" s="3">
        <v>45658</v>
      </c>
      <c r="F534" s="2" t="s">
        <v>3758</v>
      </c>
      <c r="G534" s="2">
        <v>7</v>
      </c>
      <c r="H534" s="2" t="s">
        <v>43</v>
      </c>
      <c r="I534" s="2" t="s">
        <v>43</v>
      </c>
      <c r="J534" s="2" t="s">
        <v>3759</v>
      </c>
      <c r="K534" s="2" t="s">
        <v>183</v>
      </c>
      <c r="L534" s="2" t="s">
        <v>29</v>
      </c>
      <c r="M534" s="2" t="s">
        <v>2052</v>
      </c>
      <c r="N534" s="2" t="s">
        <v>247</v>
      </c>
      <c r="O534" s="2" t="s">
        <v>3760</v>
      </c>
      <c r="P534" s="2" t="s">
        <v>3761</v>
      </c>
      <c r="Q534" s="2" t="s">
        <v>33</v>
      </c>
      <c r="R534" s="2" t="s">
        <v>3762</v>
      </c>
      <c r="S534" s="2" t="s">
        <v>3763</v>
      </c>
      <c r="T534" s="2" t="s">
        <v>3764</v>
      </c>
      <c r="U534" s="2" t="s">
        <v>3765</v>
      </c>
      <c r="V534" s="2" t="s">
        <v>1408</v>
      </c>
    </row>
    <row r="535" spans="1:22">
      <c r="A535" s="2" t="s">
        <v>1916</v>
      </c>
      <c r="B535" s="2" t="s">
        <v>3766</v>
      </c>
      <c r="C535" s="2" t="s">
        <v>3767</v>
      </c>
      <c r="D535" s="2">
        <v>2024</v>
      </c>
      <c r="E535" s="3">
        <v>45444</v>
      </c>
      <c r="F535" s="2" t="s">
        <v>3077</v>
      </c>
      <c r="G535" s="2">
        <v>33</v>
      </c>
      <c r="H535" s="2">
        <v>7</v>
      </c>
      <c r="I535" s="2" t="s">
        <v>3768</v>
      </c>
      <c r="J535" s="2" t="s">
        <v>3078</v>
      </c>
      <c r="K535" s="2" t="s">
        <v>302</v>
      </c>
      <c r="L535" s="2" t="s">
        <v>29</v>
      </c>
      <c r="M535" s="2" t="s">
        <v>2110</v>
      </c>
      <c r="N535" s="2" t="s">
        <v>775</v>
      </c>
      <c r="O535" s="2" t="s">
        <v>3769</v>
      </c>
      <c r="P535" s="2" t="s">
        <v>3770</v>
      </c>
      <c r="Q535" s="2" t="s">
        <v>33</v>
      </c>
      <c r="R535" s="2" t="s">
        <v>3771</v>
      </c>
      <c r="S535" s="2" t="s">
        <v>1681</v>
      </c>
      <c r="T535" s="2" t="s">
        <v>3772</v>
      </c>
      <c r="U535" s="2" t="s">
        <v>3773</v>
      </c>
      <c r="V535" s="2" t="s">
        <v>80</v>
      </c>
    </row>
    <row r="536" spans="1:22">
      <c r="A536" s="2" t="s">
        <v>1012</v>
      </c>
      <c r="B536" s="2" t="s">
        <v>3774</v>
      </c>
      <c r="C536" s="2" t="s">
        <v>3775</v>
      </c>
      <c r="D536" s="2">
        <v>2025</v>
      </c>
      <c r="E536" s="3">
        <v>45658</v>
      </c>
      <c r="F536" s="2" t="s">
        <v>743</v>
      </c>
      <c r="G536" s="2">
        <v>16</v>
      </c>
      <c r="H536" s="2" t="s">
        <v>43</v>
      </c>
      <c r="I536" s="2" t="s">
        <v>43</v>
      </c>
      <c r="J536" s="2" t="s">
        <v>744</v>
      </c>
      <c r="K536" s="2" t="s">
        <v>183</v>
      </c>
      <c r="L536" s="2" t="s">
        <v>29</v>
      </c>
      <c r="M536" s="2" t="s">
        <v>247</v>
      </c>
      <c r="N536" s="2" t="s">
        <v>63</v>
      </c>
      <c r="O536" s="4">
        <v>1065</v>
      </c>
      <c r="P536" s="2" t="s">
        <v>3776</v>
      </c>
      <c r="Q536" s="2" t="s">
        <v>33</v>
      </c>
      <c r="R536" s="2" t="s">
        <v>3777</v>
      </c>
      <c r="S536" s="2" t="s">
        <v>3778</v>
      </c>
      <c r="T536" s="2" t="s">
        <v>3779</v>
      </c>
      <c r="U536" s="2" t="s">
        <v>3780</v>
      </c>
      <c r="V536" s="2" t="s">
        <v>80</v>
      </c>
    </row>
    <row r="537" spans="1:22">
      <c r="A537" s="2" t="s">
        <v>2099</v>
      </c>
      <c r="B537" s="2" t="s">
        <v>3781</v>
      </c>
      <c r="C537" s="2" t="s">
        <v>3782</v>
      </c>
      <c r="D537" s="2">
        <v>2024</v>
      </c>
      <c r="E537" s="3">
        <v>45292</v>
      </c>
      <c r="F537" s="2" t="s">
        <v>1421</v>
      </c>
      <c r="G537" s="2" t="s">
        <v>43</v>
      </c>
      <c r="H537" s="2" t="s">
        <v>43</v>
      </c>
      <c r="I537" s="2" t="s">
        <v>3783</v>
      </c>
      <c r="J537" s="2" t="s">
        <v>43</v>
      </c>
      <c r="K537" s="2" t="s">
        <v>1423</v>
      </c>
      <c r="L537" s="2" t="s">
        <v>29</v>
      </c>
      <c r="M537" s="2" t="s">
        <v>43</v>
      </c>
      <c r="N537" s="2" t="s">
        <v>43</v>
      </c>
      <c r="O537" s="2" t="s">
        <v>43</v>
      </c>
      <c r="P537" s="2" t="s">
        <v>43</v>
      </c>
      <c r="Q537" s="2" t="s">
        <v>1125</v>
      </c>
      <c r="R537" s="2" t="s">
        <v>3784</v>
      </c>
      <c r="S537" s="2" t="s">
        <v>79</v>
      </c>
      <c r="T537" s="2" t="s">
        <v>3785</v>
      </c>
      <c r="U537" s="2" t="s">
        <v>3786</v>
      </c>
      <c r="V537" s="2" t="s">
        <v>141</v>
      </c>
    </row>
    <row r="538" spans="1:22">
      <c r="A538" s="2" t="s">
        <v>22</v>
      </c>
      <c r="B538" s="2" t="s">
        <v>3787</v>
      </c>
      <c r="C538" s="2" t="s">
        <v>3788</v>
      </c>
      <c r="D538" s="2">
        <v>2025</v>
      </c>
      <c r="E538" s="3">
        <v>45992</v>
      </c>
      <c r="F538" s="2" t="s">
        <v>357</v>
      </c>
      <c r="G538" s="2">
        <v>20</v>
      </c>
      <c r="H538" s="2">
        <v>12</v>
      </c>
      <c r="I538" s="2" t="s">
        <v>3789</v>
      </c>
      <c r="J538" s="2" t="s">
        <v>359</v>
      </c>
      <c r="K538" s="2" t="s">
        <v>360</v>
      </c>
      <c r="L538" s="2" t="s">
        <v>29</v>
      </c>
      <c r="M538" s="2" t="s">
        <v>361</v>
      </c>
      <c r="N538" s="2" t="s">
        <v>121</v>
      </c>
      <c r="O538" s="4">
        <v>1833</v>
      </c>
      <c r="P538" s="2" t="s">
        <v>3790</v>
      </c>
      <c r="Q538" s="2" t="s">
        <v>33</v>
      </c>
      <c r="R538" s="2" t="s">
        <v>3791</v>
      </c>
      <c r="S538" s="2" t="s">
        <v>3792</v>
      </c>
      <c r="T538" s="2" t="s">
        <v>3793</v>
      </c>
      <c r="U538" s="2" t="s">
        <v>3794</v>
      </c>
      <c r="V538" s="2" t="s">
        <v>2265</v>
      </c>
    </row>
    <row r="539" spans="1:22">
      <c r="A539" s="2" t="s">
        <v>22</v>
      </c>
      <c r="B539" s="2" t="s">
        <v>3795</v>
      </c>
      <c r="C539" s="2" t="s">
        <v>3796</v>
      </c>
      <c r="D539" s="2">
        <v>2025</v>
      </c>
      <c r="E539" s="3">
        <v>45658</v>
      </c>
      <c r="F539" s="2" t="s">
        <v>3758</v>
      </c>
      <c r="G539" s="2">
        <v>7</v>
      </c>
      <c r="H539" s="2" t="s">
        <v>43</v>
      </c>
      <c r="I539" s="2" t="s">
        <v>43</v>
      </c>
      <c r="J539" s="2" t="s">
        <v>3759</v>
      </c>
      <c r="K539" s="2" t="s">
        <v>183</v>
      </c>
      <c r="L539" s="2" t="s">
        <v>29</v>
      </c>
      <c r="M539" s="2" t="s">
        <v>2052</v>
      </c>
      <c r="N539" s="2" t="s">
        <v>247</v>
      </c>
      <c r="O539" s="2" t="s">
        <v>3760</v>
      </c>
      <c r="P539" s="2" t="s">
        <v>3797</v>
      </c>
      <c r="Q539" s="2" t="s">
        <v>33</v>
      </c>
      <c r="R539" s="2" t="s">
        <v>3798</v>
      </c>
      <c r="S539" s="2" t="s">
        <v>3799</v>
      </c>
      <c r="T539" s="2" t="s">
        <v>3800</v>
      </c>
      <c r="U539" s="2" t="s">
        <v>3801</v>
      </c>
      <c r="V539" s="2" t="s">
        <v>3802</v>
      </c>
    </row>
    <row r="540" spans="1:22" ht="28.8">
      <c r="A540" s="2" t="s">
        <v>3803</v>
      </c>
      <c r="B540" s="2" t="s">
        <v>3804</v>
      </c>
      <c r="C540" s="2" t="s">
        <v>3805</v>
      </c>
      <c r="D540" s="2">
        <v>2024</v>
      </c>
      <c r="E540" s="3">
        <v>45292</v>
      </c>
      <c r="F540" s="2" t="s">
        <v>3806</v>
      </c>
      <c r="G540" s="2">
        <v>53</v>
      </c>
      <c r="H540" s="2">
        <v>1</v>
      </c>
      <c r="I540" s="2" t="s">
        <v>3807</v>
      </c>
      <c r="J540" s="2" t="s">
        <v>3808</v>
      </c>
      <c r="K540" s="2" t="s">
        <v>3809</v>
      </c>
      <c r="L540" s="2" t="s">
        <v>29</v>
      </c>
      <c r="M540" s="2" t="s">
        <v>3810</v>
      </c>
      <c r="N540" s="2" t="s">
        <v>3811</v>
      </c>
      <c r="O540" s="2" t="s">
        <v>3428</v>
      </c>
      <c r="P540" s="2" t="s">
        <v>3812</v>
      </c>
      <c r="Q540" s="2" t="s">
        <v>49</v>
      </c>
      <c r="R540" s="2" t="s">
        <v>3813</v>
      </c>
      <c r="S540" s="2" t="s">
        <v>3814</v>
      </c>
      <c r="T540" s="2" t="s">
        <v>3815</v>
      </c>
      <c r="U540" s="2" t="s">
        <v>3816</v>
      </c>
      <c r="V540" s="2" t="s">
        <v>3498</v>
      </c>
    </row>
    <row r="541" spans="1:22">
      <c r="A541" s="2" t="s">
        <v>1013</v>
      </c>
      <c r="B541" s="2" t="s">
        <v>3817</v>
      </c>
      <c r="C541" s="2" t="s">
        <v>3818</v>
      </c>
      <c r="D541" s="2">
        <v>2024</v>
      </c>
      <c r="E541" s="3">
        <v>45383</v>
      </c>
      <c r="F541" s="2" t="s">
        <v>2912</v>
      </c>
      <c r="G541" s="2">
        <v>51</v>
      </c>
      <c r="H541" s="2">
        <v>2</v>
      </c>
      <c r="I541" s="2" t="s">
        <v>3819</v>
      </c>
      <c r="J541" s="2" t="s">
        <v>3820</v>
      </c>
      <c r="K541" s="2" t="s">
        <v>2915</v>
      </c>
      <c r="L541" s="2" t="s">
        <v>1867</v>
      </c>
      <c r="M541" s="2" t="s">
        <v>2155</v>
      </c>
      <c r="N541" s="2" t="s">
        <v>3684</v>
      </c>
      <c r="O541" s="2" t="s">
        <v>3685</v>
      </c>
      <c r="P541" s="2" t="s">
        <v>3821</v>
      </c>
      <c r="Q541" s="2" t="s">
        <v>33</v>
      </c>
      <c r="R541" s="2" t="s">
        <v>3822</v>
      </c>
      <c r="S541" s="2" t="s">
        <v>3823</v>
      </c>
      <c r="T541" s="2" t="s">
        <v>3824</v>
      </c>
      <c r="U541" s="2" t="s">
        <v>3825</v>
      </c>
      <c r="V541" s="2" t="s">
        <v>80</v>
      </c>
    </row>
    <row r="542" spans="1:22">
      <c r="A542" s="2" t="s">
        <v>1024</v>
      </c>
      <c r="B542" s="2" t="s">
        <v>3817</v>
      </c>
      <c r="C542" s="2" t="s">
        <v>3818</v>
      </c>
      <c r="D542" s="2">
        <v>2024</v>
      </c>
      <c r="E542" s="3">
        <v>45383</v>
      </c>
      <c r="F542" s="2" t="s">
        <v>2912</v>
      </c>
      <c r="G542" s="2">
        <v>51</v>
      </c>
      <c r="H542" s="2">
        <v>2</v>
      </c>
      <c r="I542" s="2" t="s">
        <v>3819</v>
      </c>
      <c r="J542" s="2" t="s">
        <v>3820</v>
      </c>
      <c r="K542" s="2" t="s">
        <v>2915</v>
      </c>
      <c r="L542" s="2" t="s">
        <v>1867</v>
      </c>
      <c r="M542" s="2" t="s">
        <v>2155</v>
      </c>
      <c r="N542" s="2" t="s">
        <v>3684</v>
      </c>
      <c r="O542" s="2" t="s">
        <v>3685</v>
      </c>
      <c r="P542" s="2" t="s">
        <v>3821</v>
      </c>
      <c r="Q542" s="2" t="s">
        <v>33</v>
      </c>
      <c r="R542" s="2" t="s">
        <v>3822</v>
      </c>
      <c r="S542" s="2" t="s">
        <v>3823</v>
      </c>
      <c r="T542" s="2" t="s">
        <v>3824</v>
      </c>
      <c r="U542" s="2" t="s">
        <v>3825</v>
      </c>
      <c r="V542" s="2" t="s">
        <v>80</v>
      </c>
    </row>
    <row r="543" spans="1:22">
      <c r="A543" s="2" t="s">
        <v>3826</v>
      </c>
      <c r="B543" s="2" t="s">
        <v>3827</v>
      </c>
      <c r="C543" s="2" t="s">
        <v>3828</v>
      </c>
      <c r="D543" s="2">
        <v>2024</v>
      </c>
      <c r="E543" s="3">
        <v>45335</v>
      </c>
      <c r="F543" s="2" t="s">
        <v>3829</v>
      </c>
      <c r="G543" s="2">
        <v>14</v>
      </c>
      <c r="H543" s="2">
        <v>8</v>
      </c>
      <c r="I543" s="2" t="s">
        <v>3830</v>
      </c>
      <c r="J543" s="2" t="s">
        <v>3831</v>
      </c>
      <c r="K543" s="2" t="s">
        <v>3832</v>
      </c>
      <c r="L543" s="2" t="s">
        <v>29</v>
      </c>
      <c r="M543" s="2" t="s">
        <v>2850</v>
      </c>
      <c r="N543" s="2" t="s">
        <v>1581</v>
      </c>
      <c r="O543" s="2" t="s">
        <v>3833</v>
      </c>
      <c r="P543" s="2" t="s">
        <v>3834</v>
      </c>
      <c r="Q543" s="2" t="s">
        <v>33</v>
      </c>
      <c r="R543" s="2" t="s">
        <v>3835</v>
      </c>
      <c r="S543" s="2" t="s">
        <v>409</v>
      </c>
      <c r="T543" s="2" t="s">
        <v>410</v>
      </c>
      <c r="U543" s="2" t="s">
        <v>411</v>
      </c>
      <c r="V543" s="2" t="s">
        <v>80</v>
      </c>
    </row>
    <row r="544" spans="1:22" ht="129.6">
      <c r="A544" s="2" t="s">
        <v>3836</v>
      </c>
      <c r="B544" s="2" t="s">
        <v>3837</v>
      </c>
      <c r="C544" s="2" t="s">
        <v>3838</v>
      </c>
      <c r="D544" s="2">
        <v>2024</v>
      </c>
      <c r="E544" s="3">
        <v>45292</v>
      </c>
      <c r="F544" s="2" t="s">
        <v>3839</v>
      </c>
      <c r="G544" s="2">
        <v>29</v>
      </c>
      <c r="H544" s="2">
        <v>1</v>
      </c>
      <c r="I544" s="2" t="s">
        <v>43</v>
      </c>
      <c r="J544" s="2" t="s">
        <v>3840</v>
      </c>
      <c r="K544" s="2" t="s">
        <v>2154</v>
      </c>
      <c r="L544" s="2" t="s">
        <v>29</v>
      </c>
      <c r="M544" s="2" t="s">
        <v>3841</v>
      </c>
      <c r="N544" s="2" t="s">
        <v>105</v>
      </c>
      <c r="O544" s="4">
        <v>4022</v>
      </c>
      <c r="P544" s="2" t="s">
        <v>3842</v>
      </c>
      <c r="Q544" s="2" t="s">
        <v>3843</v>
      </c>
      <c r="R544" s="2" t="s">
        <v>3844</v>
      </c>
      <c r="S544" s="2" t="s">
        <v>3845</v>
      </c>
      <c r="T544" s="2" t="s">
        <v>3846</v>
      </c>
      <c r="U544" s="2" t="s">
        <v>3847</v>
      </c>
      <c r="V544" s="2" t="s">
        <v>3848</v>
      </c>
    </row>
    <row r="545" spans="1:22">
      <c r="A545" s="2" t="s">
        <v>3849</v>
      </c>
      <c r="B545" s="2" t="s">
        <v>3850</v>
      </c>
      <c r="C545" s="2" t="s">
        <v>3851</v>
      </c>
      <c r="D545" s="2">
        <v>2024</v>
      </c>
      <c r="E545" s="3">
        <v>45383</v>
      </c>
      <c r="F545" s="2" t="s">
        <v>3852</v>
      </c>
      <c r="G545" s="2">
        <v>68</v>
      </c>
      <c r="H545" s="2">
        <v>2</v>
      </c>
      <c r="I545" s="2" t="s">
        <v>3853</v>
      </c>
      <c r="J545" s="2" t="s">
        <v>3854</v>
      </c>
      <c r="K545" s="2" t="s">
        <v>3855</v>
      </c>
      <c r="L545" s="2" t="s">
        <v>29</v>
      </c>
      <c r="M545" s="2" t="s">
        <v>1182</v>
      </c>
      <c r="N545" s="2" t="s">
        <v>1136</v>
      </c>
      <c r="O545" s="2" t="s">
        <v>3600</v>
      </c>
      <c r="P545" s="2" t="s">
        <v>3856</v>
      </c>
      <c r="Q545" s="2" t="s">
        <v>49</v>
      </c>
      <c r="R545" s="2" t="s">
        <v>3857</v>
      </c>
      <c r="S545" s="2" t="s">
        <v>3858</v>
      </c>
      <c r="T545" s="2" t="s">
        <v>3859</v>
      </c>
      <c r="U545" s="2" t="s">
        <v>3860</v>
      </c>
      <c r="V545" s="2" t="s">
        <v>621</v>
      </c>
    </row>
    <row r="546" spans="1:22">
      <c r="A546" s="2" t="s">
        <v>3861</v>
      </c>
      <c r="B546" s="2" t="s">
        <v>3862</v>
      </c>
      <c r="C546" s="2" t="s">
        <v>3863</v>
      </c>
      <c r="D546" s="2">
        <v>2024</v>
      </c>
      <c r="E546" s="3">
        <v>45323</v>
      </c>
      <c r="F546" s="2" t="s">
        <v>3864</v>
      </c>
      <c r="G546" s="2">
        <v>37</v>
      </c>
      <c r="H546" s="2">
        <v>1</v>
      </c>
      <c r="I546" s="2" t="s">
        <v>3865</v>
      </c>
      <c r="J546" s="2" t="s">
        <v>3866</v>
      </c>
      <c r="K546" s="2" t="s">
        <v>3867</v>
      </c>
      <c r="L546" s="2" t="s">
        <v>29</v>
      </c>
      <c r="M546" s="2" t="s">
        <v>3416</v>
      </c>
      <c r="N546" s="2" t="s">
        <v>3868</v>
      </c>
      <c r="O546" s="2" t="s">
        <v>3869</v>
      </c>
      <c r="P546" s="2" t="s">
        <v>3870</v>
      </c>
      <c r="Q546" s="2" t="s">
        <v>49</v>
      </c>
      <c r="R546" s="2" t="s">
        <v>3871</v>
      </c>
      <c r="S546" s="2" t="s">
        <v>3872</v>
      </c>
      <c r="T546" s="2" t="s">
        <v>3873</v>
      </c>
      <c r="U546" s="2" t="s">
        <v>3874</v>
      </c>
      <c r="V546" s="2" t="s">
        <v>802</v>
      </c>
    </row>
    <row r="547" spans="1:22">
      <c r="A547" s="2" t="s">
        <v>433</v>
      </c>
      <c r="B547" s="2" t="s">
        <v>3875</v>
      </c>
      <c r="C547" s="2" t="s">
        <v>3876</v>
      </c>
      <c r="D547" s="2">
        <v>2024</v>
      </c>
      <c r="E547" s="3">
        <v>45413</v>
      </c>
      <c r="F547" s="2" t="s">
        <v>2392</v>
      </c>
      <c r="G547" s="2">
        <v>35</v>
      </c>
      <c r="H547" s="6">
        <v>46115</v>
      </c>
      <c r="I547" s="2" t="s">
        <v>3877</v>
      </c>
      <c r="J547" s="2" t="s">
        <v>2394</v>
      </c>
      <c r="K547" s="2" t="s">
        <v>392</v>
      </c>
      <c r="L547" s="2" t="s">
        <v>773</v>
      </c>
      <c r="M547" s="2" t="s">
        <v>47</v>
      </c>
      <c r="N547" s="2" t="s">
        <v>2395</v>
      </c>
      <c r="O547" s="2" t="s">
        <v>2396</v>
      </c>
      <c r="P547" s="2" t="s">
        <v>3878</v>
      </c>
      <c r="Q547" s="2" t="s">
        <v>33</v>
      </c>
      <c r="R547" s="2" t="s">
        <v>3879</v>
      </c>
      <c r="S547" s="2" t="s">
        <v>1681</v>
      </c>
      <c r="T547" s="2" t="s">
        <v>2561</v>
      </c>
      <c r="U547" s="2" t="s">
        <v>2562</v>
      </c>
      <c r="V547" s="2" t="s">
        <v>80</v>
      </c>
    </row>
    <row r="548" spans="1:22">
      <c r="A548" s="2" t="s">
        <v>3880</v>
      </c>
      <c r="B548" s="2" t="s">
        <v>3881</v>
      </c>
      <c r="C548" s="2" t="s">
        <v>3882</v>
      </c>
      <c r="D548" s="2">
        <v>2024</v>
      </c>
      <c r="E548" s="3">
        <v>45536</v>
      </c>
      <c r="F548" s="2" t="s">
        <v>3883</v>
      </c>
      <c r="G548" s="2" t="s">
        <v>43</v>
      </c>
      <c r="H548" s="2">
        <v>53</v>
      </c>
      <c r="I548" s="2" t="s">
        <v>43</v>
      </c>
      <c r="J548" s="2" t="s">
        <v>3884</v>
      </c>
      <c r="K548" s="2" t="s">
        <v>3885</v>
      </c>
      <c r="L548" s="2" t="s">
        <v>1867</v>
      </c>
      <c r="M548" s="2" t="s">
        <v>2423</v>
      </c>
      <c r="N548" s="2" t="s">
        <v>3886</v>
      </c>
      <c r="O548" s="2" t="s">
        <v>3887</v>
      </c>
      <c r="P548" s="2" t="s">
        <v>43</v>
      </c>
      <c r="Q548" s="2" t="s">
        <v>33</v>
      </c>
      <c r="R548" s="2" t="s">
        <v>3888</v>
      </c>
      <c r="S548" s="2" t="s">
        <v>3889</v>
      </c>
      <c r="T548" s="2" t="s">
        <v>3890</v>
      </c>
      <c r="U548" s="2" t="s">
        <v>3891</v>
      </c>
      <c r="V548" s="2" t="s">
        <v>80</v>
      </c>
    </row>
    <row r="549" spans="1:22">
      <c r="A549" s="2" t="s">
        <v>3892</v>
      </c>
      <c r="B549" s="2" t="s">
        <v>3893</v>
      </c>
      <c r="C549" s="2" t="s">
        <v>3894</v>
      </c>
      <c r="D549" s="2">
        <v>2025</v>
      </c>
      <c r="E549" s="3">
        <v>45658</v>
      </c>
      <c r="F549" s="2" t="s">
        <v>2392</v>
      </c>
      <c r="G549" s="2">
        <v>36</v>
      </c>
      <c r="H549" s="2">
        <v>1</v>
      </c>
      <c r="I549" s="2" t="s">
        <v>3895</v>
      </c>
      <c r="J549" s="2" t="s">
        <v>2394</v>
      </c>
      <c r="K549" s="2" t="s">
        <v>392</v>
      </c>
      <c r="L549" s="2" t="s">
        <v>773</v>
      </c>
      <c r="M549" s="2" t="s">
        <v>1948</v>
      </c>
      <c r="N549" s="2" t="s">
        <v>2156</v>
      </c>
      <c r="O549" s="2" t="s">
        <v>3438</v>
      </c>
      <c r="P549" s="2" t="s">
        <v>3896</v>
      </c>
      <c r="Q549" s="2" t="s">
        <v>33</v>
      </c>
      <c r="R549" s="2" t="s">
        <v>3897</v>
      </c>
      <c r="S549" s="2" t="s">
        <v>1681</v>
      </c>
      <c r="T549" s="2" t="s">
        <v>3898</v>
      </c>
      <c r="U549" s="2" t="s">
        <v>3899</v>
      </c>
      <c r="V549" s="2" t="s">
        <v>80</v>
      </c>
    </row>
    <row r="550" spans="1:22">
      <c r="A550" s="2" t="s">
        <v>3900</v>
      </c>
      <c r="B550" s="2" t="s">
        <v>3893</v>
      </c>
      <c r="C550" s="2" t="s">
        <v>3894</v>
      </c>
      <c r="D550" s="2">
        <v>2025</v>
      </c>
      <c r="E550" s="3">
        <v>45658</v>
      </c>
      <c r="F550" s="2" t="s">
        <v>2392</v>
      </c>
      <c r="G550" s="2">
        <v>36</v>
      </c>
      <c r="H550" s="2">
        <v>1</v>
      </c>
      <c r="I550" s="2" t="s">
        <v>3895</v>
      </c>
      <c r="J550" s="2" t="s">
        <v>2394</v>
      </c>
      <c r="K550" s="2" t="s">
        <v>392</v>
      </c>
      <c r="L550" s="2" t="s">
        <v>773</v>
      </c>
      <c r="M550" s="2" t="s">
        <v>1948</v>
      </c>
      <c r="N550" s="2" t="s">
        <v>2156</v>
      </c>
      <c r="O550" s="2" t="s">
        <v>3438</v>
      </c>
      <c r="P550" s="2" t="s">
        <v>3896</v>
      </c>
      <c r="Q550" s="2" t="s">
        <v>33</v>
      </c>
      <c r="R550" s="2" t="s">
        <v>3897</v>
      </c>
      <c r="S550" s="2" t="s">
        <v>1681</v>
      </c>
      <c r="T550" s="2" t="s">
        <v>3898</v>
      </c>
      <c r="U550" s="2" t="s">
        <v>3899</v>
      </c>
      <c r="V550" s="2" t="s">
        <v>80</v>
      </c>
    </row>
    <row r="551" spans="1:22">
      <c r="A551" s="2" t="s">
        <v>3901</v>
      </c>
      <c r="B551" s="2" t="s">
        <v>3893</v>
      </c>
      <c r="C551" s="2" t="s">
        <v>3894</v>
      </c>
      <c r="D551" s="2">
        <v>2025</v>
      </c>
      <c r="E551" s="3">
        <v>45658</v>
      </c>
      <c r="F551" s="2" t="s">
        <v>2392</v>
      </c>
      <c r="G551" s="2">
        <v>36</v>
      </c>
      <c r="H551" s="2">
        <v>1</v>
      </c>
      <c r="I551" s="2" t="s">
        <v>3895</v>
      </c>
      <c r="J551" s="2" t="s">
        <v>2394</v>
      </c>
      <c r="K551" s="2" t="s">
        <v>392</v>
      </c>
      <c r="L551" s="2" t="s">
        <v>773</v>
      </c>
      <c r="M551" s="2" t="s">
        <v>1948</v>
      </c>
      <c r="N551" s="2" t="s">
        <v>2156</v>
      </c>
      <c r="O551" s="2" t="s">
        <v>3438</v>
      </c>
      <c r="P551" s="2" t="s">
        <v>3896</v>
      </c>
      <c r="Q551" s="2" t="s">
        <v>33</v>
      </c>
      <c r="R551" s="2" t="s">
        <v>3897</v>
      </c>
      <c r="S551" s="2" t="s">
        <v>1681</v>
      </c>
      <c r="T551" s="2" t="s">
        <v>3898</v>
      </c>
      <c r="U551" s="2" t="s">
        <v>3899</v>
      </c>
      <c r="V551" s="2" t="s">
        <v>80</v>
      </c>
    </row>
    <row r="552" spans="1:22">
      <c r="A552" s="2" t="s">
        <v>3902</v>
      </c>
      <c r="B552" s="2" t="s">
        <v>3893</v>
      </c>
      <c r="C552" s="2" t="s">
        <v>3894</v>
      </c>
      <c r="D552" s="2">
        <v>2025</v>
      </c>
      <c r="E552" s="3">
        <v>45658</v>
      </c>
      <c r="F552" s="2" t="s">
        <v>2392</v>
      </c>
      <c r="G552" s="2">
        <v>36</v>
      </c>
      <c r="H552" s="2">
        <v>1</v>
      </c>
      <c r="I552" s="2" t="s">
        <v>3895</v>
      </c>
      <c r="J552" s="2" t="s">
        <v>2394</v>
      </c>
      <c r="K552" s="2" t="s">
        <v>392</v>
      </c>
      <c r="L552" s="2" t="s">
        <v>773</v>
      </c>
      <c r="M552" s="2" t="s">
        <v>1948</v>
      </c>
      <c r="N552" s="2" t="s">
        <v>2156</v>
      </c>
      <c r="O552" s="2" t="s">
        <v>3438</v>
      </c>
      <c r="P552" s="2" t="s">
        <v>3896</v>
      </c>
      <c r="Q552" s="2" t="s">
        <v>33</v>
      </c>
      <c r="R552" s="2" t="s">
        <v>3897</v>
      </c>
      <c r="S552" s="2" t="s">
        <v>1681</v>
      </c>
      <c r="T552" s="2" t="s">
        <v>3898</v>
      </c>
      <c r="U552" s="2" t="s">
        <v>3899</v>
      </c>
      <c r="V552" s="2" t="s">
        <v>80</v>
      </c>
    </row>
    <row r="553" spans="1:22">
      <c r="A553" s="2" t="s">
        <v>3903</v>
      </c>
      <c r="B553" s="2" t="s">
        <v>3893</v>
      </c>
      <c r="C553" s="2" t="s">
        <v>3894</v>
      </c>
      <c r="D553" s="2">
        <v>2025</v>
      </c>
      <c r="E553" s="3">
        <v>45658</v>
      </c>
      <c r="F553" s="2" t="s">
        <v>2392</v>
      </c>
      <c r="G553" s="2">
        <v>36</v>
      </c>
      <c r="H553" s="2">
        <v>1</v>
      </c>
      <c r="I553" s="2" t="s">
        <v>3895</v>
      </c>
      <c r="J553" s="2" t="s">
        <v>2394</v>
      </c>
      <c r="K553" s="2" t="s">
        <v>392</v>
      </c>
      <c r="L553" s="2" t="s">
        <v>773</v>
      </c>
      <c r="M553" s="2" t="s">
        <v>1948</v>
      </c>
      <c r="N553" s="2" t="s">
        <v>2156</v>
      </c>
      <c r="O553" s="2" t="s">
        <v>3438</v>
      </c>
      <c r="P553" s="2" t="s">
        <v>3896</v>
      </c>
      <c r="Q553" s="2" t="s">
        <v>33</v>
      </c>
      <c r="R553" s="2" t="s">
        <v>3897</v>
      </c>
      <c r="S553" s="2" t="s">
        <v>1681</v>
      </c>
      <c r="T553" s="2" t="s">
        <v>3898</v>
      </c>
      <c r="U553" s="2" t="s">
        <v>3899</v>
      </c>
      <c r="V553" s="2" t="s">
        <v>80</v>
      </c>
    </row>
    <row r="554" spans="1:22">
      <c r="A554" s="2" t="s">
        <v>3904</v>
      </c>
      <c r="B554" s="2" t="s">
        <v>3905</v>
      </c>
      <c r="C554" s="2" t="s">
        <v>3906</v>
      </c>
      <c r="D554" s="2">
        <v>2024</v>
      </c>
      <c r="E554" s="3">
        <v>45292</v>
      </c>
      <c r="F554" s="2" t="s">
        <v>2392</v>
      </c>
      <c r="G554" s="2">
        <v>35</v>
      </c>
      <c r="H554" s="2">
        <v>1</v>
      </c>
      <c r="I554" s="2" t="s">
        <v>3907</v>
      </c>
      <c r="J554" s="2" t="s">
        <v>2394</v>
      </c>
      <c r="K554" s="2" t="s">
        <v>392</v>
      </c>
      <c r="L554" s="2" t="s">
        <v>773</v>
      </c>
      <c r="M554" s="2" t="s">
        <v>47</v>
      </c>
      <c r="N554" s="2" t="s">
        <v>2395</v>
      </c>
      <c r="O554" s="2" t="s">
        <v>2396</v>
      </c>
      <c r="P554" s="2" t="s">
        <v>3908</v>
      </c>
      <c r="Q554" s="2" t="s">
        <v>49</v>
      </c>
      <c r="R554" s="2" t="s">
        <v>3909</v>
      </c>
      <c r="S554" s="2" t="s">
        <v>1681</v>
      </c>
      <c r="T554" s="2" t="s">
        <v>2561</v>
      </c>
      <c r="U554" s="2" t="s">
        <v>2562</v>
      </c>
      <c r="V554" s="2" t="s">
        <v>80</v>
      </c>
    </row>
    <row r="555" spans="1:22">
      <c r="A555" s="2" t="s">
        <v>3910</v>
      </c>
      <c r="B555" s="2" t="s">
        <v>3905</v>
      </c>
      <c r="C555" s="2" t="s">
        <v>3906</v>
      </c>
      <c r="D555" s="2">
        <v>2024</v>
      </c>
      <c r="E555" s="3">
        <v>45292</v>
      </c>
      <c r="F555" s="2" t="s">
        <v>2392</v>
      </c>
      <c r="G555" s="2">
        <v>35</v>
      </c>
      <c r="H555" s="2">
        <v>1</v>
      </c>
      <c r="I555" s="2" t="s">
        <v>3907</v>
      </c>
      <c r="J555" s="2" t="s">
        <v>2394</v>
      </c>
      <c r="K555" s="2" t="s">
        <v>392</v>
      </c>
      <c r="L555" s="2" t="s">
        <v>773</v>
      </c>
      <c r="M555" s="2" t="s">
        <v>47</v>
      </c>
      <c r="N555" s="2" t="s">
        <v>2395</v>
      </c>
      <c r="O555" s="2" t="s">
        <v>2396</v>
      </c>
      <c r="P555" s="2" t="s">
        <v>3908</v>
      </c>
      <c r="Q555" s="2" t="s">
        <v>49</v>
      </c>
      <c r="R555" s="2" t="s">
        <v>3909</v>
      </c>
      <c r="S555" s="2" t="s">
        <v>1681</v>
      </c>
      <c r="T555" s="2" t="s">
        <v>2561</v>
      </c>
      <c r="U555" s="2" t="s">
        <v>2562</v>
      </c>
      <c r="V555" s="2" t="s">
        <v>80</v>
      </c>
    </row>
    <row r="556" spans="1:22">
      <c r="A556" s="2" t="s">
        <v>1344</v>
      </c>
      <c r="B556" s="2" t="s">
        <v>3905</v>
      </c>
      <c r="C556" s="2" t="s">
        <v>3906</v>
      </c>
      <c r="D556" s="2">
        <v>2024</v>
      </c>
      <c r="E556" s="3">
        <v>45292</v>
      </c>
      <c r="F556" s="2" t="s">
        <v>2392</v>
      </c>
      <c r="G556" s="2">
        <v>35</v>
      </c>
      <c r="H556" s="2">
        <v>1</v>
      </c>
      <c r="I556" s="2" t="s">
        <v>3907</v>
      </c>
      <c r="J556" s="2" t="s">
        <v>2394</v>
      </c>
      <c r="K556" s="2" t="s">
        <v>392</v>
      </c>
      <c r="L556" s="2" t="s">
        <v>773</v>
      </c>
      <c r="M556" s="2" t="s">
        <v>47</v>
      </c>
      <c r="N556" s="2" t="s">
        <v>2395</v>
      </c>
      <c r="O556" s="2" t="s">
        <v>2396</v>
      </c>
      <c r="P556" s="2" t="s">
        <v>3908</v>
      </c>
      <c r="Q556" s="2" t="s">
        <v>49</v>
      </c>
      <c r="R556" s="2" t="s">
        <v>3909</v>
      </c>
      <c r="S556" s="2" t="s">
        <v>1681</v>
      </c>
      <c r="T556" s="2" t="s">
        <v>2561</v>
      </c>
      <c r="U556" s="2" t="s">
        <v>2562</v>
      </c>
      <c r="V556" s="2" t="s">
        <v>80</v>
      </c>
    </row>
    <row r="557" spans="1:22">
      <c r="A557" s="2" t="s">
        <v>3911</v>
      </c>
      <c r="B557" s="2" t="s">
        <v>3912</v>
      </c>
      <c r="C557" s="2" t="s">
        <v>3913</v>
      </c>
      <c r="D557" s="2">
        <v>2025</v>
      </c>
      <c r="E557" s="3">
        <v>45658</v>
      </c>
      <c r="F557" s="2" t="s">
        <v>3914</v>
      </c>
      <c r="G557" s="2" t="s">
        <v>43</v>
      </c>
      <c r="H557" s="2" t="s">
        <v>43</v>
      </c>
      <c r="I557" s="2" t="s">
        <v>43</v>
      </c>
      <c r="J557" s="2" t="s">
        <v>3915</v>
      </c>
      <c r="K557" s="2" t="s">
        <v>1624</v>
      </c>
      <c r="L557" s="2" t="s">
        <v>29</v>
      </c>
      <c r="M557" s="2" t="s">
        <v>2143</v>
      </c>
      <c r="N557" s="2" t="s">
        <v>2647</v>
      </c>
      <c r="O557" s="2" t="s">
        <v>3916</v>
      </c>
      <c r="P557" s="2" t="s">
        <v>3917</v>
      </c>
      <c r="Q557" s="2" t="s">
        <v>33</v>
      </c>
      <c r="R557" s="2" t="s">
        <v>3918</v>
      </c>
      <c r="S557" s="2" t="s">
        <v>511</v>
      </c>
      <c r="T557" s="2" t="s">
        <v>885</v>
      </c>
      <c r="U557" s="2" t="s">
        <v>886</v>
      </c>
      <c r="V557" s="2" t="s">
        <v>80</v>
      </c>
    </row>
    <row r="558" spans="1:22">
      <c r="A558" s="2" t="s">
        <v>3919</v>
      </c>
      <c r="B558" s="2" t="s">
        <v>3920</v>
      </c>
      <c r="C558" s="2" t="s">
        <v>3921</v>
      </c>
      <c r="D558" s="2">
        <v>2025</v>
      </c>
      <c r="E558" s="3">
        <v>45717</v>
      </c>
      <c r="F558" s="2" t="s">
        <v>2392</v>
      </c>
      <c r="G558" s="2">
        <v>36</v>
      </c>
      <c r="H558" s="2">
        <v>2</v>
      </c>
      <c r="I558" s="2" t="s">
        <v>3922</v>
      </c>
      <c r="J558" s="2" t="s">
        <v>2394</v>
      </c>
      <c r="K558" s="2" t="s">
        <v>392</v>
      </c>
      <c r="L558" s="2" t="s">
        <v>773</v>
      </c>
      <c r="M558" s="2" t="s">
        <v>1948</v>
      </c>
      <c r="N558" s="2" t="s">
        <v>2156</v>
      </c>
      <c r="O558" s="2" t="s">
        <v>3438</v>
      </c>
      <c r="P558" s="2" t="s">
        <v>3923</v>
      </c>
      <c r="Q558" s="2" t="s">
        <v>33</v>
      </c>
      <c r="R558" s="2" t="s">
        <v>3924</v>
      </c>
      <c r="S558" s="2" t="s">
        <v>1681</v>
      </c>
      <c r="T558" s="2" t="s">
        <v>3925</v>
      </c>
      <c r="U558" s="2" t="s">
        <v>3926</v>
      </c>
      <c r="V558" s="2" t="s">
        <v>3927</v>
      </c>
    </row>
    <row r="559" spans="1:22">
      <c r="A559" s="2" t="s">
        <v>385</v>
      </c>
      <c r="B559" s="2" t="s">
        <v>3928</v>
      </c>
      <c r="C559" s="2" t="s">
        <v>3929</v>
      </c>
      <c r="D559" s="2">
        <v>2025</v>
      </c>
      <c r="E559" s="3">
        <v>45778</v>
      </c>
      <c r="F559" s="2" t="s">
        <v>3930</v>
      </c>
      <c r="G559" s="2">
        <v>328</v>
      </c>
      <c r="H559" s="2">
        <v>5</v>
      </c>
      <c r="I559" s="2" t="s">
        <v>3931</v>
      </c>
      <c r="J559" s="2" t="s">
        <v>3932</v>
      </c>
      <c r="K559" s="2" t="s">
        <v>2328</v>
      </c>
      <c r="L559" s="2" t="s">
        <v>29</v>
      </c>
      <c r="M559" s="2" t="s">
        <v>485</v>
      </c>
      <c r="N559" s="2" t="s">
        <v>1544</v>
      </c>
      <c r="O559" s="4">
        <v>1383</v>
      </c>
      <c r="P559" s="2" t="s">
        <v>3933</v>
      </c>
      <c r="Q559" s="2" t="s">
        <v>3676</v>
      </c>
      <c r="R559" s="2" t="s">
        <v>3934</v>
      </c>
      <c r="S559" s="2" t="s">
        <v>3935</v>
      </c>
      <c r="T559" s="2" t="s">
        <v>3936</v>
      </c>
      <c r="U559" s="2" t="s">
        <v>3937</v>
      </c>
      <c r="V559" s="2" t="s">
        <v>1060</v>
      </c>
    </row>
    <row r="560" spans="1:22">
      <c r="A560" s="2" t="s">
        <v>3938</v>
      </c>
      <c r="B560" s="2" t="s">
        <v>3939</v>
      </c>
      <c r="C560" s="2" t="s">
        <v>3940</v>
      </c>
      <c r="D560" s="2">
        <v>2025</v>
      </c>
      <c r="E560" s="3">
        <v>45717</v>
      </c>
      <c r="F560" s="2" t="s">
        <v>2392</v>
      </c>
      <c r="G560" s="2">
        <v>36</v>
      </c>
      <c r="H560" s="2">
        <v>2</v>
      </c>
      <c r="I560" s="2" t="s">
        <v>3941</v>
      </c>
      <c r="J560" s="2" t="s">
        <v>2394</v>
      </c>
      <c r="K560" s="2" t="s">
        <v>392</v>
      </c>
      <c r="L560" s="2" t="s">
        <v>773</v>
      </c>
      <c r="M560" s="2" t="s">
        <v>1948</v>
      </c>
      <c r="N560" s="2" t="s">
        <v>2156</v>
      </c>
      <c r="O560" s="2" t="s">
        <v>3438</v>
      </c>
      <c r="P560" s="2" t="s">
        <v>3942</v>
      </c>
      <c r="Q560" s="2" t="s">
        <v>33</v>
      </c>
      <c r="R560" s="2" t="s">
        <v>3943</v>
      </c>
      <c r="S560" s="2" t="s">
        <v>1681</v>
      </c>
      <c r="T560" s="2" t="s">
        <v>2561</v>
      </c>
      <c r="U560" s="2" t="s">
        <v>2562</v>
      </c>
      <c r="V560" s="2" t="s">
        <v>80</v>
      </c>
    </row>
    <row r="561" spans="1:22">
      <c r="A561" s="2" t="s">
        <v>3944</v>
      </c>
      <c r="B561" s="2" t="s">
        <v>3939</v>
      </c>
      <c r="C561" s="2" t="s">
        <v>3940</v>
      </c>
      <c r="D561" s="2">
        <v>2025</v>
      </c>
      <c r="E561" s="3">
        <v>45717</v>
      </c>
      <c r="F561" s="2" t="s">
        <v>2392</v>
      </c>
      <c r="G561" s="2">
        <v>36</v>
      </c>
      <c r="H561" s="2">
        <v>2</v>
      </c>
      <c r="I561" s="2" t="s">
        <v>3941</v>
      </c>
      <c r="J561" s="2" t="s">
        <v>2394</v>
      </c>
      <c r="K561" s="2" t="s">
        <v>392</v>
      </c>
      <c r="L561" s="2" t="s">
        <v>773</v>
      </c>
      <c r="M561" s="2" t="s">
        <v>1948</v>
      </c>
      <c r="N561" s="2" t="s">
        <v>2156</v>
      </c>
      <c r="O561" s="2" t="s">
        <v>3438</v>
      </c>
      <c r="P561" s="2" t="s">
        <v>3942</v>
      </c>
      <c r="Q561" s="2" t="s">
        <v>33</v>
      </c>
      <c r="R561" s="2" t="s">
        <v>3943</v>
      </c>
      <c r="S561" s="2" t="s">
        <v>1681</v>
      </c>
      <c r="T561" s="2" t="s">
        <v>2561</v>
      </c>
      <c r="U561" s="2" t="s">
        <v>2562</v>
      </c>
      <c r="V561" s="2" t="s">
        <v>80</v>
      </c>
    </row>
    <row r="562" spans="1:22">
      <c r="A562" s="2" t="s">
        <v>1344</v>
      </c>
      <c r="B562" s="2" t="s">
        <v>3939</v>
      </c>
      <c r="C562" s="2" t="s">
        <v>3940</v>
      </c>
      <c r="D562" s="2">
        <v>2025</v>
      </c>
      <c r="E562" s="3">
        <v>45717</v>
      </c>
      <c r="F562" s="2" t="s">
        <v>2392</v>
      </c>
      <c r="G562" s="2">
        <v>36</v>
      </c>
      <c r="H562" s="2">
        <v>2</v>
      </c>
      <c r="I562" s="2" t="s">
        <v>3941</v>
      </c>
      <c r="J562" s="2" t="s">
        <v>2394</v>
      </c>
      <c r="K562" s="2" t="s">
        <v>392</v>
      </c>
      <c r="L562" s="2" t="s">
        <v>773</v>
      </c>
      <c r="M562" s="2" t="s">
        <v>1948</v>
      </c>
      <c r="N562" s="2" t="s">
        <v>2156</v>
      </c>
      <c r="O562" s="2" t="s">
        <v>3438</v>
      </c>
      <c r="P562" s="2" t="s">
        <v>3942</v>
      </c>
      <c r="Q562" s="2" t="s">
        <v>33</v>
      </c>
      <c r="R562" s="2" t="s">
        <v>3943</v>
      </c>
      <c r="S562" s="2" t="s">
        <v>1681</v>
      </c>
      <c r="T562" s="2" t="s">
        <v>2561</v>
      </c>
      <c r="U562" s="2" t="s">
        <v>2562</v>
      </c>
      <c r="V562" s="2" t="s">
        <v>80</v>
      </c>
    </row>
    <row r="563" spans="1:22">
      <c r="A563" s="2" t="s">
        <v>433</v>
      </c>
      <c r="B563" s="2" t="s">
        <v>3939</v>
      </c>
      <c r="C563" s="2" t="s">
        <v>3940</v>
      </c>
      <c r="D563" s="2">
        <v>2025</v>
      </c>
      <c r="E563" s="3">
        <v>45717</v>
      </c>
      <c r="F563" s="2" t="s">
        <v>2392</v>
      </c>
      <c r="G563" s="2">
        <v>36</v>
      </c>
      <c r="H563" s="2">
        <v>2</v>
      </c>
      <c r="I563" s="2" t="s">
        <v>3941</v>
      </c>
      <c r="J563" s="2" t="s">
        <v>2394</v>
      </c>
      <c r="K563" s="2" t="s">
        <v>392</v>
      </c>
      <c r="L563" s="2" t="s">
        <v>773</v>
      </c>
      <c r="M563" s="2" t="s">
        <v>1948</v>
      </c>
      <c r="N563" s="2" t="s">
        <v>2156</v>
      </c>
      <c r="O563" s="2" t="s">
        <v>3438</v>
      </c>
      <c r="P563" s="2" t="s">
        <v>3942</v>
      </c>
      <c r="Q563" s="2" t="s">
        <v>33</v>
      </c>
      <c r="R563" s="2" t="s">
        <v>3943</v>
      </c>
      <c r="S563" s="2" t="s">
        <v>1681</v>
      </c>
      <c r="T563" s="2" t="s">
        <v>2561</v>
      </c>
      <c r="U563" s="2" t="s">
        <v>2562</v>
      </c>
      <c r="V563" s="2" t="s">
        <v>80</v>
      </c>
    </row>
    <row r="564" spans="1:22">
      <c r="A564" s="2" t="s">
        <v>1916</v>
      </c>
      <c r="B564" s="2" t="s">
        <v>3939</v>
      </c>
      <c r="C564" s="2" t="s">
        <v>3940</v>
      </c>
      <c r="D564" s="2">
        <v>2025</v>
      </c>
      <c r="E564" s="3">
        <v>45717</v>
      </c>
      <c r="F564" s="2" t="s">
        <v>2392</v>
      </c>
      <c r="G564" s="2">
        <v>36</v>
      </c>
      <c r="H564" s="2">
        <v>2</v>
      </c>
      <c r="I564" s="2" t="s">
        <v>3941</v>
      </c>
      <c r="J564" s="2" t="s">
        <v>2394</v>
      </c>
      <c r="K564" s="2" t="s">
        <v>392</v>
      </c>
      <c r="L564" s="2" t="s">
        <v>773</v>
      </c>
      <c r="M564" s="2" t="s">
        <v>1948</v>
      </c>
      <c r="N564" s="2" t="s">
        <v>2156</v>
      </c>
      <c r="O564" s="2" t="s">
        <v>3438</v>
      </c>
      <c r="P564" s="2" t="s">
        <v>3942</v>
      </c>
      <c r="Q564" s="2" t="s">
        <v>33</v>
      </c>
      <c r="R564" s="2" t="s">
        <v>3943</v>
      </c>
      <c r="S564" s="2" t="s">
        <v>1681</v>
      </c>
      <c r="T564" s="2" t="s">
        <v>2561</v>
      </c>
      <c r="U564" s="2" t="s">
        <v>2562</v>
      </c>
      <c r="V564" s="2" t="s">
        <v>80</v>
      </c>
    </row>
    <row r="565" spans="1:22">
      <c r="A565" s="2" t="s">
        <v>3910</v>
      </c>
      <c r="B565" s="2" t="s">
        <v>3939</v>
      </c>
      <c r="C565" s="2" t="s">
        <v>3940</v>
      </c>
      <c r="D565" s="2">
        <v>2025</v>
      </c>
      <c r="E565" s="3">
        <v>45717</v>
      </c>
      <c r="F565" s="2" t="s">
        <v>2392</v>
      </c>
      <c r="G565" s="2">
        <v>36</v>
      </c>
      <c r="H565" s="2">
        <v>2</v>
      </c>
      <c r="I565" s="2" t="s">
        <v>3941</v>
      </c>
      <c r="J565" s="2" t="s">
        <v>2394</v>
      </c>
      <c r="K565" s="2" t="s">
        <v>392</v>
      </c>
      <c r="L565" s="2" t="s">
        <v>773</v>
      </c>
      <c r="M565" s="2" t="s">
        <v>1948</v>
      </c>
      <c r="N565" s="2" t="s">
        <v>2156</v>
      </c>
      <c r="O565" s="2" t="s">
        <v>3438</v>
      </c>
      <c r="P565" s="2" t="s">
        <v>3942</v>
      </c>
      <c r="Q565" s="2" t="s">
        <v>33</v>
      </c>
      <c r="R565" s="2" t="s">
        <v>3943</v>
      </c>
      <c r="S565" s="2" t="s">
        <v>1681</v>
      </c>
      <c r="T565" s="2" t="s">
        <v>2561</v>
      </c>
      <c r="U565" s="2" t="s">
        <v>2562</v>
      </c>
      <c r="V565" s="2" t="s">
        <v>80</v>
      </c>
    </row>
    <row r="566" spans="1:22" ht="28.8">
      <c r="A566" s="2" t="s">
        <v>1369</v>
      </c>
      <c r="B566" s="2" t="s">
        <v>3945</v>
      </c>
      <c r="C566" s="2" t="s">
        <v>3946</v>
      </c>
      <c r="D566" s="2">
        <v>2025</v>
      </c>
      <c r="E566" s="3">
        <v>45839</v>
      </c>
      <c r="F566" s="2" t="s">
        <v>3947</v>
      </c>
      <c r="G566" s="2">
        <v>82</v>
      </c>
      <c r="H566" s="2">
        <v>4</v>
      </c>
      <c r="I566" s="2" t="s">
        <v>3948</v>
      </c>
      <c r="J566" s="2" t="s">
        <v>3949</v>
      </c>
      <c r="K566" s="2" t="s">
        <v>3950</v>
      </c>
      <c r="L566" s="2" t="s">
        <v>1867</v>
      </c>
      <c r="M566" s="2" t="s">
        <v>904</v>
      </c>
      <c r="N566" s="2" t="s">
        <v>3951</v>
      </c>
      <c r="O566" s="2" t="s">
        <v>3952</v>
      </c>
      <c r="P566" s="2" t="s">
        <v>3953</v>
      </c>
      <c r="Q566" s="2" t="s">
        <v>33</v>
      </c>
      <c r="R566" s="2" t="s">
        <v>3954</v>
      </c>
      <c r="S566" s="2" t="s">
        <v>3955</v>
      </c>
      <c r="T566" s="2" t="s">
        <v>3956</v>
      </c>
      <c r="U566" s="2" t="s">
        <v>3957</v>
      </c>
      <c r="V566" s="2" t="s">
        <v>3958</v>
      </c>
    </row>
    <row r="567" spans="1:22">
      <c r="A567" s="2" t="s">
        <v>3959</v>
      </c>
      <c r="B567" s="2" t="s">
        <v>3960</v>
      </c>
      <c r="C567" s="2" t="s">
        <v>3961</v>
      </c>
      <c r="D567" s="2">
        <v>2025</v>
      </c>
      <c r="E567" s="3">
        <v>45778</v>
      </c>
      <c r="F567" s="2" t="s">
        <v>3962</v>
      </c>
      <c r="G567" s="2">
        <v>32</v>
      </c>
      <c r="H567" s="2">
        <v>5</v>
      </c>
      <c r="I567" s="2" t="s">
        <v>43</v>
      </c>
      <c r="J567" s="2" t="s">
        <v>3963</v>
      </c>
      <c r="K567" s="2" t="s">
        <v>61</v>
      </c>
      <c r="L567" s="2" t="s">
        <v>29</v>
      </c>
      <c r="M567" s="2" t="s">
        <v>667</v>
      </c>
      <c r="N567" s="2" t="s">
        <v>134</v>
      </c>
      <c r="O567" s="4">
        <v>1132</v>
      </c>
      <c r="P567" s="2" t="s">
        <v>3964</v>
      </c>
      <c r="Q567" s="2" t="s">
        <v>33</v>
      </c>
      <c r="R567" s="2" t="s">
        <v>3965</v>
      </c>
      <c r="S567" s="2" t="s">
        <v>3966</v>
      </c>
      <c r="T567" s="2" t="s">
        <v>3967</v>
      </c>
      <c r="U567" s="2" t="s">
        <v>3968</v>
      </c>
      <c r="V567" s="2" t="s">
        <v>621</v>
      </c>
    </row>
    <row r="568" spans="1:22">
      <c r="A568" s="2" t="s">
        <v>3969</v>
      </c>
      <c r="B568" s="2" t="s">
        <v>3960</v>
      </c>
      <c r="C568" s="2" t="s">
        <v>3961</v>
      </c>
      <c r="D568" s="2">
        <v>2025</v>
      </c>
      <c r="E568" s="3">
        <v>45778</v>
      </c>
      <c r="F568" s="2" t="s">
        <v>3962</v>
      </c>
      <c r="G568" s="2">
        <v>32</v>
      </c>
      <c r="H568" s="2">
        <v>5</v>
      </c>
      <c r="I568" s="2" t="s">
        <v>43</v>
      </c>
      <c r="J568" s="2" t="s">
        <v>3963</v>
      </c>
      <c r="K568" s="2" t="s">
        <v>61</v>
      </c>
      <c r="L568" s="2" t="s">
        <v>29</v>
      </c>
      <c r="M568" s="2" t="s">
        <v>667</v>
      </c>
      <c r="N568" s="2" t="s">
        <v>134</v>
      </c>
      <c r="O568" s="4">
        <v>1132</v>
      </c>
      <c r="P568" s="2" t="s">
        <v>3964</v>
      </c>
      <c r="Q568" s="2" t="s">
        <v>33</v>
      </c>
      <c r="R568" s="2" t="s">
        <v>3965</v>
      </c>
      <c r="S568" s="2" t="s">
        <v>3966</v>
      </c>
      <c r="T568" s="2" t="s">
        <v>3967</v>
      </c>
      <c r="U568" s="2" t="s">
        <v>3968</v>
      </c>
      <c r="V568" s="2" t="s">
        <v>621</v>
      </c>
    </row>
    <row r="569" spans="1:22">
      <c r="A569" s="2" t="s">
        <v>3970</v>
      </c>
      <c r="B569" s="2" t="s">
        <v>3971</v>
      </c>
      <c r="C569" s="2" t="s">
        <v>3972</v>
      </c>
      <c r="D569" s="2">
        <v>2025</v>
      </c>
      <c r="E569" s="3">
        <v>45658</v>
      </c>
      <c r="F569" s="2" t="s">
        <v>3973</v>
      </c>
      <c r="G569" s="2" t="s">
        <v>43</v>
      </c>
      <c r="H569" s="2">
        <v>41</v>
      </c>
      <c r="I569" s="2" t="s">
        <v>3974</v>
      </c>
      <c r="J569" s="2" t="s">
        <v>3975</v>
      </c>
      <c r="K569" s="2" t="s">
        <v>3976</v>
      </c>
      <c r="L569" s="2" t="s">
        <v>1867</v>
      </c>
      <c r="M569" s="2" t="s">
        <v>3357</v>
      </c>
      <c r="N569" s="2" t="s">
        <v>3977</v>
      </c>
      <c r="O569" s="2" t="s">
        <v>3978</v>
      </c>
      <c r="P569" s="2" t="s">
        <v>3979</v>
      </c>
      <c r="Q569" s="2" t="s">
        <v>33</v>
      </c>
      <c r="R569" s="2" t="s">
        <v>3980</v>
      </c>
      <c r="S569" s="2" t="s">
        <v>3981</v>
      </c>
      <c r="T569" s="2" t="s">
        <v>3982</v>
      </c>
      <c r="U569" s="2" t="s">
        <v>3983</v>
      </c>
      <c r="V569" s="2" t="s">
        <v>80</v>
      </c>
    </row>
    <row r="570" spans="1:22" ht="28.8">
      <c r="A570" s="2" t="s">
        <v>1723</v>
      </c>
      <c r="B570" s="2" t="s">
        <v>3984</v>
      </c>
      <c r="C570" s="2" t="s">
        <v>3985</v>
      </c>
      <c r="D570" s="2">
        <v>2025</v>
      </c>
      <c r="E570" s="3">
        <v>45901</v>
      </c>
      <c r="F570" s="2" t="s">
        <v>3986</v>
      </c>
      <c r="G570" s="2">
        <v>12</v>
      </c>
      <c r="H570" s="2">
        <v>5</v>
      </c>
      <c r="I570" s="2" t="s">
        <v>3987</v>
      </c>
      <c r="J570" s="2" t="s">
        <v>3988</v>
      </c>
      <c r="K570" s="2" t="s">
        <v>302</v>
      </c>
      <c r="L570" s="2" t="s">
        <v>29</v>
      </c>
      <c r="M570" s="2" t="s">
        <v>2613</v>
      </c>
      <c r="N570" s="2" t="s">
        <v>1473</v>
      </c>
      <c r="O570" s="4">
        <v>1066</v>
      </c>
      <c r="P570" s="2" t="s">
        <v>3989</v>
      </c>
      <c r="Q570" s="2" t="s">
        <v>33</v>
      </c>
      <c r="R570" s="2" t="s">
        <v>3990</v>
      </c>
      <c r="S570" s="2" t="s">
        <v>3991</v>
      </c>
      <c r="T570" s="2" t="s">
        <v>3992</v>
      </c>
      <c r="U570" s="2" t="s">
        <v>3993</v>
      </c>
      <c r="V570" s="2" t="s">
        <v>3994</v>
      </c>
    </row>
    <row r="571" spans="1:22">
      <c r="A571" s="2" t="s">
        <v>113</v>
      </c>
      <c r="B571" s="2" t="s">
        <v>3995</v>
      </c>
      <c r="C571" s="2" t="s">
        <v>3996</v>
      </c>
      <c r="D571" s="2">
        <v>2024</v>
      </c>
      <c r="E571" s="3">
        <v>45292</v>
      </c>
      <c r="F571" s="2" t="s">
        <v>3997</v>
      </c>
      <c r="G571" s="2">
        <v>32</v>
      </c>
      <c r="H571" s="2">
        <v>4</v>
      </c>
      <c r="I571" s="2" t="s">
        <v>3998</v>
      </c>
      <c r="J571" s="2" t="s">
        <v>3999</v>
      </c>
      <c r="K571" s="2" t="s">
        <v>4000</v>
      </c>
      <c r="L571" s="2" t="s">
        <v>29</v>
      </c>
      <c r="M571" s="2" t="s">
        <v>3475</v>
      </c>
      <c r="N571" s="2" t="s">
        <v>134</v>
      </c>
      <c r="O571" s="2" t="s">
        <v>4001</v>
      </c>
      <c r="P571" s="2" t="s">
        <v>4002</v>
      </c>
      <c r="Q571" s="2" t="s">
        <v>33</v>
      </c>
      <c r="R571" s="2" t="s">
        <v>4003</v>
      </c>
      <c r="S571" s="2" t="s">
        <v>4004</v>
      </c>
      <c r="T571" s="2" t="s">
        <v>4005</v>
      </c>
      <c r="U571" s="2" t="s">
        <v>4006</v>
      </c>
      <c r="V571" s="2" t="s">
        <v>4007</v>
      </c>
    </row>
    <row r="572" spans="1:22">
      <c r="A572" s="2" t="s">
        <v>2427</v>
      </c>
      <c r="B572" s="2" t="s">
        <v>4008</v>
      </c>
      <c r="C572" s="2" t="s">
        <v>4009</v>
      </c>
      <c r="D572" s="2">
        <v>2025</v>
      </c>
      <c r="E572" s="3">
        <v>45839</v>
      </c>
      <c r="F572" s="2" t="s">
        <v>1676</v>
      </c>
      <c r="G572" s="2">
        <v>35</v>
      </c>
      <c r="H572" s="2">
        <v>7</v>
      </c>
      <c r="I572" s="2" t="s">
        <v>4010</v>
      </c>
      <c r="J572" s="2" t="s">
        <v>1678</v>
      </c>
      <c r="K572" s="2" t="s">
        <v>1624</v>
      </c>
      <c r="L572" s="2" t="s">
        <v>29</v>
      </c>
      <c r="M572" s="2" t="s">
        <v>144</v>
      </c>
      <c r="N572" s="2" t="s">
        <v>76</v>
      </c>
      <c r="O572" s="4">
        <v>1058</v>
      </c>
      <c r="P572" s="2" t="s">
        <v>4011</v>
      </c>
      <c r="Q572" s="2" t="s">
        <v>3676</v>
      </c>
      <c r="R572" s="2" t="s">
        <v>4012</v>
      </c>
      <c r="S572" s="2" t="s">
        <v>4013</v>
      </c>
      <c r="T572" s="2" t="s">
        <v>4014</v>
      </c>
      <c r="U572" s="2" t="s">
        <v>4015</v>
      </c>
      <c r="V572" s="2" t="s">
        <v>80</v>
      </c>
    </row>
    <row r="573" spans="1:22">
      <c r="A573" s="2" t="s">
        <v>4016</v>
      </c>
      <c r="B573" s="2" t="s">
        <v>4008</v>
      </c>
      <c r="C573" s="2" t="s">
        <v>4009</v>
      </c>
      <c r="D573" s="2">
        <v>2025</v>
      </c>
      <c r="E573" s="3">
        <v>45839</v>
      </c>
      <c r="F573" s="2" t="s">
        <v>1676</v>
      </c>
      <c r="G573" s="2">
        <v>35</v>
      </c>
      <c r="H573" s="2">
        <v>7</v>
      </c>
      <c r="I573" s="2" t="s">
        <v>4010</v>
      </c>
      <c r="J573" s="2" t="s">
        <v>1678</v>
      </c>
      <c r="K573" s="2" t="s">
        <v>1624</v>
      </c>
      <c r="L573" s="2" t="s">
        <v>29</v>
      </c>
      <c r="M573" s="2" t="s">
        <v>144</v>
      </c>
      <c r="N573" s="2" t="s">
        <v>76</v>
      </c>
      <c r="O573" s="4">
        <v>1058</v>
      </c>
      <c r="P573" s="2" t="s">
        <v>4011</v>
      </c>
      <c r="Q573" s="2" t="s">
        <v>3676</v>
      </c>
      <c r="R573" s="2" t="s">
        <v>4012</v>
      </c>
      <c r="S573" s="2" t="s">
        <v>4013</v>
      </c>
      <c r="T573" s="2" t="s">
        <v>4014</v>
      </c>
      <c r="U573" s="2" t="s">
        <v>4015</v>
      </c>
      <c r="V573" s="2" t="s">
        <v>80</v>
      </c>
    </row>
    <row r="574" spans="1:22">
      <c r="A574" s="2" t="s">
        <v>4017</v>
      </c>
      <c r="B574" s="2" t="s">
        <v>4018</v>
      </c>
      <c r="C574" s="2" t="s">
        <v>4019</v>
      </c>
      <c r="D574" s="2">
        <v>2025</v>
      </c>
      <c r="E574" s="3">
        <v>45778</v>
      </c>
      <c r="F574" s="2" t="s">
        <v>2392</v>
      </c>
      <c r="G574" s="2">
        <v>36</v>
      </c>
      <c r="H574" s="2">
        <v>3</v>
      </c>
      <c r="I574" s="2" t="s">
        <v>4020</v>
      </c>
      <c r="J574" s="2" t="s">
        <v>2394</v>
      </c>
      <c r="K574" s="2" t="s">
        <v>392</v>
      </c>
      <c r="L574" s="2" t="s">
        <v>773</v>
      </c>
      <c r="M574" s="2" t="s">
        <v>1948</v>
      </c>
      <c r="N574" s="2" t="s">
        <v>2156</v>
      </c>
      <c r="O574" s="2" t="s">
        <v>3438</v>
      </c>
      <c r="P574" s="2" t="s">
        <v>4021</v>
      </c>
      <c r="Q574" s="2" t="s">
        <v>49</v>
      </c>
      <c r="R574" s="2" t="s">
        <v>4022</v>
      </c>
      <c r="S574" s="2" t="s">
        <v>1681</v>
      </c>
      <c r="T574" s="2" t="s">
        <v>2561</v>
      </c>
      <c r="U574" s="2" t="s">
        <v>2562</v>
      </c>
      <c r="V574" s="2" t="s">
        <v>80</v>
      </c>
    </row>
    <row r="575" spans="1:22">
      <c r="A575" s="2" t="s">
        <v>635</v>
      </c>
      <c r="B575" s="2" t="s">
        <v>4023</v>
      </c>
      <c r="C575" s="2" t="s">
        <v>4024</v>
      </c>
      <c r="D575" s="2">
        <v>2025</v>
      </c>
      <c r="E575" s="3">
        <v>45833</v>
      </c>
      <c r="F575" s="2" t="s">
        <v>3046</v>
      </c>
      <c r="G575" s="2">
        <v>96</v>
      </c>
      <c r="H575" s="2">
        <v>3</v>
      </c>
      <c r="I575" s="2" t="s">
        <v>4025</v>
      </c>
      <c r="J575" s="2" t="s">
        <v>3048</v>
      </c>
      <c r="K575" s="2" t="s">
        <v>3049</v>
      </c>
      <c r="L575" s="2" t="s">
        <v>1867</v>
      </c>
      <c r="M575" s="2" t="s">
        <v>1919</v>
      </c>
      <c r="N575" s="2" t="s">
        <v>3050</v>
      </c>
      <c r="O575" s="2" t="s">
        <v>3051</v>
      </c>
      <c r="P575" s="2" t="s">
        <v>4026</v>
      </c>
      <c r="Q575" s="2" t="s">
        <v>644</v>
      </c>
      <c r="R575" s="2" t="s">
        <v>4027</v>
      </c>
      <c r="S575" s="2" t="s">
        <v>79</v>
      </c>
      <c r="T575" s="2" t="s">
        <v>3054</v>
      </c>
      <c r="U575" s="2" t="s">
        <v>3055</v>
      </c>
      <c r="V575" s="2" t="s">
        <v>80</v>
      </c>
    </row>
    <row r="576" spans="1:22">
      <c r="A576" s="2" t="s">
        <v>4028</v>
      </c>
      <c r="B576" s="2" t="s">
        <v>4029</v>
      </c>
      <c r="C576" s="2" t="s">
        <v>4030</v>
      </c>
      <c r="D576" s="2">
        <v>2025</v>
      </c>
      <c r="E576" s="3">
        <v>45689</v>
      </c>
      <c r="F576" s="2" t="s">
        <v>4031</v>
      </c>
      <c r="G576" s="2">
        <v>68</v>
      </c>
      <c r="H576" s="2">
        <v>2</v>
      </c>
      <c r="I576" s="2" t="s">
        <v>4032</v>
      </c>
      <c r="J576" s="2" t="s">
        <v>4033</v>
      </c>
      <c r="K576" s="2" t="s">
        <v>43</v>
      </c>
      <c r="L576" s="2" t="s">
        <v>29</v>
      </c>
      <c r="M576" s="2" t="s">
        <v>2040</v>
      </c>
      <c r="N576" s="2" t="s">
        <v>1136</v>
      </c>
      <c r="O576" s="2" t="s">
        <v>4034</v>
      </c>
      <c r="P576" s="2" t="s">
        <v>4035</v>
      </c>
      <c r="Q576" s="2" t="s">
        <v>33</v>
      </c>
      <c r="R576" s="2" t="s">
        <v>4036</v>
      </c>
      <c r="S576" s="2" t="s">
        <v>4037</v>
      </c>
      <c r="T576" s="2" t="s">
        <v>4038</v>
      </c>
      <c r="U576" s="2" t="s">
        <v>4037</v>
      </c>
      <c r="V576" s="2" t="s">
        <v>80</v>
      </c>
    </row>
    <row r="577" spans="1:22">
      <c r="A577" s="2" t="s">
        <v>4039</v>
      </c>
      <c r="B577" s="2" t="s">
        <v>4040</v>
      </c>
      <c r="C577" s="2" t="s">
        <v>4041</v>
      </c>
      <c r="D577" s="2">
        <v>2025</v>
      </c>
      <c r="E577" s="3">
        <v>45809</v>
      </c>
      <c r="F577" s="2" t="s">
        <v>4042</v>
      </c>
      <c r="G577" s="2" t="s">
        <v>43</v>
      </c>
      <c r="H577" s="2">
        <v>62</v>
      </c>
      <c r="I577" s="2" t="s">
        <v>4043</v>
      </c>
      <c r="J577" s="2" t="s">
        <v>4044</v>
      </c>
      <c r="K577" s="2" t="s">
        <v>4045</v>
      </c>
      <c r="L577" s="2" t="s">
        <v>1867</v>
      </c>
      <c r="M577" s="2" t="s">
        <v>2203</v>
      </c>
      <c r="N577" s="2" t="s">
        <v>1473</v>
      </c>
      <c r="O577" s="2" t="s">
        <v>3051</v>
      </c>
      <c r="P577" s="2" t="s">
        <v>4046</v>
      </c>
      <c r="Q577" s="2" t="s">
        <v>33</v>
      </c>
      <c r="R577" s="2" t="s">
        <v>4047</v>
      </c>
      <c r="S577" s="2" t="s">
        <v>4048</v>
      </c>
      <c r="T577" s="2" t="s">
        <v>4049</v>
      </c>
      <c r="U577" s="2" t="s">
        <v>4050</v>
      </c>
      <c r="V577" s="2" t="s">
        <v>310</v>
      </c>
    </row>
    <row r="578" spans="1:22">
      <c r="A578" s="2" t="s">
        <v>4051</v>
      </c>
      <c r="B578" s="2" t="s">
        <v>4052</v>
      </c>
      <c r="C578" s="2" t="s">
        <v>4053</v>
      </c>
      <c r="D578" s="2">
        <v>2024</v>
      </c>
      <c r="E578" s="3">
        <v>45566</v>
      </c>
      <c r="F578" s="2" t="s">
        <v>4054</v>
      </c>
      <c r="G578" s="2">
        <v>30</v>
      </c>
      <c r="H578" s="2">
        <v>2</v>
      </c>
      <c r="I578" s="2" t="s">
        <v>4055</v>
      </c>
      <c r="J578" s="2" t="s">
        <v>4056</v>
      </c>
      <c r="K578" s="2" t="s">
        <v>4057</v>
      </c>
      <c r="L578" s="2" t="s">
        <v>1867</v>
      </c>
      <c r="M578" s="2" t="s">
        <v>2203</v>
      </c>
      <c r="N578" s="2" t="s">
        <v>4058</v>
      </c>
      <c r="O578" s="2" t="s">
        <v>4059</v>
      </c>
      <c r="P578" s="2" t="s">
        <v>4060</v>
      </c>
      <c r="Q578" s="2" t="s">
        <v>33</v>
      </c>
      <c r="R578" s="2" t="s">
        <v>4061</v>
      </c>
      <c r="S578" s="2" t="s">
        <v>4062</v>
      </c>
      <c r="T578" s="2" t="s">
        <v>4063</v>
      </c>
      <c r="U578" s="2" t="s">
        <v>4062</v>
      </c>
      <c r="V578" s="2" t="s">
        <v>80</v>
      </c>
    </row>
    <row r="579" spans="1:22">
      <c r="A579" s="2" t="s">
        <v>4064</v>
      </c>
      <c r="B579" s="2" t="s">
        <v>4065</v>
      </c>
      <c r="C579" s="2" t="s">
        <v>4066</v>
      </c>
      <c r="D579" s="2">
        <v>2024</v>
      </c>
      <c r="E579" s="3">
        <v>45352</v>
      </c>
      <c r="F579" s="2" t="s">
        <v>2392</v>
      </c>
      <c r="G579" s="2">
        <v>35</v>
      </c>
      <c r="H579" s="2">
        <v>2</v>
      </c>
      <c r="I579" s="2" t="s">
        <v>4067</v>
      </c>
      <c r="J579" s="2" t="s">
        <v>2394</v>
      </c>
      <c r="K579" s="2" t="s">
        <v>392</v>
      </c>
      <c r="L579" s="2" t="s">
        <v>773</v>
      </c>
      <c r="M579" s="2" t="s">
        <v>47</v>
      </c>
      <c r="N579" s="2" t="s">
        <v>2395</v>
      </c>
      <c r="O579" s="2" t="s">
        <v>2396</v>
      </c>
      <c r="P579" s="2" t="s">
        <v>4068</v>
      </c>
      <c r="Q579" s="2" t="s">
        <v>33</v>
      </c>
      <c r="R579" s="2" t="s">
        <v>4069</v>
      </c>
      <c r="S579" s="2" t="s">
        <v>1681</v>
      </c>
      <c r="T579" s="2" t="s">
        <v>2606</v>
      </c>
      <c r="U579" s="2" t="s">
        <v>1681</v>
      </c>
      <c r="V579" s="2" t="s">
        <v>80</v>
      </c>
    </row>
    <row r="580" spans="1:22">
      <c r="A580" s="2" t="s">
        <v>3434</v>
      </c>
      <c r="B580" s="2" t="s">
        <v>4070</v>
      </c>
      <c r="C580" s="2" t="s">
        <v>4071</v>
      </c>
      <c r="D580" s="2">
        <v>2024</v>
      </c>
      <c r="E580" s="3">
        <v>45352</v>
      </c>
      <c r="F580" s="2" t="s">
        <v>2392</v>
      </c>
      <c r="G580" s="2">
        <v>35</v>
      </c>
      <c r="H580" s="2">
        <v>2</v>
      </c>
      <c r="I580" s="2" t="s">
        <v>4072</v>
      </c>
      <c r="J580" s="2" t="s">
        <v>2394</v>
      </c>
      <c r="K580" s="2" t="s">
        <v>392</v>
      </c>
      <c r="L580" s="2" t="s">
        <v>773</v>
      </c>
      <c r="M580" s="2" t="s">
        <v>47</v>
      </c>
      <c r="N580" s="2" t="s">
        <v>2395</v>
      </c>
      <c r="O580" s="2" t="s">
        <v>2396</v>
      </c>
      <c r="P580" s="2" t="s">
        <v>4073</v>
      </c>
      <c r="Q580" s="2" t="s">
        <v>33</v>
      </c>
      <c r="R580" s="2" t="s">
        <v>4074</v>
      </c>
      <c r="S580" s="2" t="s">
        <v>3268</v>
      </c>
      <c r="T580" s="2" t="s">
        <v>4075</v>
      </c>
      <c r="U580" s="2" t="s">
        <v>4076</v>
      </c>
      <c r="V580" s="2" t="s">
        <v>80</v>
      </c>
    </row>
    <row r="581" spans="1:22">
      <c r="A581" s="2" t="s">
        <v>214</v>
      </c>
      <c r="B581" s="2" t="s">
        <v>4077</v>
      </c>
      <c r="C581" s="2" t="s">
        <v>4078</v>
      </c>
      <c r="D581" s="2">
        <v>2024</v>
      </c>
      <c r="E581" s="3">
        <v>45292</v>
      </c>
      <c r="F581" s="2" t="s">
        <v>473</v>
      </c>
      <c r="G581" s="2">
        <v>15</v>
      </c>
      <c r="H581" s="2" t="s">
        <v>43</v>
      </c>
      <c r="I581" s="2" t="s">
        <v>43</v>
      </c>
      <c r="J581" s="2" t="s">
        <v>474</v>
      </c>
      <c r="K581" s="2" t="s">
        <v>183</v>
      </c>
      <c r="L581" s="2" t="s">
        <v>29</v>
      </c>
      <c r="M581" s="2" t="s">
        <v>2248</v>
      </c>
      <c r="N581" s="2" t="s">
        <v>961</v>
      </c>
      <c r="O581" s="4">
        <v>1941</v>
      </c>
      <c r="P581" s="2" t="s">
        <v>4079</v>
      </c>
      <c r="Q581" s="2" t="s">
        <v>3843</v>
      </c>
      <c r="R581" s="2" t="s">
        <v>4080</v>
      </c>
      <c r="S581" s="2" t="s">
        <v>4081</v>
      </c>
      <c r="T581" s="2" t="s">
        <v>4082</v>
      </c>
      <c r="U581" s="2" t="s">
        <v>4083</v>
      </c>
      <c r="V581" s="2" t="s">
        <v>933</v>
      </c>
    </row>
    <row r="582" spans="1:22">
      <c r="A582" s="2" t="s">
        <v>996</v>
      </c>
      <c r="B582" s="2" t="s">
        <v>4077</v>
      </c>
      <c r="C582" s="2" t="s">
        <v>4078</v>
      </c>
      <c r="D582" s="2">
        <v>2024</v>
      </c>
      <c r="E582" s="3">
        <v>45292</v>
      </c>
      <c r="F582" s="2" t="s">
        <v>473</v>
      </c>
      <c r="G582" s="2">
        <v>15</v>
      </c>
      <c r="H582" s="2" t="s">
        <v>43</v>
      </c>
      <c r="I582" s="2" t="s">
        <v>43</v>
      </c>
      <c r="J582" s="2" t="s">
        <v>474</v>
      </c>
      <c r="K582" s="2" t="s">
        <v>183</v>
      </c>
      <c r="L582" s="2" t="s">
        <v>29</v>
      </c>
      <c r="M582" s="2" t="s">
        <v>2248</v>
      </c>
      <c r="N582" s="2" t="s">
        <v>961</v>
      </c>
      <c r="O582" s="4">
        <v>1941</v>
      </c>
      <c r="P582" s="2" t="s">
        <v>4079</v>
      </c>
      <c r="Q582" s="2" t="s">
        <v>3843</v>
      </c>
      <c r="R582" s="2" t="s">
        <v>4080</v>
      </c>
      <c r="S582" s="2" t="s">
        <v>4081</v>
      </c>
      <c r="T582" s="2" t="s">
        <v>4082</v>
      </c>
      <c r="U582" s="2" t="s">
        <v>4083</v>
      </c>
      <c r="V582" s="2" t="s">
        <v>933</v>
      </c>
    </row>
    <row r="583" spans="1:22">
      <c r="A583" s="2" t="s">
        <v>4084</v>
      </c>
      <c r="B583" s="2" t="s">
        <v>4085</v>
      </c>
      <c r="C583" s="2" t="s">
        <v>4086</v>
      </c>
      <c r="D583" s="2">
        <v>2025</v>
      </c>
      <c r="E583" s="3">
        <v>45658</v>
      </c>
      <c r="F583" s="2" t="s">
        <v>4087</v>
      </c>
      <c r="G583" s="2" t="s">
        <v>43</v>
      </c>
      <c r="H583" s="2" t="s">
        <v>43</v>
      </c>
      <c r="I583" s="2" t="s">
        <v>43</v>
      </c>
      <c r="J583" s="2" t="s">
        <v>43</v>
      </c>
      <c r="K583" s="2" t="s">
        <v>4088</v>
      </c>
      <c r="L583" s="2" t="s">
        <v>29</v>
      </c>
      <c r="M583" s="2" t="s">
        <v>43</v>
      </c>
      <c r="N583" s="2" t="s">
        <v>43</v>
      </c>
      <c r="O583" s="2" t="s">
        <v>43</v>
      </c>
      <c r="P583" s="2" t="s">
        <v>4089</v>
      </c>
      <c r="Q583" s="2" t="s">
        <v>2112</v>
      </c>
      <c r="R583" s="2" t="s">
        <v>4090</v>
      </c>
      <c r="S583" s="2" t="s">
        <v>4091</v>
      </c>
      <c r="T583" s="2" t="s">
        <v>4092</v>
      </c>
      <c r="U583" s="2" t="s">
        <v>4093</v>
      </c>
      <c r="V583" s="2" t="s">
        <v>4094</v>
      </c>
    </row>
    <row r="584" spans="1:22">
      <c r="A584" s="2" t="s">
        <v>3589</v>
      </c>
      <c r="B584" s="2" t="s">
        <v>4095</v>
      </c>
      <c r="C584" s="2" t="s">
        <v>4096</v>
      </c>
      <c r="D584" s="2">
        <v>2025</v>
      </c>
      <c r="E584" s="3">
        <v>45717</v>
      </c>
      <c r="F584" s="2" t="s">
        <v>2392</v>
      </c>
      <c r="G584" s="2">
        <v>36</v>
      </c>
      <c r="H584" s="2">
        <v>2</v>
      </c>
      <c r="I584" s="2" t="s">
        <v>4097</v>
      </c>
      <c r="J584" s="2" t="s">
        <v>2394</v>
      </c>
      <c r="K584" s="2" t="s">
        <v>392</v>
      </c>
      <c r="L584" s="2" t="s">
        <v>773</v>
      </c>
      <c r="M584" s="2" t="s">
        <v>1948</v>
      </c>
      <c r="N584" s="2" t="s">
        <v>2156</v>
      </c>
      <c r="O584" s="2" t="s">
        <v>3438</v>
      </c>
      <c r="P584" s="2" t="s">
        <v>4098</v>
      </c>
      <c r="Q584" s="2" t="s">
        <v>33</v>
      </c>
      <c r="R584" s="2" t="s">
        <v>4099</v>
      </c>
      <c r="S584" s="2" t="s">
        <v>1681</v>
      </c>
      <c r="T584" s="2" t="s">
        <v>2606</v>
      </c>
      <c r="U584" s="2" t="s">
        <v>1681</v>
      </c>
      <c r="V584" s="2" t="s">
        <v>80</v>
      </c>
    </row>
    <row r="585" spans="1:22">
      <c r="A585" s="2" t="s">
        <v>3588</v>
      </c>
      <c r="B585" s="2" t="s">
        <v>4095</v>
      </c>
      <c r="C585" s="2" t="s">
        <v>4096</v>
      </c>
      <c r="D585" s="2">
        <v>2025</v>
      </c>
      <c r="E585" s="3">
        <v>45717</v>
      </c>
      <c r="F585" s="2" t="s">
        <v>2392</v>
      </c>
      <c r="G585" s="2">
        <v>36</v>
      </c>
      <c r="H585" s="2">
        <v>2</v>
      </c>
      <c r="I585" s="2" t="s">
        <v>4097</v>
      </c>
      <c r="J585" s="2" t="s">
        <v>2394</v>
      </c>
      <c r="K585" s="2" t="s">
        <v>392</v>
      </c>
      <c r="L585" s="2" t="s">
        <v>773</v>
      </c>
      <c r="M585" s="2" t="s">
        <v>1948</v>
      </c>
      <c r="N585" s="2" t="s">
        <v>2156</v>
      </c>
      <c r="O585" s="2" t="s">
        <v>3438</v>
      </c>
      <c r="P585" s="2" t="s">
        <v>4098</v>
      </c>
      <c r="Q585" s="2" t="s">
        <v>33</v>
      </c>
      <c r="R585" s="2" t="s">
        <v>4099</v>
      </c>
      <c r="S585" s="2" t="s">
        <v>1681</v>
      </c>
      <c r="T585" s="2" t="s">
        <v>2606</v>
      </c>
      <c r="U585" s="2" t="s">
        <v>1681</v>
      </c>
      <c r="V585" s="2" t="s">
        <v>80</v>
      </c>
    </row>
    <row r="586" spans="1:22">
      <c r="A586" s="2" t="s">
        <v>2629</v>
      </c>
      <c r="B586" s="2" t="s">
        <v>4095</v>
      </c>
      <c r="C586" s="2" t="s">
        <v>4096</v>
      </c>
      <c r="D586" s="2">
        <v>2025</v>
      </c>
      <c r="E586" s="3">
        <v>45717</v>
      </c>
      <c r="F586" s="2" t="s">
        <v>2392</v>
      </c>
      <c r="G586" s="2">
        <v>36</v>
      </c>
      <c r="H586" s="2">
        <v>2</v>
      </c>
      <c r="I586" s="2" t="s">
        <v>4097</v>
      </c>
      <c r="J586" s="2" t="s">
        <v>2394</v>
      </c>
      <c r="K586" s="2" t="s">
        <v>392</v>
      </c>
      <c r="L586" s="2" t="s">
        <v>773</v>
      </c>
      <c r="M586" s="2" t="s">
        <v>1948</v>
      </c>
      <c r="N586" s="2" t="s">
        <v>2156</v>
      </c>
      <c r="O586" s="2" t="s">
        <v>3438</v>
      </c>
      <c r="P586" s="2" t="s">
        <v>4098</v>
      </c>
      <c r="Q586" s="2" t="s">
        <v>33</v>
      </c>
      <c r="R586" s="2" t="s">
        <v>4099</v>
      </c>
      <c r="S586" s="2" t="s">
        <v>1681</v>
      </c>
      <c r="T586" s="2" t="s">
        <v>2606</v>
      </c>
      <c r="U586" s="2" t="s">
        <v>1681</v>
      </c>
      <c r="V586" s="2" t="s">
        <v>80</v>
      </c>
    </row>
    <row r="587" spans="1:22">
      <c r="A587" s="2" t="s">
        <v>4100</v>
      </c>
      <c r="B587" s="2" t="s">
        <v>4101</v>
      </c>
      <c r="C587" s="2" t="s">
        <v>4102</v>
      </c>
      <c r="D587" s="2">
        <v>2024</v>
      </c>
      <c r="E587" s="3">
        <v>45536</v>
      </c>
      <c r="F587" s="2" t="s">
        <v>4103</v>
      </c>
      <c r="G587" s="2" t="s">
        <v>43</v>
      </c>
      <c r="H587" s="2">
        <v>65</v>
      </c>
      <c r="I587" s="2" t="s">
        <v>4104</v>
      </c>
      <c r="J587" s="2" t="s">
        <v>4105</v>
      </c>
      <c r="K587" s="2" t="s">
        <v>2768</v>
      </c>
      <c r="L587" s="2" t="s">
        <v>1867</v>
      </c>
      <c r="M587" s="2" t="s">
        <v>4106</v>
      </c>
      <c r="N587" s="2" t="s">
        <v>3134</v>
      </c>
      <c r="O587" s="2" t="s">
        <v>4107</v>
      </c>
      <c r="P587" s="2" t="s">
        <v>4108</v>
      </c>
      <c r="Q587" s="2" t="s">
        <v>33</v>
      </c>
      <c r="R587" s="2" t="s">
        <v>4109</v>
      </c>
      <c r="S587" s="2" t="s">
        <v>79</v>
      </c>
      <c r="T587" s="5">
        <v>601053680000000</v>
      </c>
      <c r="U587" s="2" t="s">
        <v>79</v>
      </c>
      <c r="V587" s="2" t="s">
        <v>80</v>
      </c>
    </row>
    <row r="588" spans="1:22">
      <c r="A588" s="2" t="s">
        <v>4110</v>
      </c>
      <c r="B588" s="2" t="s">
        <v>4111</v>
      </c>
      <c r="C588" s="2" t="s">
        <v>4112</v>
      </c>
      <c r="D588" s="2">
        <v>2024</v>
      </c>
      <c r="E588" s="3">
        <v>45474</v>
      </c>
      <c r="F588" s="2" t="s">
        <v>4113</v>
      </c>
      <c r="G588" s="2">
        <v>19</v>
      </c>
      <c r="H588" s="2">
        <v>37</v>
      </c>
      <c r="I588" s="2" t="s">
        <v>4114</v>
      </c>
      <c r="J588" s="2" t="s">
        <v>4115</v>
      </c>
      <c r="K588" s="2" t="s">
        <v>4116</v>
      </c>
      <c r="L588" s="2" t="s">
        <v>1867</v>
      </c>
      <c r="M588" s="2" t="s">
        <v>1919</v>
      </c>
      <c r="N588" s="2" t="s">
        <v>2797</v>
      </c>
      <c r="O588" s="2" t="s">
        <v>776</v>
      </c>
      <c r="P588" s="2" t="s">
        <v>43</v>
      </c>
      <c r="Q588" s="2" t="s">
        <v>33</v>
      </c>
      <c r="R588" s="2" t="s">
        <v>4117</v>
      </c>
      <c r="S588" s="2" t="s">
        <v>79</v>
      </c>
      <c r="T588" s="5">
        <v>601053680000000</v>
      </c>
      <c r="U588" s="2" t="s">
        <v>79</v>
      </c>
      <c r="V588" s="2" t="s">
        <v>80</v>
      </c>
    </row>
    <row r="589" spans="1:22">
      <c r="A589" s="2" t="s">
        <v>2935</v>
      </c>
      <c r="B589" s="2" t="s">
        <v>4118</v>
      </c>
      <c r="C589" s="2" t="s">
        <v>4119</v>
      </c>
      <c r="D589" s="2">
        <v>2025</v>
      </c>
      <c r="E589" s="3">
        <v>45658</v>
      </c>
      <c r="F589" s="2" t="s">
        <v>1676</v>
      </c>
      <c r="G589" s="2">
        <v>35</v>
      </c>
      <c r="H589" s="2">
        <v>1</v>
      </c>
      <c r="I589" s="2" t="s">
        <v>4120</v>
      </c>
      <c r="J589" s="2" t="s">
        <v>1678</v>
      </c>
      <c r="K589" s="2" t="s">
        <v>1624</v>
      </c>
      <c r="L589" s="2" t="s">
        <v>29</v>
      </c>
      <c r="M589" s="2" t="s">
        <v>144</v>
      </c>
      <c r="N589" s="2" t="s">
        <v>76</v>
      </c>
      <c r="O589" s="4">
        <v>1058</v>
      </c>
      <c r="P589" s="2" t="s">
        <v>4121</v>
      </c>
      <c r="Q589" s="2" t="s">
        <v>644</v>
      </c>
      <c r="R589" s="2" t="s">
        <v>4122</v>
      </c>
      <c r="S589" s="2" t="s">
        <v>79</v>
      </c>
      <c r="T589" s="2" t="s">
        <v>4123</v>
      </c>
      <c r="U589" s="2" t="s">
        <v>4124</v>
      </c>
      <c r="V589" s="2" t="s">
        <v>80</v>
      </c>
    </row>
    <row r="590" spans="1:22">
      <c r="A590" s="2" t="s">
        <v>1673</v>
      </c>
      <c r="B590" s="2" t="s">
        <v>4118</v>
      </c>
      <c r="C590" s="2" t="s">
        <v>4119</v>
      </c>
      <c r="D590" s="2">
        <v>2025</v>
      </c>
      <c r="E590" s="3">
        <v>45658</v>
      </c>
      <c r="F590" s="2" t="s">
        <v>1676</v>
      </c>
      <c r="G590" s="2">
        <v>35</v>
      </c>
      <c r="H590" s="2">
        <v>1</v>
      </c>
      <c r="I590" s="2" t="s">
        <v>4120</v>
      </c>
      <c r="J590" s="2" t="s">
        <v>1678</v>
      </c>
      <c r="K590" s="2" t="s">
        <v>1624</v>
      </c>
      <c r="L590" s="2" t="s">
        <v>29</v>
      </c>
      <c r="M590" s="2" t="s">
        <v>144</v>
      </c>
      <c r="N590" s="2" t="s">
        <v>76</v>
      </c>
      <c r="O590" s="4">
        <v>1058</v>
      </c>
      <c r="P590" s="2" t="s">
        <v>4121</v>
      </c>
      <c r="Q590" s="2" t="s">
        <v>644</v>
      </c>
      <c r="R590" s="2" t="s">
        <v>4122</v>
      </c>
      <c r="S590" s="2" t="s">
        <v>79</v>
      </c>
      <c r="T590" s="2" t="s">
        <v>4123</v>
      </c>
      <c r="U590" s="2" t="s">
        <v>4124</v>
      </c>
      <c r="V590" s="2" t="s">
        <v>80</v>
      </c>
    </row>
    <row r="591" spans="1:22">
      <c r="A591" s="2" t="s">
        <v>1282</v>
      </c>
      <c r="B591" s="2" t="s">
        <v>4118</v>
      </c>
      <c r="C591" s="2" t="s">
        <v>4119</v>
      </c>
      <c r="D591" s="2">
        <v>2025</v>
      </c>
      <c r="E591" s="3">
        <v>45658</v>
      </c>
      <c r="F591" s="2" t="s">
        <v>1676</v>
      </c>
      <c r="G591" s="2">
        <v>35</v>
      </c>
      <c r="H591" s="2">
        <v>1</v>
      </c>
      <c r="I591" s="2" t="s">
        <v>4120</v>
      </c>
      <c r="J591" s="2" t="s">
        <v>1678</v>
      </c>
      <c r="K591" s="2" t="s">
        <v>1624</v>
      </c>
      <c r="L591" s="2" t="s">
        <v>29</v>
      </c>
      <c r="M591" s="2" t="s">
        <v>144</v>
      </c>
      <c r="N591" s="2" t="s">
        <v>76</v>
      </c>
      <c r="O591" s="4">
        <v>1058</v>
      </c>
      <c r="P591" s="2" t="s">
        <v>4121</v>
      </c>
      <c r="Q591" s="2" t="s">
        <v>644</v>
      </c>
      <c r="R591" s="2" t="s">
        <v>4122</v>
      </c>
      <c r="S591" s="2" t="s">
        <v>79</v>
      </c>
      <c r="T591" s="2" t="s">
        <v>4123</v>
      </c>
      <c r="U591" s="2" t="s">
        <v>4124</v>
      </c>
      <c r="V591" s="2" t="s">
        <v>80</v>
      </c>
    </row>
    <row r="592" spans="1:22">
      <c r="A592" s="2" t="s">
        <v>4125</v>
      </c>
      <c r="B592" s="2" t="s">
        <v>4126</v>
      </c>
      <c r="C592" s="2" t="s">
        <v>4127</v>
      </c>
      <c r="D592" s="2">
        <v>2025</v>
      </c>
      <c r="E592" s="3">
        <v>45717</v>
      </c>
      <c r="F592" s="2" t="s">
        <v>4128</v>
      </c>
      <c r="G592" s="2">
        <v>22</v>
      </c>
      <c r="H592" s="2" t="s">
        <v>43</v>
      </c>
      <c r="I592" s="2" t="s">
        <v>43</v>
      </c>
      <c r="J592" s="2" t="s">
        <v>4129</v>
      </c>
      <c r="K592" s="2" t="s">
        <v>103</v>
      </c>
      <c r="L592" s="2" t="s">
        <v>29</v>
      </c>
      <c r="M592" s="2" t="s">
        <v>195</v>
      </c>
      <c r="N592" s="2" t="s">
        <v>1581</v>
      </c>
      <c r="O592" s="4">
        <v>1032</v>
      </c>
      <c r="P592" s="2" t="s">
        <v>4130</v>
      </c>
      <c r="Q592" s="2" t="s">
        <v>644</v>
      </c>
      <c r="R592" s="2" t="s">
        <v>4131</v>
      </c>
      <c r="S592" s="2" t="s">
        <v>1681</v>
      </c>
      <c r="T592" s="2" t="s">
        <v>4132</v>
      </c>
      <c r="U592" s="2" t="s">
        <v>4133</v>
      </c>
      <c r="V592" s="2" t="s">
        <v>621</v>
      </c>
    </row>
    <row r="593" spans="1:22">
      <c r="A593" s="2" t="s">
        <v>4134</v>
      </c>
      <c r="B593" s="2" t="s">
        <v>4126</v>
      </c>
      <c r="C593" s="2" t="s">
        <v>4127</v>
      </c>
      <c r="D593" s="2">
        <v>2025</v>
      </c>
      <c r="E593" s="3">
        <v>45717</v>
      </c>
      <c r="F593" s="2" t="s">
        <v>4128</v>
      </c>
      <c r="G593" s="2">
        <v>22</v>
      </c>
      <c r="H593" s="2" t="s">
        <v>43</v>
      </c>
      <c r="I593" s="2" t="s">
        <v>43</v>
      </c>
      <c r="J593" s="2" t="s">
        <v>4129</v>
      </c>
      <c r="K593" s="2" t="s">
        <v>103</v>
      </c>
      <c r="L593" s="2" t="s">
        <v>29</v>
      </c>
      <c r="M593" s="2" t="s">
        <v>195</v>
      </c>
      <c r="N593" s="2" t="s">
        <v>1581</v>
      </c>
      <c r="O593" s="4">
        <v>1032</v>
      </c>
      <c r="P593" s="2" t="s">
        <v>4130</v>
      </c>
      <c r="Q593" s="2" t="s">
        <v>644</v>
      </c>
      <c r="R593" s="2" t="s">
        <v>4131</v>
      </c>
      <c r="S593" s="2" t="s">
        <v>1681</v>
      </c>
      <c r="T593" s="2" t="s">
        <v>4132</v>
      </c>
      <c r="U593" s="2" t="s">
        <v>4133</v>
      </c>
      <c r="V593" s="2" t="s">
        <v>621</v>
      </c>
    </row>
    <row r="594" spans="1:22">
      <c r="A594" s="2" t="s">
        <v>1344</v>
      </c>
      <c r="B594" s="2" t="s">
        <v>4126</v>
      </c>
      <c r="C594" s="2" t="s">
        <v>4127</v>
      </c>
      <c r="D594" s="2">
        <v>2025</v>
      </c>
      <c r="E594" s="3">
        <v>45717</v>
      </c>
      <c r="F594" s="2" t="s">
        <v>4128</v>
      </c>
      <c r="G594" s="2">
        <v>22</v>
      </c>
      <c r="H594" s="2" t="s">
        <v>43</v>
      </c>
      <c r="I594" s="2" t="s">
        <v>43</v>
      </c>
      <c r="J594" s="2" t="s">
        <v>4129</v>
      </c>
      <c r="K594" s="2" t="s">
        <v>103</v>
      </c>
      <c r="L594" s="2" t="s">
        <v>29</v>
      </c>
      <c r="M594" s="2" t="s">
        <v>195</v>
      </c>
      <c r="N594" s="2" t="s">
        <v>1581</v>
      </c>
      <c r="O594" s="4">
        <v>1032</v>
      </c>
      <c r="P594" s="2" t="s">
        <v>4130</v>
      </c>
      <c r="Q594" s="2" t="s">
        <v>644</v>
      </c>
      <c r="R594" s="2" t="s">
        <v>4131</v>
      </c>
      <c r="S594" s="2" t="s">
        <v>1681</v>
      </c>
      <c r="T594" s="2" t="s">
        <v>4132</v>
      </c>
      <c r="U594" s="2" t="s">
        <v>4133</v>
      </c>
      <c r="V594" s="2" t="s">
        <v>621</v>
      </c>
    </row>
    <row r="595" spans="1:22">
      <c r="A595" s="2" t="s">
        <v>1916</v>
      </c>
      <c r="B595" s="2" t="s">
        <v>4126</v>
      </c>
      <c r="C595" s="2" t="s">
        <v>4127</v>
      </c>
      <c r="D595" s="2">
        <v>2025</v>
      </c>
      <c r="E595" s="3">
        <v>45717</v>
      </c>
      <c r="F595" s="2" t="s">
        <v>4128</v>
      </c>
      <c r="G595" s="2">
        <v>22</v>
      </c>
      <c r="H595" s="2" t="s">
        <v>43</v>
      </c>
      <c r="I595" s="2" t="s">
        <v>43</v>
      </c>
      <c r="J595" s="2" t="s">
        <v>4129</v>
      </c>
      <c r="K595" s="2" t="s">
        <v>103</v>
      </c>
      <c r="L595" s="2" t="s">
        <v>29</v>
      </c>
      <c r="M595" s="2" t="s">
        <v>195</v>
      </c>
      <c r="N595" s="2" t="s">
        <v>1581</v>
      </c>
      <c r="O595" s="4">
        <v>1032</v>
      </c>
      <c r="P595" s="2" t="s">
        <v>4130</v>
      </c>
      <c r="Q595" s="2" t="s">
        <v>644</v>
      </c>
      <c r="R595" s="2" t="s">
        <v>4131</v>
      </c>
      <c r="S595" s="2" t="s">
        <v>1681</v>
      </c>
      <c r="T595" s="2" t="s">
        <v>4132</v>
      </c>
      <c r="U595" s="2" t="s">
        <v>4133</v>
      </c>
      <c r="V595" s="2" t="s">
        <v>621</v>
      </c>
    </row>
    <row r="596" spans="1:22" ht="28.8">
      <c r="A596" s="2" t="s">
        <v>276</v>
      </c>
      <c r="B596" s="2" t="s">
        <v>4135</v>
      </c>
      <c r="C596" s="2" t="s">
        <v>4136</v>
      </c>
      <c r="D596" s="2">
        <v>2025</v>
      </c>
      <c r="E596" s="3">
        <v>45658</v>
      </c>
      <c r="F596" s="2" t="s">
        <v>4137</v>
      </c>
      <c r="G596" s="2" t="s">
        <v>43</v>
      </c>
      <c r="H596" s="2" t="s">
        <v>43</v>
      </c>
      <c r="I596" s="2" t="s">
        <v>43</v>
      </c>
      <c r="J596" s="2" t="s">
        <v>4138</v>
      </c>
      <c r="K596" s="2" t="s">
        <v>119</v>
      </c>
      <c r="L596" s="2" t="s">
        <v>29</v>
      </c>
      <c r="M596" s="2" t="s">
        <v>601</v>
      </c>
      <c r="N596" s="2" t="s">
        <v>961</v>
      </c>
      <c r="O596" s="2" t="s">
        <v>4139</v>
      </c>
      <c r="P596" s="2" t="s">
        <v>4140</v>
      </c>
      <c r="Q596" s="2" t="s">
        <v>2904</v>
      </c>
      <c r="R596" s="2" t="s">
        <v>4141</v>
      </c>
      <c r="S596" s="2" t="s">
        <v>4142</v>
      </c>
      <c r="T596" s="2" t="s">
        <v>4143</v>
      </c>
      <c r="U596" s="2" t="s">
        <v>4144</v>
      </c>
      <c r="V596" s="2" t="s">
        <v>4145</v>
      </c>
    </row>
    <row r="597" spans="1:22">
      <c r="A597" s="2" t="s">
        <v>4146</v>
      </c>
      <c r="B597" s="2" t="s">
        <v>4147</v>
      </c>
      <c r="C597" s="2" t="s">
        <v>4148</v>
      </c>
      <c r="D597" s="2">
        <v>2024</v>
      </c>
      <c r="E597" s="3">
        <v>45292</v>
      </c>
      <c r="F597" s="2" t="s">
        <v>4149</v>
      </c>
      <c r="G597" s="2" t="s">
        <v>43</v>
      </c>
      <c r="H597" s="2">
        <v>36</v>
      </c>
      <c r="I597" s="2" t="s">
        <v>4150</v>
      </c>
      <c r="J597" s="2" t="s">
        <v>4151</v>
      </c>
      <c r="K597" s="2" t="s">
        <v>4152</v>
      </c>
      <c r="L597" s="2" t="s">
        <v>773</v>
      </c>
      <c r="M597" s="2" t="s">
        <v>2423</v>
      </c>
      <c r="N597" s="2" t="s">
        <v>4153</v>
      </c>
      <c r="O597" s="2" t="s">
        <v>4154</v>
      </c>
      <c r="P597" s="2" t="s">
        <v>4155</v>
      </c>
      <c r="Q597" s="2" t="s">
        <v>33</v>
      </c>
      <c r="R597" s="2" t="s">
        <v>4156</v>
      </c>
      <c r="S597" s="2" t="s">
        <v>4157</v>
      </c>
      <c r="T597" s="2" t="s">
        <v>4158</v>
      </c>
      <c r="U597" s="2" t="s">
        <v>4157</v>
      </c>
      <c r="V597" s="2" t="s">
        <v>594</v>
      </c>
    </row>
    <row r="598" spans="1:22">
      <c r="A598" s="2" t="s">
        <v>386</v>
      </c>
      <c r="B598" s="2" t="s">
        <v>4159</v>
      </c>
      <c r="C598" s="2" t="s">
        <v>4160</v>
      </c>
      <c r="D598" s="2">
        <v>2024</v>
      </c>
      <c r="E598" s="3">
        <v>45413</v>
      </c>
      <c r="F598" s="2" t="s">
        <v>4161</v>
      </c>
      <c r="G598" s="2">
        <v>39</v>
      </c>
      <c r="H598" s="2">
        <v>5</v>
      </c>
      <c r="I598" s="2" t="s">
        <v>4162</v>
      </c>
      <c r="J598" s="2" t="s">
        <v>4163</v>
      </c>
      <c r="K598" s="2" t="s">
        <v>772</v>
      </c>
      <c r="L598" s="2" t="s">
        <v>4164</v>
      </c>
      <c r="M598" s="2" t="s">
        <v>3416</v>
      </c>
      <c r="N598" s="2" t="s">
        <v>4165</v>
      </c>
      <c r="O598" s="2" t="s">
        <v>4166</v>
      </c>
      <c r="P598" s="2" t="s">
        <v>4167</v>
      </c>
      <c r="Q598" s="2" t="s">
        <v>33</v>
      </c>
      <c r="R598" s="2" t="s">
        <v>4168</v>
      </c>
      <c r="S598" s="2" t="s">
        <v>398</v>
      </c>
      <c r="T598" s="2" t="s">
        <v>4169</v>
      </c>
      <c r="U598" s="2" t="s">
        <v>4170</v>
      </c>
      <c r="V598" s="2" t="s">
        <v>80</v>
      </c>
    </row>
    <row r="599" spans="1:22">
      <c r="A599" s="2" t="s">
        <v>4171</v>
      </c>
      <c r="B599" s="2" t="s">
        <v>4172</v>
      </c>
      <c r="C599" s="2" t="s">
        <v>4173</v>
      </c>
      <c r="D599" s="2">
        <v>2025</v>
      </c>
      <c r="E599" s="3">
        <v>45839</v>
      </c>
      <c r="F599" s="2" t="s">
        <v>4174</v>
      </c>
      <c r="G599" s="2">
        <v>58</v>
      </c>
      <c r="H599" s="2">
        <v>2</v>
      </c>
      <c r="I599" s="2" t="s">
        <v>4175</v>
      </c>
      <c r="J599" s="2" t="s">
        <v>4176</v>
      </c>
      <c r="K599" s="2" t="s">
        <v>2768</v>
      </c>
      <c r="L599" s="2" t="s">
        <v>1867</v>
      </c>
      <c r="M599" s="2" t="s">
        <v>2203</v>
      </c>
      <c r="N599" s="2" t="s">
        <v>1473</v>
      </c>
      <c r="O599" s="2" t="s">
        <v>4177</v>
      </c>
      <c r="P599" s="2" t="s">
        <v>4178</v>
      </c>
      <c r="Q599" s="2" t="s">
        <v>33</v>
      </c>
      <c r="R599" s="2" t="s">
        <v>4179</v>
      </c>
      <c r="S599" s="2" t="s">
        <v>511</v>
      </c>
      <c r="T599" s="2" t="s">
        <v>512</v>
      </c>
      <c r="U599" s="2" t="s">
        <v>511</v>
      </c>
      <c r="V599" s="2" t="s">
        <v>80</v>
      </c>
    </row>
    <row r="600" spans="1:22">
      <c r="A600" s="2" t="s">
        <v>39</v>
      </c>
      <c r="B600" s="2" t="s">
        <v>4180</v>
      </c>
      <c r="C600" s="2" t="s">
        <v>4181</v>
      </c>
      <c r="D600" s="2">
        <v>2025</v>
      </c>
      <c r="E600" s="3">
        <v>45809</v>
      </c>
      <c r="F600" s="2" t="s">
        <v>4182</v>
      </c>
      <c r="G600" s="2">
        <v>33</v>
      </c>
      <c r="H600" s="2">
        <v>6</v>
      </c>
      <c r="I600" s="2" t="s">
        <v>4183</v>
      </c>
      <c r="J600" s="2" t="s">
        <v>4184</v>
      </c>
      <c r="K600" s="2" t="s">
        <v>119</v>
      </c>
      <c r="L600" s="2" t="s">
        <v>29</v>
      </c>
      <c r="M600" s="2" t="s">
        <v>579</v>
      </c>
      <c r="N600" s="2" t="s">
        <v>281</v>
      </c>
      <c r="O600" s="4">
        <v>1765</v>
      </c>
      <c r="P600" s="2" t="s">
        <v>4185</v>
      </c>
      <c r="Q600" s="2" t="s">
        <v>2904</v>
      </c>
      <c r="R600" s="2" t="s">
        <v>4186</v>
      </c>
      <c r="S600" s="2" t="s">
        <v>4187</v>
      </c>
      <c r="T600" s="2" t="s">
        <v>4188</v>
      </c>
      <c r="U600" s="2" t="s">
        <v>4189</v>
      </c>
      <c r="V600" s="2" t="s">
        <v>621</v>
      </c>
    </row>
    <row r="601" spans="1:22">
      <c r="A601" s="2" t="s">
        <v>4190</v>
      </c>
      <c r="B601" s="2" t="s">
        <v>4191</v>
      </c>
      <c r="C601" s="2" t="s">
        <v>4192</v>
      </c>
      <c r="D601" s="2">
        <v>2025</v>
      </c>
      <c r="E601" s="3">
        <v>45839</v>
      </c>
      <c r="F601" s="2" t="s">
        <v>2419</v>
      </c>
      <c r="G601" s="2">
        <v>9</v>
      </c>
      <c r="H601" s="2">
        <v>2</v>
      </c>
      <c r="I601" s="2" t="s">
        <v>4193</v>
      </c>
      <c r="J601" s="2" t="s">
        <v>2421</v>
      </c>
      <c r="K601" s="2" t="s">
        <v>2422</v>
      </c>
      <c r="L601" s="2" t="s">
        <v>1867</v>
      </c>
      <c r="M601" s="2" t="s">
        <v>3357</v>
      </c>
      <c r="N601" s="2" t="s">
        <v>1488</v>
      </c>
      <c r="O601" s="2" t="s">
        <v>4194</v>
      </c>
      <c r="P601" s="2" t="s">
        <v>4195</v>
      </c>
      <c r="Q601" s="2" t="s">
        <v>33</v>
      </c>
      <c r="R601" s="2" t="s">
        <v>4196</v>
      </c>
      <c r="S601" s="2" t="s">
        <v>4197</v>
      </c>
      <c r="T601" s="2" t="s">
        <v>4198</v>
      </c>
      <c r="U601" s="2" t="s">
        <v>4199</v>
      </c>
      <c r="V601" s="2" t="s">
        <v>3927</v>
      </c>
    </row>
    <row r="602" spans="1:22">
      <c r="A602" s="2" t="s">
        <v>1355</v>
      </c>
      <c r="B602" s="2" t="s">
        <v>4200</v>
      </c>
      <c r="C602" s="2" t="s">
        <v>4201</v>
      </c>
      <c r="D602" s="2">
        <v>2024</v>
      </c>
      <c r="E602" s="3">
        <v>45292</v>
      </c>
      <c r="F602" s="2" t="s">
        <v>3692</v>
      </c>
      <c r="G602" s="2">
        <v>30</v>
      </c>
      <c r="H602" s="2">
        <v>1</v>
      </c>
      <c r="I602" s="2" t="s">
        <v>4202</v>
      </c>
      <c r="J602" s="2" t="s">
        <v>3694</v>
      </c>
      <c r="K602" s="2" t="s">
        <v>45</v>
      </c>
      <c r="L602" s="2" t="s">
        <v>29</v>
      </c>
      <c r="M602" s="2" t="s">
        <v>719</v>
      </c>
      <c r="N602" s="2" t="s">
        <v>827</v>
      </c>
      <c r="O602" s="2" t="s">
        <v>4203</v>
      </c>
      <c r="P602" s="2" t="s">
        <v>4204</v>
      </c>
      <c r="Q602" s="2" t="s">
        <v>33</v>
      </c>
      <c r="R602" s="2" t="s">
        <v>4205</v>
      </c>
      <c r="S602" s="2" t="s">
        <v>1681</v>
      </c>
      <c r="T602" s="2" t="s">
        <v>4206</v>
      </c>
      <c r="U602" s="2" t="s">
        <v>4207</v>
      </c>
      <c r="V602" s="2" t="s">
        <v>80</v>
      </c>
    </row>
    <row r="603" spans="1:22">
      <c r="A603" s="2" t="s">
        <v>3689</v>
      </c>
      <c r="B603" s="2" t="s">
        <v>4200</v>
      </c>
      <c r="C603" s="2" t="s">
        <v>4201</v>
      </c>
      <c r="D603" s="2">
        <v>2024</v>
      </c>
      <c r="E603" s="3">
        <v>45292</v>
      </c>
      <c r="F603" s="2" t="s">
        <v>3692</v>
      </c>
      <c r="G603" s="2">
        <v>30</v>
      </c>
      <c r="H603" s="2">
        <v>1</v>
      </c>
      <c r="I603" s="2" t="s">
        <v>4202</v>
      </c>
      <c r="J603" s="2" t="s">
        <v>3694</v>
      </c>
      <c r="K603" s="2" t="s">
        <v>45</v>
      </c>
      <c r="L603" s="2" t="s">
        <v>29</v>
      </c>
      <c r="M603" s="2" t="s">
        <v>719</v>
      </c>
      <c r="N603" s="2" t="s">
        <v>827</v>
      </c>
      <c r="O603" s="2" t="s">
        <v>4203</v>
      </c>
      <c r="P603" s="2" t="s">
        <v>4204</v>
      </c>
      <c r="Q603" s="2" t="s">
        <v>33</v>
      </c>
      <c r="R603" s="2" t="s">
        <v>4205</v>
      </c>
      <c r="S603" s="2" t="s">
        <v>1681</v>
      </c>
      <c r="T603" s="2" t="s">
        <v>4206</v>
      </c>
      <c r="U603" s="2" t="s">
        <v>4207</v>
      </c>
      <c r="V603" s="2" t="s">
        <v>80</v>
      </c>
    </row>
    <row r="604" spans="1:22">
      <c r="A604" s="2" t="s">
        <v>4208</v>
      </c>
      <c r="B604" s="2" t="s">
        <v>4209</v>
      </c>
      <c r="C604" s="2" t="s">
        <v>4210</v>
      </c>
      <c r="D604" s="2">
        <v>2024</v>
      </c>
      <c r="E604" s="3">
        <v>45292</v>
      </c>
      <c r="F604" s="2" t="s">
        <v>4211</v>
      </c>
      <c r="G604" s="2" t="s">
        <v>43</v>
      </c>
      <c r="H604" s="2">
        <v>1</v>
      </c>
      <c r="I604" s="2" t="s">
        <v>4212</v>
      </c>
      <c r="J604" s="2" t="s">
        <v>4213</v>
      </c>
      <c r="K604" s="2" t="s">
        <v>4214</v>
      </c>
      <c r="L604" s="2" t="s">
        <v>773</v>
      </c>
      <c r="M604" s="2" t="s">
        <v>3357</v>
      </c>
      <c r="N604" s="2" t="s">
        <v>2407</v>
      </c>
      <c r="O604" s="2" t="s">
        <v>2736</v>
      </c>
      <c r="P604" s="2" t="s">
        <v>4215</v>
      </c>
      <c r="Q604" s="2" t="s">
        <v>33</v>
      </c>
      <c r="R604" s="2" t="s">
        <v>4216</v>
      </c>
      <c r="S604" s="2" t="s">
        <v>4217</v>
      </c>
      <c r="T604" s="2" t="s">
        <v>4218</v>
      </c>
      <c r="U604" s="2" t="s">
        <v>4219</v>
      </c>
      <c r="V604" s="2" t="s">
        <v>80</v>
      </c>
    </row>
    <row r="605" spans="1:22">
      <c r="A605" s="2" t="s">
        <v>3689</v>
      </c>
      <c r="B605" s="2" t="s">
        <v>4220</v>
      </c>
      <c r="C605" s="2" t="s">
        <v>4221</v>
      </c>
      <c r="D605" s="2">
        <v>2024</v>
      </c>
      <c r="E605" s="3">
        <v>45413</v>
      </c>
      <c r="F605" s="2" t="s">
        <v>2392</v>
      </c>
      <c r="G605" s="2">
        <v>35</v>
      </c>
      <c r="H605" s="6">
        <v>46115</v>
      </c>
      <c r="I605" s="2" t="s">
        <v>4222</v>
      </c>
      <c r="J605" s="2" t="s">
        <v>2394</v>
      </c>
      <c r="K605" s="2" t="s">
        <v>392</v>
      </c>
      <c r="L605" s="2" t="s">
        <v>773</v>
      </c>
      <c r="M605" s="2" t="s">
        <v>47</v>
      </c>
      <c r="N605" s="2" t="s">
        <v>2395</v>
      </c>
      <c r="O605" s="2" t="s">
        <v>2396</v>
      </c>
      <c r="P605" s="2" t="s">
        <v>4223</v>
      </c>
      <c r="Q605" s="2" t="s">
        <v>33</v>
      </c>
      <c r="R605" s="2" t="s">
        <v>4224</v>
      </c>
      <c r="S605" s="2" t="s">
        <v>1681</v>
      </c>
      <c r="T605" s="2" t="s">
        <v>4225</v>
      </c>
      <c r="U605" s="2" t="s">
        <v>4226</v>
      </c>
      <c r="V605" s="2" t="s">
        <v>80</v>
      </c>
    </row>
    <row r="606" spans="1:22">
      <c r="A606" s="2" t="s">
        <v>4227</v>
      </c>
      <c r="B606" s="2" t="s">
        <v>4220</v>
      </c>
      <c r="C606" s="2" t="s">
        <v>4221</v>
      </c>
      <c r="D606" s="2">
        <v>2024</v>
      </c>
      <c r="E606" s="3">
        <v>45413</v>
      </c>
      <c r="F606" s="2" t="s">
        <v>2392</v>
      </c>
      <c r="G606" s="2">
        <v>35</v>
      </c>
      <c r="H606" s="6">
        <v>46115</v>
      </c>
      <c r="I606" s="2" t="s">
        <v>4222</v>
      </c>
      <c r="J606" s="2" t="s">
        <v>2394</v>
      </c>
      <c r="K606" s="2" t="s">
        <v>392</v>
      </c>
      <c r="L606" s="2" t="s">
        <v>773</v>
      </c>
      <c r="M606" s="2" t="s">
        <v>47</v>
      </c>
      <c r="N606" s="2" t="s">
        <v>2395</v>
      </c>
      <c r="O606" s="2" t="s">
        <v>2396</v>
      </c>
      <c r="P606" s="2" t="s">
        <v>4223</v>
      </c>
      <c r="Q606" s="2" t="s">
        <v>33</v>
      </c>
      <c r="R606" s="2" t="s">
        <v>4224</v>
      </c>
      <c r="S606" s="2" t="s">
        <v>1681</v>
      </c>
      <c r="T606" s="2" t="s">
        <v>4225</v>
      </c>
      <c r="U606" s="2" t="s">
        <v>4226</v>
      </c>
      <c r="V606" s="2" t="s">
        <v>80</v>
      </c>
    </row>
    <row r="607" spans="1:22">
      <c r="A607" s="2" t="s">
        <v>4228</v>
      </c>
      <c r="B607" s="2" t="s">
        <v>4220</v>
      </c>
      <c r="C607" s="2" t="s">
        <v>4221</v>
      </c>
      <c r="D607" s="2">
        <v>2024</v>
      </c>
      <c r="E607" s="3">
        <v>45413</v>
      </c>
      <c r="F607" s="2" t="s">
        <v>2392</v>
      </c>
      <c r="G607" s="2">
        <v>35</v>
      </c>
      <c r="H607" s="6">
        <v>46115</v>
      </c>
      <c r="I607" s="2" t="s">
        <v>4222</v>
      </c>
      <c r="J607" s="2" t="s">
        <v>2394</v>
      </c>
      <c r="K607" s="2" t="s">
        <v>392</v>
      </c>
      <c r="L607" s="2" t="s">
        <v>773</v>
      </c>
      <c r="M607" s="2" t="s">
        <v>47</v>
      </c>
      <c r="N607" s="2" t="s">
        <v>2395</v>
      </c>
      <c r="O607" s="2" t="s">
        <v>2396</v>
      </c>
      <c r="P607" s="2" t="s">
        <v>4223</v>
      </c>
      <c r="Q607" s="2" t="s">
        <v>33</v>
      </c>
      <c r="R607" s="2" t="s">
        <v>4224</v>
      </c>
      <c r="S607" s="2" t="s">
        <v>1681</v>
      </c>
      <c r="T607" s="2" t="s">
        <v>4225</v>
      </c>
      <c r="U607" s="2" t="s">
        <v>4226</v>
      </c>
      <c r="V607" s="2" t="s">
        <v>80</v>
      </c>
    </row>
    <row r="608" spans="1:22">
      <c r="A608" s="2" t="s">
        <v>4229</v>
      </c>
      <c r="B608" s="2" t="s">
        <v>4220</v>
      </c>
      <c r="C608" s="2" t="s">
        <v>4221</v>
      </c>
      <c r="D608" s="2">
        <v>2024</v>
      </c>
      <c r="E608" s="3">
        <v>45413</v>
      </c>
      <c r="F608" s="2" t="s">
        <v>2392</v>
      </c>
      <c r="G608" s="2">
        <v>35</v>
      </c>
      <c r="H608" s="6">
        <v>46115</v>
      </c>
      <c r="I608" s="2" t="s">
        <v>4222</v>
      </c>
      <c r="J608" s="2" t="s">
        <v>2394</v>
      </c>
      <c r="K608" s="2" t="s">
        <v>392</v>
      </c>
      <c r="L608" s="2" t="s">
        <v>773</v>
      </c>
      <c r="M608" s="2" t="s">
        <v>47</v>
      </c>
      <c r="N608" s="2" t="s">
        <v>2395</v>
      </c>
      <c r="O608" s="2" t="s">
        <v>2396</v>
      </c>
      <c r="P608" s="2" t="s">
        <v>4223</v>
      </c>
      <c r="Q608" s="2" t="s">
        <v>33</v>
      </c>
      <c r="R608" s="2" t="s">
        <v>4224</v>
      </c>
      <c r="S608" s="2" t="s">
        <v>1681</v>
      </c>
      <c r="T608" s="2" t="s">
        <v>4225</v>
      </c>
      <c r="U608" s="2" t="s">
        <v>4226</v>
      </c>
      <c r="V608" s="2" t="s">
        <v>80</v>
      </c>
    </row>
    <row r="609" spans="1:22">
      <c r="A609" s="2" t="s">
        <v>1051</v>
      </c>
      <c r="B609" s="2" t="s">
        <v>4230</v>
      </c>
      <c r="C609" s="2" t="s">
        <v>4231</v>
      </c>
      <c r="D609" s="2">
        <v>2024</v>
      </c>
      <c r="E609" s="3">
        <v>45292</v>
      </c>
      <c r="F609" s="2" t="s">
        <v>4232</v>
      </c>
      <c r="G609" s="2">
        <v>12</v>
      </c>
      <c r="H609" s="2" t="s">
        <v>43</v>
      </c>
      <c r="I609" s="2" t="s">
        <v>4233</v>
      </c>
      <c r="J609" s="2" t="s">
        <v>4234</v>
      </c>
      <c r="K609" s="2" t="s">
        <v>2893</v>
      </c>
      <c r="L609" s="2" t="s">
        <v>29</v>
      </c>
      <c r="M609" s="2" t="s">
        <v>75</v>
      </c>
      <c r="N609" s="2" t="s">
        <v>76</v>
      </c>
      <c r="O609" s="2" t="s">
        <v>4235</v>
      </c>
      <c r="P609" s="2" t="s">
        <v>4236</v>
      </c>
      <c r="Q609" s="2" t="s">
        <v>33</v>
      </c>
      <c r="R609" s="2" t="s">
        <v>4237</v>
      </c>
      <c r="S609" s="2" t="s">
        <v>4238</v>
      </c>
      <c r="T609" s="2" t="s">
        <v>4239</v>
      </c>
      <c r="U609" s="2" t="s">
        <v>4238</v>
      </c>
      <c r="V609" s="2" t="s">
        <v>80</v>
      </c>
    </row>
    <row r="610" spans="1:22">
      <c r="A610" s="2" t="s">
        <v>4240</v>
      </c>
      <c r="B610" s="2" t="s">
        <v>4241</v>
      </c>
      <c r="C610" s="2" t="s">
        <v>4242</v>
      </c>
      <c r="D610" s="2">
        <v>2024</v>
      </c>
      <c r="E610" s="3">
        <v>45566</v>
      </c>
      <c r="F610" s="2" t="s">
        <v>4243</v>
      </c>
      <c r="G610" s="2">
        <v>2024</v>
      </c>
      <c r="H610" s="2">
        <v>21</v>
      </c>
      <c r="I610" s="2" t="s">
        <v>4244</v>
      </c>
      <c r="J610" s="2" t="s">
        <v>4245</v>
      </c>
      <c r="K610" s="2" t="s">
        <v>4246</v>
      </c>
      <c r="L610" s="2" t="s">
        <v>1867</v>
      </c>
      <c r="M610" s="2" t="s">
        <v>3416</v>
      </c>
      <c r="N610" s="2" t="s">
        <v>4247</v>
      </c>
      <c r="O610" s="2" t="s">
        <v>4248</v>
      </c>
      <c r="P610" s="2" t="s">
        <v>43</v>
      </c>
      <c r="Q610" s="2" t="s">
        <v>33</v>
      </c>
      <c r="R610" s="2" t="s">
        <v>4249</v>
      </c>
      <c r="S610" s="2" t="s">
        <v>79</v>
      </c>
      <c r="T610" s="5">
        <v>601053680000000</v>
      </c>
      <c r="U610" s="2" t="s">
        <v>79</v>
      </c>
      <c r="V610" s="2" t="s">
        <v>80</v>
      </c>
    </row>
    <row r="611" spans="1:22">
      <c r="A611" s="2" t="s">
        <v>4250</v>
      </c>
      <c r="B611" s="2" t="s">
        <v>4251</v>
      </c>
      <c r="C611" s="2" t="s">
        <v>4252</v>
      </c>
      <c r="D611" s="2">
        <v>2025</v>
      </c>
      <c r="E611" s="3">
        <v>45658</v>
      </c>
      <c r="F611" s="2" t="s">
        <v>4253</v>
      </c>
      <c r="G611" s="2">
        <v>64</v>
      </c>
      <c r="H611" s="2" t="s">
        <v>43</v>
      </c>
      <c r="I611" s="2" t="s">
        <v>4254</v>
      </c>
      <c r="J611" s="2" t="s">
        <v>4255</v>
      </c>
      <c r="K611" s="2" t="s">
        <v>4256</v>
      </c>
      <c r="L611" s="2" t="s">
        <v>1867</v>
      </c>
      <c r="M611" s="2" t="s">
        <v>3357</v>
      </c>
      <c r="N611" s="2" t="s">
        <v>4257</v>
      </c>
      <c r="O611" s="2" t="s">
        <v>4258</v>
      </c>
      <c r="P611" s="2" t="s">
        <v>4259</v>
      </c>
      <c r="Q611" s="2" t="s">
        <v>33</v>
      </c>
      <c r="R611" s="2" t="s">
        <v>4260</v>
      </c>
      <c r="S611" s="2" t="s">
        <v>79</v>
      </c>
      <c r="T611" s="5">
        <v>601053680000000</v>
      </c>
      <c r="U611" s="2" t="s">
        <v>79</v>
      </c>
      <c r="V611" s="2" t="s">
        <v>80</v>
      </c>
    </row>
    <row r="612" spans="1:22">
      <c r="A612" s="2" t="s">
        <v>22</v>
      </c>
      <c r="B612" s="2" t="s">
        <v>4261</v>
      </c>
      <c r="C612" s="2" t="s">
        <v>4262</v>
      </c>
      <c r="D612" s="2">
        <v>2025</v>
      </c>
      <c r="E612" s="3">
        <v>45658</v>
      </c>
      <c r="F612" s="2" t="s">
        <v>4263</v>
      </c>
      <c r="G612" s="2" t="s">
        <v>43</v>
      </c>
      <c r="H612" s="2" t="s">
        <v>43</v>
      </c>
      <c r="I612" s="2" t="s">
        <v>4264</v>
      </c>
      <c r="J612" s="2" t="s">
        <v>43</v>
      </c>
      <c r="K612" s="2" t="s">
        <v>4265</v>
      </c>
      <c r="L612" s="2" t="s">
        <v>29</v>
      </c>
      <c r="M612" s="2" t="s">
        <v>43</v>
      </c>
      <c r="N612" s="2" t="s">
        <v>43</v>
      </c>
      <c r="O612" s="2" t="s">
        <v>43</v>
      </c>
      <c r="P612" s="2" t="s">
        <v>4266</v>
      </c>
      <c r="Q612" s="2" t="s">
        <v>1125</v>
      </c>
      <c r="R612" s="2" t="s">
        <v>4267</v>
      </c>
      <c r="S612" s="2" t="s">
        <v>4268</v>
      </c>
      <c r="T612" s="2" t="s">
        <v>4269</v>
      </c>
      <c r="U612" s="2" t="s">
        <v>4270</v>
      </c>
      <c r="V612" s="2" t="s">
        <v>4271</v>
      </c>
    </row>
    <row r="613" spans="1:22" ht="28.8">
      <c r="A613" s="2" t="s">
        <v>200</v>
      </c>
      <c r="B613" s="2" t="s">
        <v>4272</v>
      </c>
      <c r="C613" s="2" t="s">
        <v>4273</v>
      </c>
      <c r="D613" s="2">
        <v>2025</v>
      </c>
      <c r="E613" s="3">
        <v>45992</v>
      </c>
      <c r="F613" s="2" t="s">
        <v>4274</v>
      </c>
      <c r="G613" s="2">
        <v>13</v>
      </c>
      <c r="H613" s="2">
        <v>1</v>
      </c>
      <c r="I613" s="2" t="s">
        <v>43</v>
      </c>
      <c r="J613" s="2" t="s">
        <v>4275</v>
      </c>
      <c r="K613" s="2" t="s">
        <v>233</v>
      </c>
      <c r="L613" s="2" t="s">
        <v>29</v>
      </c>
      <c r="M613" s="2" t="s">
        <v>2040</v>
      </c>
      <c r="N613" s="2" t="s">
        <v>4276</v>
      </c>
      <c r="O613" s="4">
        <v>1127</v>
      </c>
      <c r="P613" s="2" t="s">
        <v>4277</v>
      </c>
      <c r="Q613" s="2" t="s">
        <v>33</v>
      </c>
      <c r="R613" s="2" t="s">
        <v>4278</v>
      </c>
      <c r="S613" s="2" t="s">
        <v>4279</v>
      </c>
      <c r="T613" s="2" t="s">
        <v>4280</v>
      </c>
      <c r="U613" s="2" t="s">
        <v>4281</v>
      </c>
      <c r="V613" s="2" t="s">
        <v>4282</v>
      </c>
    </row>
    <row r="614" spans="1:22">
      <c r="A614" s="2" t="s">
        <v>4283</v>
      </c>
      <c r="B614" s="2" t="s">
        <v>4284</v>
      </c>
      <c r="C614" s="2" t="s">
        <v>4285</v>
      </c>
      <c r="D614" s="2">
        <v>2025</v>
      </c>
      <c r="E614" s="3">
        <v>45838</v>
      </c>
      <c r="F614" s="2" t="s">
        <v>4286</v>
      </c>
      <c r="G614" s="2">
        <v>10</v>
      </c>
      <c r="H614" s="2">
        <v>19</v>
      </c>
      <c r="I614" s="2" t="s">
        <v>4287</v>
      </c>
      <c r="J614" s="2" t="s">
        <v>4288</v>
      </c>
      <c r="K614" s="2" t="s">
        <v>4289</v>
      </c>
      <c r="L614" s="2" t="s">
        <v>1867</v>
      </c>
      <c r="M614" s="2" t="s">
        <v>3416</v>
      </c>
      <c r="N614" s="2" t="s">
        <v>4153</v>
      </c>
      <c r="O614" s="2" t="s">
        <v>4290</v>
      </c>
      <c r="P614" s="2" t="s">
        <v>4291</v>
      </c>
      <c r="Q614" s="2" t="s">
        <v>33</v>
      </c>
      <c r="R614" s="2" t="s">
        <v>4292</v>
      </c>
      <c r="S614" s="2" t="s">
        <v>79</v>
      </c>
      <c r="T614" s="5">
        <v>601053680000000</v>
      </c>
      <c r="U614" s="2" t="s">
        <v>79</v>
      </c>
      <c r="V614" s="2" t="s">
        <v>80</v>
      </c>
    </row>
    <row r="615" spans="1:22">
      <c r="A615" s="2" t="s">
        <v>3074</v>
      </c>
      <c r="B615" s="2" t="s">
        <v>4293</v>
      </c>
      <c r="C615" s="2" t="s">
        <v>4294</v>
      </c>
      <c r="D615" s="2">
        <v>2025</v>
      </c>
      <c r="E615" s="3">
        <v>45717</v>
      </c>
      <c r="F615" s="2" t="s">
        <v>2392</v>
      </c>
      <c r="G615" s="2">
        <v>36</v>
      </c>
      <c r="H615" s="2">
        <v>2</v>
      </c>
      <c r="I615" s="2" t="s">
        <v>4295</v>
      </c>
      <c r="J615" s="2" t="s">
        <v>2394</v>
      </c>
      <c r="K615" s="2" t="s">
        <v>392</v>
      </c>
      <c r="L615" s="2" t="s">
        <v>773</v>
      </c>
      <c r="M615" s="2" t="s">
        <v>1948</v>
      </c>
      <c r="N615" s="2" t="s">
        <v>2156</v>
      </c>
      <c r="O615" s="2" t="s">
        <v>3438</v>
      </c>
      <c r="P615" s="2" t="s">
        <v>4296</v>
      </c>
      <c r="Q615" s="2" t="s">
        <v>644</v>
      </c>
      <c r="R615" s="2" t="s">
        <v>4297</v>
      </c>
      <c r="S615" s="2" t="s">
        <v>1681</v>
      </c>
      <c r="T615" s="2" t="s">
        <v>4298</v>
      </c>
      <c r="U615" s="2" t="s">
        <v>4299</v>
      </c>
      <c r="V615" s="2" t="s">
        <v>594</v>
      </c>
    </row>
    <row r="616" spans="1:22">
      <c r="A616" s="2" t="s">
        <v>4300</v>
      </c>
      <c r="B616" s="2" t="s">
        <v>4293</v>
      </c>
      <c r="C616" s="2" t="s">
        <v>4294</v>
      </c>
      <c r="D616" s="2">
        <v>2025</v>
      </c>
      <c r="E616" s="3">
        <v>45717</v>
      </c>
      <c r="F616" s="2" t="s">
        <v>2392</v>
      </c>
      <c r="G616" s="2">
        <v>36</v>
      </c>
      <c r="H616" s="2">
        <v>2</v>
      </c>
      <c r="I616" s="2" t="s">
        <v>4295</v>
      </c>
      <c r="J616" s="2" t="s">
        <v>2394</v>
      </c>
      <c r="K616" s="2" t="s">
        <v>392</v>
      </c>
      <c r="L616" s="2" t="s">
        <v>773</v>
      </c>
      <c r="M616" s="2" t="s">
        <v>1948</v>
      </c>
      <c r="N616" s="2" t="s">
        <v>2156</v>
      </c>
      <c r="O616" s="2" t="s">
        <v>3438</v>
      </c>
      <c r="P616" s="2" t="s">
        <v>4296</v>
      </c>
      <c r="Q616" s="2" t="s">
        <v>644</v>
      </c>
      <c r="R616" s="2" t="s">
        <v>4297</v>
      </c>
      <c r="S616" s="2" t="s">
        <v>1681</v>
      </c>
      <c r="T616" s="2" t="s">
        <v>4298</v>
      </c>
      <c r="U616" s="2" t="s">
        <v>4299</v>
      </c>
      <c r="V616" s="2" t="s">
        <v>594</v>
      </c>
    </row>
    <row r="617" spans="1:22">
      <c r="A617" s="2" t="s">
        <v>4301</v>
      </c>
      <c r="B617" s="2" t="s">
        <v>4302</v>
      </c>
      <c r="C617" s="2" t="s">
        <v>4303</v>
      </c>
      <c r="D617" s="2">
        <v>2025</v>
      </c>
      <c r="E617" s="3">
        <v>45901</v>
      </c>
      <c r="F617" s="2" t="s">
        <v>4304</v>
      </c>
      <c r="G617" s="2">
        <v>38</v>
      </c>
      <c r="H617" s="2">
        <v>3</v>
      </c>
      <c r="I617" s="2" t="s">
        <v>4305</v>
      </c>
      <c r="J617" s="2" t="s">
        <v>4306</v>
      </c>
      <c r="K617" s="2" t="s">
        <v>1624</v>
      </c>
      <c r="L617" s="2" t="s">
        <v>29</v>
      </c>
      <c r="M617" s="2" t="s">
        <v>184</v>
      </c>
      <c r="N617" s="2" t="s">
        <v>76</v>
      </c>
      <c r="O617" s="2" t="s">
        <v>4307</v>
      </c>
      <c r="P617" s="2" t="s">
        <v>4308</v>
      </c>
      <c r="Q617" s="2" t="s">
        <v>33</v>
      </c>
      <c r="R617" s="2" t="s">
        <v>4309</v>
      </c>
      <c r="S617" s="2" t="s">
        <v>646</v>
      </c>
      <c r="T617" s="2" t="s">
        <v>4310</v>
      </c>
      <c r="U617" s="2" t="s">
        <v>4311</v>
      </c>
      <c r="V617" s="2" t="s">
        <v>80</v>
      </c>
    </row>
    <row r="618" spans="1:22">
      <c r="A618" s="2" t="s">
        <v>4312</v>
      </c>
      <c r="B618" s="2" t="s">
        <v>4313</v>
      </c>
      <c r="C618" s="2" t="s">
        <v>4314</v>
      </c>
      <c r="D618" s="2">
        <v>2025</v>
      </c>
      <c r="E618" s="3">
        <v>45658</v>
      </c>
      <c r="F618" s="2" t="s">
        <v>4315</v>
      </c>
      <c r="G618" s="2">
        <v>63</v>
      </c>
      <c r="H618" s="2">
        <v>1</v>
      </c>
      <c r="I618" s="2" t="s">
        <v>4316</v>
      </c>
      <c r="J618" s="2" t="s">
        <v>4317</v>
      </c>
      <c r="K618" s="2" t="s">
        <v>4318</v>
      </c>
      <c r="L618" s="2" t="s">
        <v>29</v>
      </c>
      <c r="M618" s="2" t="s">
        <v>3357</v>
      </c>
      <c r="N618" s="2" t="s">
        <v>2460</v>
      </c>
      <c r="O618" s="2" t="s">
        <v>4107</v>
      </c>
      <c r="P618" s="2" t="s">
        <v>4319</v>
      </c>
      <c r="Q618" s="2" t="s">
        <v>33</v>
      </c>
      <c r="R618" s="2" t="s">
        <v>4320</v>
      </c>
      <c r="S618" s="2" t="s">
        <v>4321</v>
      </c>
      <c r="T618" s="2" t="s">
        <v>4322</v>
      </c>
      <c r="U618" s="2" t="s">
        <v>4321</v>
      </c>
      <c r="V618" s="2" t="s">
        <v>4323</v>
      </c>
    </row>
    <row r="619" spans="1:22">
      <c r="A619" s="2" t="s">
        <v>433</v>
      </c>
      <c r="B619" s="2" t="s">
        <v>4324</v>
      </c>
    </row>
    <row r="620" spans="1:22">
      <c r="A620" s="2" t="s">
        <v>560</v>
      </c>
      <c r="B620" s="2" t="s">
        <v>4325</v>
      </c>
      <c r="C620" s="2" t="s">
        <v>4326</v>
      </c>
      <c r="D620" s="2">
        <v>2025</v>
      </c>
      <c r="E620" s="3">
        <v>45658</v>
      </c>
      <c r="F620" s="2" t="s">
        <v>1372</v>
      </c>
      <c r="G620" s="2">
        <v>13</v>
      </c>
      <c r="H620" s="2" t="s">
        <v>43</v>
      </c>
      <c r="I620" s="2" t="s">
        <v>43</v>
      </c>
      <c r="J620" s="2" t="s">
        <v>1373</v>
      </c>
      <c r="K620" s="2" t="s">
        <v>183</v>
      </c>
      <c r="L620" s="2" t="s">
        <v>29</v>
      </c>
      <c r="M620" s="2" t="s">
        <v>2040</v>
      </c>
      <c r="N620" s="2" t="s">
        <v>1520</v>
      </c>
      <c r="O620" s="2" t="s">
        <v>2041</v>
      </c>
      <c r="P620" s="2" t="s">
        <v>4327</v>
      </c>
      <c r="Q620" s="2" t="s">
        <v>2904</v>
      </c>
      <c r="R620" s="2" t="s">
        <v>4328</v>
      </c>
      <c r="S620" s="2" t="s">
        <v>79</v>
      </c>
      <c r="T620" s="2" t="s">
        <v>4329</v>
      </c>
      <c r="U620" s="2" t="s">
        <v>4330</v>
      </c>
      <c r="V620" s="2" t="s">
        <v>3927</v>
      </c>
    </row>
    <row r="621" spans="1:22">
      <c r="A621" s="2" t="s">
        <v>3141</v>
      </c>
      <c r="B621" s="2" t="s">
        <v>4331</v>
      </c>
      <c r="C621" s="2" t="s">
        <v>4332</v>
      </c>
      <c r="D621" s="2">
        <v>2025</v>
      </c>
      <c r="E621" s="3">
        <v>45658</v>
      </c>
      <c r="F621" s="2" t="s">
        <v>4333</v>
      </c>
      <c r="G621" s="2">
        <v>41</v>
      </c>
      <c r="H621" s="2">
        <v>1</v>
      </c>
      <c r="I621" s="2" t="s">
        <v>4334</v>
      </c>
      <c r="J621" s="2" t="s">
        <v>4335</v>
      </c>
      <c r="K621" s="2" t="s">
        <v>4336</v>
      </c>
      <c r="L621" s="2" t="s">
        <v>1867</v>
      </c>
      <c r="M621" s="2" t="s">
        <v>3357</v>
      </c>
      <c r="N621" s="2" t="s">
        <v>4337</v>
      </c>
      <c r="O621" s="2" t="s">
        <v>4338</v>
      </c>
      <c r="P621" s="2" t="s">
        <v>4339</v>
      </c>
      <c r="Q621" s="2" t="s">
        <v>33</v>
      </c>
      <c r="R621" s="2" t="s">
        <v>4340</v>
      </c>
      <c r="S621" s="2" t="s">
        <v>4341</v>
      </c>
      <c r="T621" s="2" t="s">
        <v>4342</v>
      </c>
      <c r="U621" s="2" t="s">
        <v>4343</v>
      </c>
      <c r="V621" s="2" t="s">
        <v>1380</v>
      </c>
    </row>
    <row r="622" spans="1:22">
      <c r="A622" s="2" t="s">
        <v>4344</v>
      </c>
      <c r="B622" s="2" t="s">
        <v>4345</v>
      </c>
      <c r="C622" s="2" t="s">
        <v>4346</v>
      </c>
      <c r="D622" s="2">
        <v>2025</v>
      </c>
      <c r="E622" s="3">
        <v>45876</v>
      </c>
      <c r="F622" s="2" t="s">
        <v>4347</v>
      </c>
      <c r="G622" s="2">
        <v>28</v>
      </c>
      <c r="H622" s="2">
        <v>2</v>
      </c>
      <c r="I622" s="2" t="s">
        <v>4348</v>
      </c>
      <c r="J622" s="2" t="s">
        <v>4349</v>
      </c>
      <c r="K622" s="2" t="s">
        <v>4350</v>
      </c>
      <c r="L622" s="2" t="s">
        <v>1867</v>
      </c>
      <c r="M622" s="2" t="s">
        <v>3810</v>
      </c>
      <c r="N622" s="2" t="s">
        <v>4351</v>
      </c>
      <c r="O622" s="2" t="s">
        <v>4352</v>
      </c>
      <c r="P622" s="2" t="s">
        <v>4353</v>
      </c>
      <c r="Q622" s="2" t="s">
        <v>33</v>
      </c>
      <c r="R622" s="2" t="s">
        <v>4354</v>
      </c>
      <c r="S622" s="2" t="s">
        <v>79</v>
      </c>
      <c r="T622" s="5">
        <v>601053680000000</v>
      </c>
      <c r="U622" s="2" t="s">
        <v>79</v>
      </c>
      <c r="V622" s="2" t="s">
        <v>80</v>
      </c>
    </row>
    <row r="623" spans="1:22">
      <c r="A623" s="2" t="s">
        <v>2099</v>
      </c>
      <c r="B623" s="2" t="s">
        <v>4355</v>
      </c>
      <c r="C623" s="2" t="s">
        <v>4356</v>
      </c>
      <c r="D623" s="2">
        <v>2025</v>
      </c>
      <c r="E623" s="3">
        <v>45658</v>
      </c>
      <c r="F623" s="2" t="s">
        <v>4357</v>
      </c>
      <c r="G623" s="2" t="s">
        <v>43</v>
      </c>
      <c r="H623" s="2" t="s">
        <v>43</v>
      </c>
      <c r="I623" s="2" t="s">
        <v>43</v>
      </c>
      <c r="J623" s="2" t="s">
        <v>4358</v>
      </c>
      <c r="K623" s="2" t="s">
        <v>2893</v>
      </c>
      <c r="L623" s="2" t="s">
        <v>29</v>
      </c>
      <c r="M623" s="2" t="s">
        <v>43</v>
      </c>
      <c r="N623" s="2" t="s">
        <v>43</v>
      </c>
      <c r="O623" s="2" t="s">
        <v>43</v>
      </c>
      <c r="P623" s="2" t="s">
        <v>4359</v>
      </c>
      <c r="Q623" s="2" t="s">
        <v>2112</v>
      </c>
      <c r="R623" s="2" t="s">
        <v>4360</v>
      </c>
      <c r="S623" s="2" t="s">
        <v>3709</v>
      </c>
      <c r="T623" s="2" t="s">
        <v>4361</v>
      </c>
      <c r="U623" s="2" t="s">
        <v>4362</v>
      </c>
      <c r="V623" s="2" t="s">
        <v>80</v>
      </c>
    </row>
    <row r="624" spans="1:22" ht="43.2">
      <c r="A624" s="2" t="s">
        <v>4363</v>
      </c>
      <c r="B624" s="2" t="s">
        <v>4364</v>
      </c>
      <c r="C624" s="2" t="s">
        <v>4365</v>
      </c>
      <c r="D624" s="2">
        <v>2025</v>
      </c>
      <c r="E624" s="3">
        <v>45992</v>
      </c>
      <c r="F624" s="2" t="s">
        <v>4366</v>
      </c>
      <c r="G624" s="2">
        <v>40</v>
      </c>
      <c r="H624" s="2">
        <v>8</v>
      </c>
      <c r="I624" s="2" t="s">
        <v>4367</v>
      </c>
      <c r="J624" s="2" t="s">
        <v>4368</v>
      </c>
      <c r="K624" s="2" t="s">
        <v>3037</v>
      </c>
      <c r="L624" s="2" t="s">
        <v>29</v>
      </c>
      <c r="M624" s="2" t="s">
        <v>195</v>
      </c>
      <c r="N624" s="2" t="s">
        <v>1183</v>
      </c>
      <c r="O624" s="2" t="s">
        <v>4369</v>
      </c>
      <c r="P624" s="2" t="s">
        <v>4370</v>
      </c>
      <c r="Q624" s="2" t="s">
        <v>33</v>
      </c>
      <c r="R624" s="2" t="s">
        <v>4371</v>
      </c>
      <c r="S624" s="2" t="s">
        <v>4372</v>
      </c>
      <c r="T624" s="2" t="s">
        <v>4373</v>
      </c>
      <c r="U624" s="2" t="s">
        <v>4374</v>
      </c>
      <c r="V624" s="2" t="s">
        <v>4375</v>
      </c>
    </row>
    <row r="625" spans="1:22">
      <c r="A625" s="2" t="s">
        <v>4376</v>
      </c>
      <c r="B625" s="2" t="s">
        <v>4377</v>
      </c>
      <c r="C625" s="2" t="s">
        <v>4378</v>
      </c>
      <c r="D625" s="2">
        <v>2025</v>
      </c>
      <c r="E625" s="3">
        <v>45978</v>
      </c>
      <c r="F625" s="2" t="s">
        <v>4379</v>
      </c>
      <c r="G625" s="2">
        <v>13</v>
      </c>
      <c r="H625" s="2" t="s">
        <v>43</v>
      </c>
      <c r="I625" s="2" t="s">
        <v>43</v>
      </c>
      <c r="J625" s="2" t="s">
        <v>4380</v>
      </c>
      <c r="K625" s="2" t="s">
        <v>4381</v>
      </c>
      <c r="L625" s="2" t="s">
        <v>29</v>
      </c>
      <c r="M625" s="2" t="s">
        <v>4382</v>
      </c>
      <c r="N625" s="2" t="s">
        <v>961</v>
      </c>
      <c r="O625" s="2" t="s">
        <v>841</v>
      </c>
      <c r="P625" s="2" t="s">
        <v>4383</v>
      </c>
      <c r="Q625" s="2" t="s">
        <v>33</v>
      </c>
      <c r="R625" s="2" t="s">
        <v>4384</v>
      </c>
      <c r="S625" s="2" t="s">
        <v>4385</v>
      </c>
      <c r="T625" s="2" t="s">
        <v>4386</v>
      </c>
      <c r="U625" s="2" t="s">
        <v>4387</v>
      </c>
      <c r="V625" s="2" t="s">
        <v>594</v>
      </c>
    </row>
    <row r="626" spans="1:22">
      <c r="A626" s="2" t="s">
        <v>4388</v>
      </c>
      <c r="B626" s="2" t="s">
        <v>4377</v>
      </c>
      <c r="C626" s="2" t="s">
        <v>4378</v>
      </c>
      <c r="D626" s="2">
        <v>2025</v>
      </c>
      <c r="E626" s="3">
        <v>45978</v>
      </c>
      <c r="F626" s="2" t="s">
        <v>4379</v>
      </c>
      <c r="G626" s="2">
        <v>13</v>
      </c>
      <c r="H626" s="2" t="s">
        <v>43</v>
      </c>
      <c r="I626" s="2" t="s">
        <v>43</v>
      </c>
      <c r="J626" s="2" t="s">
        <v>4380</v>
      </c>
      <c r="K626" s="2" t="s">
        <v>4381</v>
      </c>
      <c r="L626" s="2" t="s">
        <v>29</v>
      </c>
      <c r="M626" s="2" t="s">
        <v>4382</v>
      </c>
      <c r="N626" s="2" t="s">
        <v>961</v>
      </c>
      <c r="O626" s="2" t="s">
        <v>841</v>
      </c>
      <c r="P626" s="2" t="s">
        <v>4383</v>
      </c>
      <c r="Q626" s="2" t="s">
        <v>33</v>
      </c>
      <c r="R626" s="2" t="s">
        <v>4384</v>
      </c>
      <c r="S626" s="2" t="s">
        <v>4385</v>
      </c>
      <c r="T626" s="2" t="s">
        <v>4386</v>
      </c>
      <c r="U626" s="2" t="s">
        <v>4387</v>
      </c>
      <c r="V626" s="2" t="s">
        <v>594</v>
      </c>
    </row>
    <row r="627" spans="1:22">
      <c r="A627" s="2" t="s">
        <v>4389</v>
      </c>
      <c r="B627" s="2" t="s">
        <v>4390</v>
      </c>
      <c r="C627" s="2" t="s">
        <v>4391</v>
      </c>
      <c r="D627" s="2">
        <v>2025</v>
      </c>
      <c r="E627" s="3">
        <v>45658</v>
      </c>
      <c r="F627" s="2" t="s">
        <v>2392</v>
      </c>
      <c r="G627" s="2">
        <v>36</v>
      </c>
      <c r="H627" s="2">
        <v>1</v>
      </c>
      <c r="I627" s="2" t="s">
        <v>4392</v>
      </c>
      <c r="J627" s="2" t="s">
        <v>2394</v>
      </c>
      <c r="K627" s="2" t="s">
        <v>392</v>
      </c>
      <c r="L627" s="2" t="s">
        <v>773</v>
      </c>
      <c r="M627" s="2" t="s">
        <v>1948</v>
      </c>
      <c r="N627" s="2" t="s">
        <v>2156</v>
      </c>
      <c r="O627" s="2" t="s">
        <v>3438</v>
      </c>
      <c r="P627" s="2" t="s">
        <v>4393</v>
      </c>
      <c r="Q627" s="2" t="s">
        <v>33</v>
      </c>
      <c r="R627" s="2" t="s">
        <v>4394</v>
      </c>
      <c r="S627" s="2" t="s">
        <v>1681</v>
      </c>
      <c r="T627" s="2" t="s">
        <v>2606</v>
      </c>
      <c r="U627" s="2" t="s">
        <v>1681</v>
      </c>
      <c r="V627" s="2" t="s">
        <v>80</v>
      </c>
    </row>
    <row r="628" spans="1:22">
      <c r="A628" s="2" t="s">
        <v>4395</v>
      </c>
      <c r="B628" s="2" t="s">
        <v>4390</v>
      </c>
      <c r="C628" s="2" t="s">
        <v>4391</v>
      </c>
      <c r="D628" s="2">
        <v>2025</v>
      </c>
      <c r="E628" s="3">
        <v>45658</v>
      </c>
      <c r="F628" s="2" t="s">
        <v>2392</v>
      </c>
      <c r="G628" s="2">
        <v>36</v>
      </c>
      <c r="H628" s="2">
        <v>1</v>
      </c>
      <c r="I628" s="2" t="s">
        <v>4392</v>
      </c>
      <c r="J628" s="2" t="s">
        <v>2394</v>
      </c>
      <c r="K628" s="2" t="s">
        <v>392</v>
      </c>
      <c r="L628" s="2" t="s">
        <v>773</v>
      </c>
      <c r="M628" s="2" t="s">
        <v>1948</v>
      </c>
      <c r="N628" s="2" t="s">
        <v>2156</v>
      </c>
      <c r="O628" s="2" t="s">
        <v>3438</v>
      </c>
      <c r="P628" s="2" t="s">
        <v>4393</v>
      </c>
      <c r="Q628" s="2" t="s">
        <v>33</v>
      </c>
      <c r="R628" s="2" t="s">
        <v>4394</v>
      </c>
      <c r="S628" s="2" t="s">
        <v>1681</v>
      </c>
      <c r="T628" s="2" t="s">
        <v>2606</v>
      </c>
      <c r="U628" s="2" t="s">
        <v>1681</v>
      </c>
      <c r="V628" s="2" t="s">
        <v>80</v>
      </c>
    </row>
    <row r="629" spans="1:22">
      <c r="A629" s="2" t="s">
        <v>4396</v>
      </c>
      <c r="B629" s="2" t="s">
        <v>4390</v>
      </c>
      <c r="C629" s="2" t="s">
        <v>4391</v>
      </c>
      <c r="D629" s="2">
        <v>2025</v>
      </c>
      <c r="E629" s="3">
        <v>45658</v>
      </c>
      <c r="F629" s="2" t="s">
        <v>2392</v>
      </c>
      <c r="G629" s="2">
        <v>36</v>
      </c>
      <c r="H629" s="2">
        <v>1</v>
      </c>
      <c r="I629" s="2" t="s">
        <v>4392</v>
      </c>
      <c r="J629" s="2" t="s">
        <v>2394</v>
      </c>
      <c r="K629" s="2" t="s">
        <v>392</v>
      </c>
      <c r="L629" s="2" t="s">
        <v>773</v>
      </c>
      <c r="M629" s="2" t="s">
        <v>1948</v>
      </c>
      <c r="N629" s="2" t="s">
        <v>2156</v>
      </c>
      <c r="O629" s="2" t="s">
        <v>3438</v>
      </c>
      <c r="P629" s="2" t="s">
        <v>4393</v>
      </c>
      <c r="Q629" s="2" t="s">
        <v>33</v>
      </c>
      <c r="R629" s="2" t="s">
        <v>4394</v>
      </c>
      <c r="S629" s="2" t="s">
        <v>1681</v>
      </c>
      <c r="T629" s="2" t="s">
        <v>2606</v>
      </c>
      <c r="U629" s="2" t="s">
        <v>1681</v>
      </c>
      <c r="V629" s="2" t="s">
        <v>80</v>
      </c>
    </row>
    <row r="630" spans="1:22">
      <c r="A630" s="2" t="s">
        <v>4397</v>
      </c>
      <c r="B630" s="2" t="s">
        <v>4390</v>
      </c>
      <c r="C630" s="2" t="s">
        <v>4391</v>
      </c>
      <c r="D630" s="2">
        <v>2025</v>
      </c>
      <c r="E630" s="3">
        <v>45658</v>
      </c>
      <c r="F630" s="2" t="s">
        <v>2392</v>
      </c>
      <c r="G630" s="2">
        <v>36</v>
      </c>
      <c r="H630" s="2">
        <v>1</v>
      </c>
      <c r="I630" s="2" t="s">
        <v>4392</v>
      </c>
      <c r="J630" s="2" t="s">
        <v>2394</v>
      </c>
      <c r="K630" s="2" t="s">
        <v>392</v>
      </c>
      <c r="L630" s="2" t="s">
        <v>773</v>
      </c>
      <c r="M630" s="2" t="s">
        <v>1948</v>
      </c>
      <c r="N630" s="2" t="s">
        <v>2156</v>
      </c>
      <c r="O630" s="2" t="s">
        <v>3438</v>
      </c>
      <c r="P630" s="2" t="s">
        <v>4393</v>
      </c>
      <c r="Q630" s="2" t="s">
        <v>33</v>
      </c>
      <c r="R630" s="2" t="s">
        <v>4394</v>
      </c>
      <c r="S630" s="2" t="s">
        <v>1681</v>
      </c>
      <c r="T630" s="2" t="s">
        <v>2606</v>
      </c>
      <c r="U630" s="2" t="s">
        <v>1681</v>
      </c>
      <c r="V630" s="2" t="s">
        <v>80</v>
      </c>
    </row>
    <row r="631" spans="1:22">
      <c r="A631" s="2" t="s">
        <v>4398</v>
      </c>
      <c r="B631" s="2" t="s">
        <v>4399</v>
      </c>
      <c r="C631" s="2" t="s">
        <v>4400</v>
      </c>
      <c r="D631" s="2">
        <v>2025</v>
      </c>
      <c r="E631" s="3">
        <v>45778</v>
      </c>
      <c r="F631" s="2" t="s">
        <v>2392</v>
      </c>
      <c r="G631" s="2">
        <v>36</v>
      </c>
      <c r="H631" s="2">
        <v>3</v>
      </c>
      <c r="I631" s="2" t="s">
        <v>4401</v>
      </c>
      <c r="J631" s="2" t="s">
        <v>2394</v>
      </c>
      <c r="K631" s="2" t="s">
        <v>392</v>
      </c>
      <c r="L631" s="2" t="s">
        <v>773</v>
      </c>
      <c r="M631" s="2" t="s">
        <v>1948</v>
      </c>
      <c r="N631" s="2" t="s">
        <v>2156</v>
      </c>
      <c r="O631" s="2" t="s">
        <v>3438</v>
      </c>
      <c r="P631" s="2" t="s">
        <v>4402</v>
      </c>
      <c r="Q631" s="2" t="s">
        <v>49</v>
      </c>
      <c r="R631" s="2" t="s">
        <v>4403</v>
      </c>
      <c r="S631" s="2" t="s">
        <v>1681</v>
      </c>
      <c r="T631" s="2" t="s">
        <v>4404</v>
      </c>
      <c r="U631" s="2" t="s">
        <v>4405</v>
      </c>
      <c r="V631" s="2" t="s">
        <v>3927</v>
      </c>
    </row>
    <row r="632" spans="1:22">
      <c r="A632" s="2" t="s">
        <v>4406</v>
      </c>
      <c r="B632" s="2" t="s">
        <v>4407</v>
      </c>
      <c r="C632" s="2" t="s">
        <v>4408</v>
      </c>
      <c r="D632" s="2">
        <v>2025</v>
      </c>
      <c r="E632" s="3">
        <v>45809</v>
      </c>
      <c r="F632" s="2" t="s">
        <v>2912</v>
      </c>
      <c r="G632" s="2">
        <v>52</v>
      </c>
      <c r="H632" s="2">
        <v>3</v>
      </c>
      <c r="I632" s="2" t="s">
        <v>4409</v>
      </c>
      <c r="J632" s="2" t="s">
        <v>2914</v>
      </c>
      <c r="K632" s="2" t="s">
        <v>2915</v>
      </c>
      <c r="L632" s="2" t="s">
        <v>1867</v>
      </c>
      <c r="M632" s="2" t="s">
        <v>47</v>
      </c>
      <c r="N632" s="2" t="s">
        <v>2916</v>
      </c>
      <c r="O632" s="2" t="s">
        <v>2917</v>
      </c>
      <c r="P632" s="2" t="s">
        <v>4410</v>
      </c>
      <c r="Q632" s="2" t="s">
        <v>644</v>
      </c>
      <c r="R632" s="2" t="s">
        <v>4411</v>
      </c>
      <c r="S632" s="2" t="s">
        <v>79</v>
      </c>
      <c r="T632" s="5">
        <v>601053680000000</v>
      </c>
      <c r="U632" s="2" t="s">
        <v>79</v>
      </c>
      <c r="V632" s="2" t="s">
        <v>80</v>
      </c>
    </row>
    <row r="633" spans="1:22">
      <c r="A633" s="2" t="s">
        <v>4412</v>
      </c>
      <c r="B633" s="2" t="s">
        <v>4407</v>
      </c>
      <c r="C633" s="2" t="s">
        <v>4408</v>
      </c>
      <c r="D633" s="2">
        <v>2025</v>
      </c>
      <c r="E633" s="3">
        <v>45809</v>
      </c>
      <c r="F633" s="2" t="s">
        <v>2912</v>
      </c>
      <c r="G633" s="2">
        <v>52</v>
      </c>
      <c r="H633" s="2">
        <v>3</v>
      </c>
      <c r="I633" s="2" t="s">
        <v>4409</v>
      </c>
      <c r="J633" s="2" t="s">
        <v>2914</v>
      </c>
      <c r="K633" s="2" t="s">
        <v>2915</v>
      </c>
      <c r="L633" s="2" t="s">
        <v>1867</v>
      </c>
      <c r="M633" s="2" t="s">
        <v>47</v>
      </c>
      <c r="N633" s="2" t="s">
        <v>2916</v>
      </c>
      <c r="O633" s="2" t="s">
        <v>2917</v>
      </c>
      <c r="P633" s="2" t="s">
        <v>4410</v>
      </c>
      <c r="Q633" s="2" t="s">
        <v>644</v>
      </c>
      <c r="R633" s="2" t="s">
        <v>4411</v>
      </c>
      <c r="S633" s="2" t="s">
        <v>79</v>
      </c>
      <c r="T633" s="5">
        <v>601053680000000</v>
      </c>
      <c r="U633" s="2" t="s">
        <v>79</v>
      </c>
      <c r="V633" s="2" t="s">
        <v>80</v>
      </c>
    </row>
    <row r="634" spans="1:22">
      <c r="A634" s="2" t="s">
        <v>4413</v>
      </c>
      <c r="B634" s="2" t="s">
        <v>4407</v>
      </c>
      <c r="C634" s="2" t="s">
        <v>4408</v>
      </c>
      <c r="D634" s="2">
        <v>2025</v>
      </c>
      <c r="E634" s="3">
        <v>45809</v>
      </c>
      <c r="F634" s="2" t="s">
        <v>2912</v>
      </c>
      <c r="G634" s="2">
        <v>52</v>
      </c>
      <c r="H634" s="2">
        <v>3</v>
      </c>
      <c r="I634" s="2" t="s">
        <v>4409</v>
      </c>
      <c r="J634" s="2" t="s">
        <v>2914</v>
      </c>
      <c r="K634" s="2" t="s">
        <v>2915</v>
      </c>
      <c r="L634" s="2" t="s">
        <v>1867</v>
      </c>
      <c r="M634" s="2" t="s">
        <v>47</v>
      </c>
      <c r="N634" s="2" t="s">
        <v>2916</v>
      </c>
      <c r="O634" s="2" t="s">
        <v>2917</v>
      </c>
      <c r="P634" s="2" t="s">
        <v>4410</v>
      </c>
      <c r="Q634" s="2" t="s">
        <v>644</v>
      </c>
      <c r="R634" s="2" t="s">
        <v>4411</v>
      </c>
      <c r="S634" s="2" t="s">
        <v>79</v>
      </c>
      <c r="T634" s="5">
        <v>601053680000000</v>
      </c>
      <c r="U634" s="2" t="s">
        <v>79</v>
      </c>
      <c r="V634" s="2" t="s">
        <v>80</v>
      </c>
    </row>
    <row r="635" spans="1:22" ht="28.8">
      <c r="A635" s="2" t="s">
        <v>4414</v>
      </c>
      <c r="B635" s="2" t="s">
        <v>4415</v>
      </c>
      <c r="C635" s="2" t="s">
        <v>4416</v>
      </c>
      <c r="D635" s="2">
        <v>2025</v>
      </c>
      <c r="E635" s="3">
        <v>45658</v>
      </c>
      <c r="F635" s="2" t="s">
        <v>4417</v>
      </c>
      <c r="G635" s="2">
        <v>328</v>
      </c>
      <c r="H635" s="2">
        <v>1</v>
      </c>
      <c r="I635" s="2" t="s">
        <v>4418</v>
      </c>
      <c r="J635" s="2" t="s">
        <v>4419</v>
      </c>
      <c r="K635" s="2" t="s">
        <v>2328</v>
      </c>
      <c r="L635" s="2" t="s">
        <v>29</v>
      </c>
      <c r="M635" s="2" t="s">
        <v>62</v>
      </c>
      <c r="N635" s="2" t="s">
        <v>281</v>
      </c>
      <c r="O635" s="4">
        <v>1822</v>
      </c>
      <c r="P635" s="2" t="s">
        <v>4420</v>
      </c>
      <c r="Q635" s="2" t="s">
        <v>33</v>
      </c>
      <c r="R635" s="2" t="s">
        <v>4421</v>
      </c>
      <c r="S635" s="2" t="s">
        <v>4422</v>
      </c>
      <c r="T635" s="2" t="s">
        <v>4423</v>
      </c>
      <c r="U635" s="2" t="s">
        <v>4424</v>
      </c>
      <c r="V635" s="2" t="s">
        <v>4425</v>
      </c>
    </row>
    <row r="636" spans="1:22">
      <c r="A636" s="2" t="s">
        <v>4426</v>
      </c>
      <c r="B636" s="2" t="s">
        <v>4427</v>
      </c>
      <c r="C636" s="2" t="s">
        <v>4428</v>
      </c>
      <c r="D636" s="2">
        <v>2024</v>
      </c>
      <c r="E636" s="3">
        <v>45292</v>
      </c>
      <c r="F636" s="2" t="s">
        <v>4429</v>
      </c>
      <c r="G636" s="2">
        <v>3283</v>
      </c>
      <c r="H636" s="2" t="s">
        <v>43</v>
      </c>
      <c r="I636" s="2" t="s">
        <v>4430</v>
      </c>
      <c r="J636" s="2" t="s">
        <v>4431</v>
      </c>
      <c r="K636" s="2" t="s">
        <v>718</v>
      </c>
      <c r="L636" s="2" t="s">
        <v>29</v>
      </c>
      <c r="M636" s="2" t="s">
        <v>1919</v>
      </c>
      <c r="N636" s="2" t="s">
        <v>3427</v>
      </c>
      <c r="O636" s="2" t="s">
        <v>43</v>
      </c>
      <c r="P636" s="2" t="s">
        <v>4432</v>
      </c>
      <c r="Q636" s="2" t="s">
        <v>1125</v>
      </c>
      <c r="R636" s="2" t="s">
        <v>4433</v>
      </c>
      <c r="S636" s="2" t="s">
        <v>4434</v>
      </c>
      <c r="T636" s="2" t="s">
        <v>4435</v>
      </c>
      <c r="U636" s="2" t="s">
        <v>4434</v>
      </c>
      <c r="V636" s="2" t="s">
        <v>594</v>
      </c>
    </row>
    <row r="637" spans="1:22">
      <c r="A637" s="2" t="s">
        <v>4436</v>
      </c>
      <c r="B637" s="2" t="s">
        <v>4437</v>
      </c>
      <c r="C637" s="2" t="s">
        <v>4438</v>
      </c>
      <c r="D637" s="2">
        <v>2024</v>
      </c>
      <c r="E637" s="3">
        <v>45292</v>
      </c>
      <c r="F637" s="2" t="s">
        <v>4439</v>
      </c>
      <c r="G637" s="2">
        <v>76</v>
      </c>
      <c r="H637" s="2">
        <v>7</v>
      </c>
      <c r="I637" s="2" t="s">
        <v>4440</v>
      </c>
      <c r="J637" s="2" t="s">
        <v>4441</v>
      </c>
      <c r="K637" s="2" t="s">
        <v>666</v>
      </c>
      <c r="L637" s="2" t="s">
        <v>29</v>
      </c>
      <c r="M637" s="2" t="s">
        <v>4442</v>
      </c>
      <c r="N637" s="2" t="s">
        <v>464</v>
      </c>
      <c r="O637" s="4">
        <v>1521</v>
      </c>
      <c r="P637" s="2" t="s">
        <v>4443</v>
      </c>
      <c r="Q637" s="2" t="s">
        <v>33</v>
      </c>
      <c r="R637" s="2" t="s">
        <v>4444</v>
      </c>
      <c r="S637" s="2" t="s">
        <v>79</v>
      </c>
      <c r="T637" s="5">
        <v>601053680000000</v>
      </c>
      <c r="U637" s="2" t="s">
        <v>79</v>
      </c>
      <c r="V637" s="2" t="s">
        <v>80</v>
      </c>
    </row>
    <row r="638" spans="1:22">
      <c r="A638" s="2" t="s">
        <v>4445</v>
      </c>
      <c r="B638" s="2" t="s">
        <v>4437</v>
      </c>
      <c r="C638" s="2" t="s">
        <v>4438</v>
      </c>
      <c r="D638" s="2">
        <v>2024</v>
      </c>
      <c r="E638" s="3">
        <v>45292</v>
      </c>
      <c r="F638" s="2" t="s">
        <v>4439</v>
      </c>
      <c r="G638" s="2">
        <v>76</v>
      </c>
      <c r="H638" s="2">
        <v>7</v>
      </c>
      <c r="I638" s="2" t="s">
        <v>4440</v>
      </c>
      <c r="J638" s="2" t="s">
        <v>4441</v>
      </c>
      <c r="K638" s="2" t="s">
        <v>666</v>
      </c>
      <c r="L638" s="2" t="s">
        <v>29</v>
      </c>
      <c r="M638" s="2" t="s">
        <v>4442</v>
      </c>
      <c r="N638" s="2" t="s">
        <v>464</v>
      </c>
      <c r="O638" s="4">
        <v>1521</v>
      </c>
      <c r="P638" s="2" t="s">
        <v>4443</v>
      </c>
      <c r="Q638" s="2" t="s">
        <v>33</v>
      </c>
      <c r="R638" s="2" t="s">
        <v>4444</v>
      </c>
      <c r="S638" s="2" t="s">
        <v>79</v>
      </c>
      <c r="T638" s="5">
        <v>601053680000000</v>
      </c>
      <c r="U638" s="2" t="s">
        <v>79</v>
      </c>
      <c r="V638" s="2" t="s">
        <v>80</v>
      </c>
    </row>
    <row r="639" spans="1:22">
      <c r="A639" s="2" t="s">
        <v>3074</v>
      </c>
      <c r="B639" s="2" t="s">
        <v>4446</v>
      </c>
      <c r="C639" s="2" t="s">
        <v>4447</v>
      </c>
      <c r="D639" s="2">
        <v>2025</v>
      </c>
      <c r="E639" s="3">
        <v>45717</v>
      </c>
      <c r="F639" s="2" t="s">
        <v>2392</v>
      </c>
      <c r="G639" s="2">
        <v>36</v>
      </c>
      <c r="H639" s="2">
        <v>2</v>
      </c>
      <c r="I639" s="2" t="s">
        <v>4448</v>
      </c>
      <c r="J639" s="2" t="s">
        <v>2394</v>
      </c>
      <c r="K639" s="2" t="s">
        <v>392</v>
      </c>
      <c r="L639" s="2" t="s">
        <v>773</v>
      </c>
      <c r="M639" s="2" t="s">
        <v>1948</v>
      </c>
      <c r="N639" s="2" t="s">
        <v>2156</v>
      </c>
      <c r="O639" s="2" t="s">
        <v>3438</v>
      </c>
      <c r="P639" s="2" t="s">
        <v>4449</v>
      </c>
      <c r="Q639" s="2" t="s">
        <v>33</v>
      </c>
      <c r="R639" s="2" t="s">
        <v>4450</v>
      </c>
      <c r="S639" s="2" t="s">
        <v>1681</v>
      </c>
      <c r="T639" s="2" t="s">
        <v>2561</v>
      </c>
      <c r="U639" s="2" t="s">
        <v>2562</v>
      </c>
      <c r="V639" s="2" t="s">
        <v>80</v>
      </c>
    </row>
    <row r="640" spans="1:22">
      <c r="A640" s="2" t="s">
        <v>2099</v>
      </c>
      <c r="B640" s="2" t="s">
        <v>4451</v>
      </c>
      <c r="C640" s="2" t="s">
        <v>4452</v>
      </c>
      <c r="D640" s="2">
        <v>2025</v>
      </c>
      <c r="E640" s="3">
        <v>45658</v>
      </c>
      <c r="F640" s="2" t="s">
        <v>4453</v>
      </c>
      <c r="G640" s="2">
        <v>120</v>
      </c>
      <c r="H640" s="2" t="s">
        <v>43</v>
      </c>
      <c r="I640" s="2" t="s">
        <v>4454</v>
      </c>
      <c r="J640" s="2" t="s">
        <v>4455</v>
      </c>
      <c r="K640" s="2" t="s">
        <v>1624</v>
      </c>
      <c r="L640" s="2" t="s">
        <v>29</v>
      </c>
      <c r="M640" s="2" t="s">
        <v>304</v>
      </c>
      <c r="N640" s="2" t="s">
        <v>4456</v>
      </c>
      <c r="O640" s="2" t="s">
        <v>3428</v>
      </c>
      <c r="P640" s="2" t="s">
        <v>4457</v>
      </c>
      <c r="Q640" s="2" t="s">
        <v>1125</v>
      </c>
      <c r="R640" s="2" t="s">
        <v>4458</v>
      </c>
      <c r="S640" s="2" t="s">
        <v>79</v>
      </c>
      <c r="T640" s="5">
        <v>601053680000000</v>
      </c>
      <c r="U640" s="2" t="s">
        <v>79</v>
      </c>
      <c r="V640" s="2" t="s">
        <v>80</v>
      </c>
    </row>
    <row r="641" spans="1:22">
      <c r="A641" s="2" t="s">
        <v>4459</v>
      </c>
      <c r="B641" s="2" t="s">
        <v>4460</v>
      </c>
      <c r="C641" s="2" t="s">
        <v>4461</v>
      </c>
      <c r="D641" s="2">
        <v>2024</v>
      </c>
      <c r="E641" s="3">
        <v>45408</v>
      </c>
      <c r="F641" s="2" t="s">
        <v>4462</v>
      </c>
      <c r="G641" s="2">
        <v>8</v>
      </c>
      <c r="H641" s="2">
        <v>1</v>
      </c>
      <c r="I641" s="2" t="s">
        <v>4463</v>
      </c>
      <c r="J641" s="2" t="s">
        <v>4464</v>
      </c>
      <c r="K641" s="2" t="s">
        <v>4465</v>
      </c>
      <c r="L641" s="2" t="s">
        <v>1867</v>
      </c>
      <c r="M641" s="2" t="s">
        <v>43</v>
      </c>
      <c r="N641" s="2" t="s">
        <v>43</v>
      </c>
      <c r="O641" s="2" t="s">
        <v>43</v>
      </c>
      <c r="P641" s="2" t="s">
        <v>4466</v>
      </c>
      <c r="Q641" s="2" t="s">
        <v>33</v>
      </c>
      <c r="R641" s="2" t="s">
        <v>4467</v>
      </c>
      <c r="S641" s="2" t="s">
        <v>4468</v>
      </c>
      <c r="T641" s="2" t="s">
        <v>4469</v>
      </c>
      <c r="U641" s="2" t="s">
        <v>4470</v>
      </c>
      <c r="V641" s="2" t="s">
        <v>1380</v>
      </c>
    </row>
    <row r="642" spans="1:22">
      <c r="A642" s="2" t="s">
        <v>39</v>
      </c>
      <c r="B642" s="2" t="s">
        <v>4471</v>
      </c>
      <c r="C642" s="2" t="s">
        <v>4472</v>
      </c>
      <c r="D642" s="2">
        <v>2024</v>
      </c>
      <c r="E642" s="3">
        <v>45505</v>
      </c>
      <c r="F642" s="2" t="s">
        <v>2912</v>
      </c>
      <c r="G642" s="2">
        <v>51</v>
      </c>
      <c r="H642" s="2">
        <v>4</v>
      </c>
      <c r="I642" s="2" t="s">
        <v>4473</v>
      </c>
      <c r="J642" s="2" t="s">
        <v>2914</v>
      </c>
      <c r="K642" s="2" t="s">
        <v>2915</v>
      </c>
      <c r="L642" s="2" t="s">
        <v>1867</v>
      </c>
      <c r="M642" s="2" t="s">
        <v>2155</v>
      </c>
      <c r="N642" s="2" t="s">
        <v>3684</v>
      </c>
      <c r="O642" s="2" t="s">
        <v>3685</v>
      </c>
      <c r="P642" s="2" t="s">
        <v>4474</v>
      </c>
      <c r="Q642" s="2" t="s">
        <v>644</v>
      </c>
      <c r="R642" s="2" t="s">
        <v>4475</v>
      </c>
      <c r="S642" s="2" t="s">
        <v>1504</v>
      </c>
      <c r="T642" s="2" t="s">
        <v>4476</v>
      </c>
      <c r="U642" s="2" t="s">
        <v>4477</v>
      </c>
      <c r="V642" s="2" t="s">
        <v>621</v>
      </c>
    </row>
    <row r="643" spans="1:22">
      <c r="A643" s="2" t="s">
        <v>4478</v>
      </c>
      <c r="B643" s="2" t="s">
        <v>4479</v>
      </c>
      <c r="C643" s="2" t="s">
        <v>4480</v>
      </c>
      <c r="D643" s="2">
        <v>2025</v>
      </c>
      <c r="E643" s="3">
        <v>45658</v>
      </c>
      <c r="F643" s="2" t="s">
        <v>4481</v>
      </c>
      <c r="G643" s="2" t="s">
        <v>43</v>
      </c>
      <c r="H643" s="2">
        <v>70</v>
      </c>
      <c r="I643" s="2" t="s">
        <v>4482</v>
      </c>
      <c r="J643" s="2" t="s">
        <v>4483</v>
      </c>
      <c r="K643" s="2" t="s">
        <v>4484</v>
      </c>
      <c r="L643" s="2" t="s">
        <v>1867</v>
      </c>
      <c r="M643" s="2" t="s">
        <v>3810</v>
      </c>
      <c r="N643" s="2" t="s">
        <v>2156</v>
      </c>
      <c r="O643" s="2" t="s">
        <v>4485</v>
      </c>
      <c r="P643" s="2" t="s">
        <v>4486</v>
      </c>
      <c r="Q643" s="2" t="s">
        <v>33</v>
      </c>
      <c r="R643" s="2" t="s">
        <v>4487</v>
      </c>
      <c r="S643" s="2" t="s">
        <v>4488</v>
      </c>
      <c r="T643" s="2" t="s">
        <v>4489</v>
      </c>
      <c r="U643" s="2" t="s">
        <v>4490</v>
      </c>
      <c r="V643" s="2" t="s">
        <v>287</v>
      </c>
    </row>
    <row r="644" spans="1:22">
      <c r="A644" s="2" t="s">
        <v>3093</v>
      </c>
      <c r="B644" s="2" t="s">
        <v>4479</v>
      </c>
      <c r="C644" s="2" t="s">
        <v>4480</v>
      </c>
      <c r="D644" s="2">
        <v>2025</v>
      </c>
      <c r="E644" s="3">
        <v>45658</v>
      </c>
      <c r="F644" s="2" t="s">
        <v>4481</v>
      </c>
      <c r="G644" s="2" t="s">
        <v>43</v>
      </c>
      <c r="H644" s="2">
        <v>70</v>
      </c>
      <c r="I644" s="2" t="s">
        <v>4482</v>
      </c>
      <c r="J644" s="2" t="s">
        <v>4483</v>
      </c>
      <c r="K644" s="2" t="s">
        <v>4484</v>
      </c>
      <c r="L644" s="2" t="s">
        <v>1867</v>
      </c>
      <c r="M644" s="2" t="s">
        <v>3810</v>
      </c>
      <c r="N644" s="2" t="s">
        <v>2156</v>
      </c>
      <c r="O644" s="2" t="s">
        <v>4485</v>
      </c>
      <c r="P644" s="2" t="s">
        <v>4486</v>
      </c>
      <c r="Q644" s="2" t="s">
        <v>33</v>
      </c>
      <c r="R644" s="2" t="s">
        <v>4487</v>
      </c>
      <c r="S644" s="2" t="s">
        <v>4488</v>
      </c>
      <c r="T644" s="2" t="s">
        <v>4489</v>
      </c>
      <c r="U644" s="2" t="s">
        <v>4490</v>
      </c>
      <c r="V644" s="2" t="s">
        <v>287</v>
      </c>
    </row>
    <row r="645" spans="1:22">
      <c r="A645" s="2" t="s">
        <v>4491</v>
      </c>
      <c r="B645" s="2" t="s">
        <v>4492</v>
      </c>
      <c r="C645" s="2" t="s">
        <v>4493</v>
      </c>
      <c r="D645" s="2">
        <v>2025</v>
      </c>
      <c r="E645" s="3">
        <v>45809</v>
      </c>
      <c r="F645" s="2" t="s">
        <v>4494</v>
      </c>
      <c r="G645" s="2">
        <v>78</v>
      </c>
      <c r="H645" s="2">
        <v>1</v>
      </c>
      <c r="I645" s="2" t="s">
        <v>4495</v>
      </c>
      <c r="J645" s="2" t="s">
        <v>4496</v>
      </c>
      <c r="K645" s="2" t="s">
        <v>4497</v>
      </c>
      <c r="L645" s="2" t="s">
        <v>29</v>
      </c>
      <c r="M645" s="2" t="s">
        <v>393</v>
      </c>
      <c r="N645" s="2" t="s">
        <v>1488</v>
      </c>
      <c r="O645" s="2" t="s">
        <v>4498</v>
      </c>
      <c r="P645" s="2" t="s">
        <v>4499</v>
      </c>
      <c r="Q645" s="2" t="s">
        <v>33</v>
      </c>
      <c r="R645" s="2" t="s">
        <v>4500</v>
      </c>
      <c r="S645" s="2" t="s">
        <v>79</v>
      </c>
      <c r="T645" s="2" t="s">
        <v>4501</v>
      </c>
      <c r="U645" s="2" t="s">
        <v>4502</v>
      </c>
      <c r="V645" s="2" t="s">
        <v>80</v>
      </c>
    </row>
    <row r="646" spans="1:22">
      <c r="A646" s="2" t="s">
        <v>4503</v>
      </c>
      <c r="B646" s="2" t="s">
        <v>4492</v>
      </c>
      <c r="C646" s="2" t="s">
        <v>4493</v>
      </c>
      <c r="D646" s="2">
        <v>2025</v>
      </c>
      <c r="E646" s="3">
        <v>45809</v>
      </c>
      <c r="F646" s="2" t="s">
        <v>4494</v>
      </c>
      <c r="G646" s="2">
        <v>78</v>
      </c>
      <c r="H646" s="2">
        <v>1</v>
      </c>
      <c r="I646" s="2" t="s">
        <v>4495</v>
      </c>
      <c r="J646" s="2" t="s">
        <v>4496</v>
      </c>
      <c r="K646" s="2" t="s">
        <v>4497</v>
      </c>
      <c r="L646" s="2" t="s">
        <v>29</v>
      </c>
      <c r="M646" s="2" t="s">
        <v>393</v>
      </c>
      <c r="N646" s="2" t="s">
        <v>1488</v>
      </c>
      <c r="O646" s="2" t="s">
        <v>4498</v>
      </c>
      <c r="P646" s="2" t="s">
        <v>4499</v>
      </c>
      <c r="Q646" s="2" t="s">
        <v>33</v>
      </c>
      <c r="R646" s="2" t="s">
        <v>4500</v>
      </c>
      <c r="S646" s="2" t="s">
        <v>79</v>
      </c>
      <c r="T646" s="2" t="s">
        <v>4501</v>
      </c>
      <c r="U646" s="2" t="s">
        <v>4502</v>
      </c>
      <c r="V646" s="2" t="s">
        <v>80</v>
      </c>
    </row>
    <row r="647" spans="1:22">
      <c r="A647" s="2" t="s">
        <v>3959</v>
      </c>
      <c r="B647" s="2" t="s">
        <v>4492</v>
      </c>
      <c r="C647" s="2" t="s">
        <v>4493</v>
      </c>
      <c r="D647" s="2">
        <v>2025</v>
      </c>
      <c r="E647" s="3">
        <v>45809</v>
      </c>
      <c r="F647" s="2" t="s">
        <v>4494</v>
      </c>
      <c r="G647" s="2">
        <v>78</v>
      </c>
      <c r="H647" s="2">
        <v>1</v>
      </c>
      <c r="I647" s="2" t="s">
        <v>4495</v>
      </c>
      <c r="J647" s="2" t="s">
        <v>4496</v>
      </c>
      <c r="K647" s="2" t="s">
        <v>4497</v>
      </c>
      <c r="L647" s="2" t="s">
        <v>29</v>
      </c>
      <c r="M647" s="2" t="s">
        <v>393</v>
      </c>
      <c r="N647" s="2" t="s">
        <v>1488</v>
      </c>
      <c r="O647" s="2" t="s">
        <v>4498</v>
      </c>
      <c r="P647" s="2" t="s">
        <v>4499</v>
      </c>
      <c r="Q647" s="2" t="s">
        <v>33</v>
      </c>
      <c r="R647" s="2" t="s">
        <v>4500</v>
      </c>
      <c r="S647" s="2" t="s">
        <v>79</v>
      </c>
      <c r="T647" s="2" t="s">
        <v>4501</v>
      </c>
      <c r="U647" s="2" t="s">
        <v>4502</v>
      </c>
      <c r="V647" s="2" t="s">
        <v>80</v>
      </c>
    </row>
    <row r="648" spans="1:22">
      <c r="A648" s="2" t="s">
        <v>4504</v>
      </c>
      <c r="B648" s="2" t="s">
        <v>4505</v>
      </c>
      <c r="C648" s="2" t="s">
        <v>4506</v>
      </c>
      <c r="D648" s="2">
        <v>2024</v>
      </c>
      <c r="E648" s="3">
        <v>45292</v>
      </c>
      <c r="F648" s="2" t="s">
        <v>4149</v>
      </c>
      <c r="G648" s="2" t="s">
        <v>43</v>
      </c>
      <c r="H648" s="2">
        <v>36</v>
      </c>
      <c r="I648" s="2" t="s">
        <v>4507</v>
      </c>
      <c r="J648" s="2" t="s">
        <v>4151</v>
      </c>
      <c r="K648" s="2" t="s">
        <v>4152</v>
      </c>
      <c r="L648" s="2" t="s">
        <v>773</v>
      </c>
      <c r="M648" s="2" t="s">
        <v>2423</v>
      </c>
      <c r="N648" s="2" t="s">
        <v>4153</v>
      </c>
      <c r="O648" s="2" t="s">
        <v>4154</v>
      </c>
      <c r="P648" s="2" t="s">
        <v>4508</v>
      </c>
      <c r="Q648" s="2" t="s">
        <v>33</v>
      </c>
      <c r="R648" s="2" t="s">
        <v>4509</v>
      </c>
      <c r="S648" s="2" t="s">
        <v>4510</v>
      </c>
      <c r="T648" s="2" t="s">
        <v>4511</v>
      </c>
      <c r="U648" s="2" t="s">
        <v>4512</v>
      </c>
      <c r="V648" s="2" t="s">
        <v>621</v>
      </c>
    </row>
    <row r="649" spans="1:22">
      <c r="A649" s="2" t="s">
        <v>3141</v>
      </c>
      <c r="B649" s="2" t="s">
        <v>4513</v>
      </c>
      <c r="C649" s="2" t="s">
        <v>4514</v>
      </c>
      <c r="D649" s="2">
        <v>2024</v>
      </c>
      <c r="E649" s="3">
        <v>45505</v>
      </c>
      <c r="F649" s="2" t="s">
        <v>2912</v>
      </c>
      <c r="G649" s="2">
        <v>51</v>
      </c>
      <c r="H649" s="2">
        <v>4</v>
      </c>
      <c r="I649" s="2" t="s">
        <v>4515</v>
      </c>
      <c r="J649" s="2" t="s">
        <v>2914</v>
      </c>
      <c r="K649" s="2" t="s">
        <v>2915</v>
      </c>
      <c r="L649" s="2" t="s">
        <v>29</v>
      </c>
      <c r="M649" s="2" t="s">
        <v>2155</v>
      </c>
      <c r="N649" s="2" t="s">
        <v>3684</v>
      </c>
      <c r="O649" s="2" t="s">
        <v>3685</v>
      </c>
      <c r="P649" s="2" t="s">
        <v>4516</v>
      </c>
      <c r="Q649" s="2" t="s">
        <v>33</v>
      </c>
      <c r="R649" s="2" t="s">
        <v>4517</v>
      </c>
      <c r="S649" s="2" t="s">
        <v>4518</v>
      </c>
      <c r="T649" s="2" t="s">
        <v>4519</v>
      </c>
      <c r="U649" s="2" t="s">
        <v>4520</v>
      </c>
      <c r="V649" s="2" t="s">
        <v>80</v>
      </c>
    </row>
    <row r="650" spans="1:22">
      <c r="A650" s="2" t="s">
        <v>4521</v>
      </c>
      <c r="B650" s="2" t="s">
        <v>4522</v>
      </c>
      <c r="C650" s="2" t="s">
        <v>4523</v>
      </c>
      <c r="D650" s="2">
        <v>2025</v>
      </c>
      <c r="E650" s="3">
        <v>45778</v>
      </c>
      <c r="F650" s="2" t="s">
        <v>2392</v>
      </c>
      <c r="G650" s="2">
        <v>36</v>
      </c>
      <c r="H650" s="2">
        <v>3</v>
      </c>
      <c r="I650" s="2" t="s">
        <v>4524</v>
      </c>
      <c r="J650" s="2" t="s">
        <v>2394</v>
      </c>
      <c r="K650" s="2" t="s">
        <v>392</v>
      </c>
      <c r="L650" s="2" t="s">
        <v>773</v>
      </c>
      <c r="M650" s="2" t="s">
        <v>1948</v>
      </c>
      <c r="N650" s="2" t="s">
        <v>2156</v>
      </c>
      <c r="O650" s="2" t="s">
        <v>3438</v>
      </c>
      <c r="P650" s="2" t="s">
        <v>4525</v>
      </c>
      <c r="Q650" s="2" t="s">
        <v>49</v>
      </c>
      <c r="R650" s="2" t="s">
        <v>4526</v>
      </c>
      <c r="S650" s="2" t="s">
        <v>1681</v>
      </c>
      <c r="T650" s="2" t="s">
        <v>2561</v>
      </c>
      <c r="U650" s="2" t="s">
        <v>2562</v>
      </c>
      <c r="V650" s="2" t="s">
        <v>80</v>
      </c>
    </row>
    <row r="651" spans="1:22">
      <c r="A651" s="2" t="s">
        <v>1012</v>
      </c>
      <c r="B651" s="2" t="s">
        <v>4527</v>
      </c>
      <c r="C651" s="2" t="s">
        <v>4528</v>
      </c>
      <c r="D651" s="2">
        <v>2025</v>
      </c>
      <c r="E651" s="3">
        <v>45658</v>
      </c>
      <c r="F651" s="2" t="s">
        <v>1304</v>
      </c>
      <c r="G651" s="2">
        <v>16</v>
      </c>
      <c r="H651" s="2" t="s">
        <v>43</v>
      </c>
      <c r="I651" s="2" t="s">
        <v>43</v>
      </c>
      <c r="J651" s="2" t="s">
        <v>1305</v>
      </c>
      <c r="K651" s="2" t="s">
        <v>183</v>
      </c>
      <c r="L651" s="2" t="s">
        <v>29</v>
      </c>
      <c r="M651" s="2" t="s">
        <v>373</v>
      </c>
      <c r="N651" s="2" t="s">
        <v>76</v>
      </c>
      <c r="O651" s="4">
        <v>1248</v>
      </c>
      <c r="P651" s="2" t="s">
        <v>4529</v>
      </c>
      <c r="Q651" s="2" t="s">
        <v>3843</v>
      </c>
      <c r="R651" s="2" t="s">
        <v>4530</v>
      </c>
      <c r="S651" s="2" t="s">
        <v>511</v>
      </c>
      <c r="T651" s="2" t="s">
        <v>512</v>
      </c>
      <c r="U651" s="2" t="s">
        <v>511</v>
      </c>
      <c r="V651" s="2" t="s">
        <v>80</v>
      </c>
    </row>
    <row r="652" spans="1:22">
      <c r="A652" s="2" t="s">
        <v>1310</v>
      </c>
      <c r="B652" s="2" t="s">
        <v>4527</v>
      </c>
      <c r="C652" s="2" t="s">
        <v>4528</v>
      </c>
      <c r="D652" s="2">
        <v>2025</v>
      </c>
      <c r="E652" s="3">
        <v>45658</v>
      </c>
      <c r="F652" s="2" t="s">
        <v>1304</v>
      </c>
      <c r="G652" s="2">
        <v>16</v>
      </c>
      <c r="H652" s="2" t="s">
        <v>43</v>
      </c>
      <c r="I652" s="2" t="s">
        <v>43</v>
      </c>
      <c r="J652" s="2" t="s">
        <v>1305</v>
      </c>
      <c r="K652" s="2" t="s">
        <v>183</v>
      </c>
      <c r="L652" s="2" t="s">
        <v>29</v>
      </c>
      <c r="M652" s="2" t="s">
        <v>373</v>
      </c>
      <c r="N652" s="2" t="s">
        <v>76</v>
      </c>
      <c r="O652" s="4">
        <v>1248</v>
      </c>
      <c r="P652" s="2" t="s">
        <v>4529</v>
      </c>
      <c r="Q652" s="2" t="s">
        <v>3843</v>
      </c>
      <c r="R652" s="2" t="s">
        <v>4530</v>
      </c>
      <c r="S652" s="2" t="s">
        <v>511</v>
      </c>
      <c r="T652" s="2" t="s">
        <v>512</v>
      </c>
      <c r="U652" s="2" t="s">
        <v>511</v>
      </c>
      <c r="V652" s="2" t="s">
        <v>80</v>
      </c>
    </row>
    <row r="653" spans="1:22">
      <c r="A653" s="2" t="s">
        <v>4531</v>
      </c>
      <c r="B653" s="2" t="s">
        <v>4527</v>
      </c>
      <c r="C653" s="2" t="s">
        <v>4528</v>
      </c>
      <c r="D653" s="2">
        <v>2025</v>
      </c>
      <c r="E653" s="3">
        <v>45658</v>
      </c>
      <c r="F653" s="2" t="s">
        <v>1304</v>
      </c>
      <c r="G653" s="2">
        <v>16</v>
      </c>
      <c r="H653" s="2" t="s">
        <v>43</v>
      </c>
      <c r="I653" s="2" t="s">
        <v>43</v>
      </c>
      <c r="J653" s="2" t="s">
        <v>1305</v>
      </c>
      <c r="K653" s="2" t="s">
        <v>183</v>
      </c>
      <c r="L653" s="2" t="s">
        <v>29</v>
      </c>
      <c r="M653" s="2" t="s">
        <v>373</v>
      </c>
      <c r="N653" s="2" t="s">
        <v>76</v>
      </c>
      <c r="O653" s="4">
        <v>1248</v>
      </c>
      <c r="P653" s="2" t="s">
        <v>4529</v>
      </c>
      <c r="Q653" s="2" t="s">
        <v>3843</v>
      </c>
      <c r="R653" s="2" t="s">
        <v>4530</v>
      </c>
      <c r="S653" s="2" t="s">
        <v>511</v>
      </c>
      <c r="T653" s="2" t="s">
        <v>512</v>
      </c>
      <c r="U653" s="2" t="s">
        <v>511</v>
      </c>
      <c r="V653" s="2" t="s">
        <v>80</v>
      </c>
    </row>
    <row r="654" spans="1:22">
      <c r="A654" s="2" t="s">
        <v>996</v>
      </c>
      <c r="B654" s="2" t="s">
        <v>4527</v>
      </c>
      <c r="C654" s="2" t="s">
        <v>4528</v>
      </c>
      <c r="D654" s="2">
        <v>2025</v>
      </c>
      <c r="E654" s="3">
        <v>45658</v>
      </c>
      <c r="F654" s="2" t="s">
        <v>1304</v>
      </c>
      <c r="G654" s="2">
        <v>16</v>
      </c>
      <c r="H654" s="2" t="s">
        <v>43</v>
      </c>
      <c r="I654" s="2" t="s">
        <v>43</v>
      </c>
      <c r="J654" s="2" t="s">
        <v>1305</v>
      </c>
      <c r="K654" s="2" t="s">
        <v>183</v>
      </c>
      <c r="L654" s="2" t="s">
        <v>29</v>
      </c>
      <c r="M654" s="2" t="s">
        <v>373</v>
      </c>
      <c r="N654" s="2" t="s">
        <v>76</v>
      </c>
      <c r="O654" s="4">
        <v>1248</v>
      </c>
      <c r="P654" s="2" t="s">
        <v>4529</v>
      </c>
      <c r="Q654" s="2" t="s">
        <v>3843</v>
      </c>
      <c r="R654" s="2" t="s">
        <v>4530</v>
      </c>
      <c r="S654" s="2" t="s">
        <v>511</v>
      </c>
      <c r="T654" s="2" t="s">
        <v>512</v>
      </c>
      <c r="U654" s="2" t="s">
        <v>511</v>
      </c>
      <c r="V654" s="2" t="s">
        <v>80</v>
      </c>
    </row>
    <row r="655" spans="1:22" ht="28.8">
      <c r="A655" s="2" t="s">
        <v>4532</v>
      </c>
      <c r="B655" s="2" t="s">
        <v>4533</v>
      </c>
      <c r="C655" s="2" t="s">
        <v>4534</v>
      </c>
      <c r="D655" s="2">
        <v>2025</v>
      </c>
      <c r="E655" s="3">
        <v>45839</v>
      </c>
      <c r="F655" s="2" t="s">
        <v>1470</v>
      </c>
      <c r="G655" s="2">
        <v>15</v>
      </c>
      <c r="H655" s="2">
        <v>13</v>
      </c>
      <c r="I655" s="2" t="s">
        <v>43</v>
      </c>
      <c r="J655" s="2" t="s">
        <v>1471</v>
      </c>
      <c r="K655" s="2" t="s">
        <v>61</v>
      </c>
      <c r="L655" s="2" t="s">
        <v>29</v>
      </c>
      <c r="M655" s="2" t="s">
        <v>246</v>
      </c>
      <c r="N655" s="2" t="s">
        <v>1581</v>
      </c>
      <c r="O655" s="2" t="s">
        <v>2336</v>
      </c>
      <c r="P655" s="2" t="s">
        <v>4535</v>
      </c>
      <c r="Q655" s="2" t="s">
        <v>33</v>
      </c>
      <c r="R655" s="2" t="s">
        <v>4536</v>
      </c>
      <c r="S655" s="2" t="s">
        <v>4537</v>
      </c>
      <c r="T655" s="2" t="s">
        <v>4538</v>
      </c>
      <c r="U655" s="2" t="s">
        <v>4539</v>
      </c>
      <c r="V655" s="2" t="s">
        <v>4540</v>
      </c>
    </row>
    <row r="656" spans="1:22">
      <c r="A656" s="2" t="s">
        <v>4541</v>
      </c>
      <c r="B656" s="2" t="s">
        <v>4542</v>
      </c>
      <c r="C656" s="2" t="s">
        <v>4543</v>
      </c>
      <c r="D656" s="2">
        <v>2024</v>
      </c>
      <c r="E656" s="3">
        <v>45352</v>
      </c>
      <c r="F656" s="2" t="s">
        <v>4544</v>
      </c>
      <c r="G656" s="2">
        <v>183</v>
      </c>
      <c r="H656" s="2">
        <v>3</v>
      </c>
      <c r="I656" s="2" t="s">
        <v>4545</v>
      </c>
      <c r="J656" s="2" t="s">
        <v>4546</v>
      </c>
      <c r="K656" s="2" t="s">
        <v>3867</v>
      </c>
      <c r="L656" s="2" t="s">
        <v>29</v>
      </c>
      <c r="M656" s="2" t="s">
        <v>2423</v>
      </c>
      <c r="N656" s="2" t="s">
        <v>4547</v>
      </c>
      <c r="O656" s="2" t="s">
        <v>4548</v>
      </c>
      <c r="P656" s="2" t="s">
        <v>4549</v>
      </c>
      <c r="Q656" s="2" t="s">
        <v>33</v>
      </c>
      <c r="R656" s="2" t="s">
        <v>4550</v>
      </c>
      <c r="S656" s="2" t="s">
        <v>79</v>
      </c>
      <c r="T656" s="2" t="s">
        <v>4551</v>
      </c>
      <c r="U656" s="2" t="s">
        <v>4552</v>
      </c>
      <c r="V656" s="2" t="s">
        <v>802</v>
      </c>
    </row>
    <row r="657" spans="1:22">
      <c r="A657" s="2" t="s">
        <v>4553</v>
      </c>
      <c r="B657" s="2" t="s">
        <v>4542</v>
      </c>
      <c r="C657" s="2" t="s">
        <v>4543</v>
      </c>
      <c r="D657" s="2">
        <v>2024</v>
      </c>
      <c r="E657" s="3">
        <v>45352</v>
      </c>
      <c r="F657" s="2" t="s">
        <v>4544</v>
      </c>
      <c r="G657" s="2">
        <v>183</v>
      </c>
      <c r="H657" s="2">
        <v>3</v>
      </c>
      <c r="I657" s="2" t="s">
        <v>4545</v>
      </c>
      <c r="J657" s="2" t="s">
        <v>4546</v>
      </c>
      <c r="K657" s="2" t="s">
        <v>3867</v>
      </c>
      <c r="L657" s="2" t="s">
        <v>29</v>
      </c>
      <c r="M657" s="2" t="s">
        <v>2423</v>
      </c>
      <c r="N657" s="2" t="s">
        <v>4547</v>
      </c>
      <c r="O657" s="2" t="s">
        <v>4548</v>
      </c>
      <c r="P657" s="2" t="s">
        <v>4549</v>
      </c>
      <c r="Q657" s="2" t="s">
        <v>33</v>
      </c>
      <c r="R657" s="2" t="s">
        <v>4550</v>
      </c>
      <c r="S657" s="2" t="s">
        <v>79</v>
      </c>
      <c r="T657" s="2" t="s">
        <v>4551</v>
      </c>
      <c r="U657" s="2" t="s">
        <v>4552</v>
      </c>
      <c r="V657" s="2" t="s">
        <v>802</v>
      </c>
    </row>
    <row r="658" spans="1:22">
      <c r="A658" s="2" t="s">
        <v>4554</v>
      </c>
      <c r="B658" s="2" t="s">
        <v>4555</v>
      </c>
      <c r="C658" s="2" t="s">
        <v>4556</v>
      </c>
      <c r="D658" s="2">
        <v>2025</v>
      </c>
      <c r="E658" s="3">
        <v>45658</v>
      </c>
      <c r="F658" s="2" t="s">
        <v>4462</v>
      </c>
      <c r="G658" s="2">
        <v>9</v>
      </c>
      <c r="H658" s="2">
        <v>2</v>
      </c>
      <c r="I658" s="7">
        <v>44197</v>
      </c>
      <c r="J658" s="2" t="s">
        <v>4464</v>
      </c>
      <c r="K658" s="2" t="s">
        <v>4465</v>
      </c>
      <c r="L658" s="2" t="s">
        <v>1867</v>
      </c>
      <c r="M658" s="2" t="s">
        <v>3810</v>
      </c>
      <c r="N658" s="2" t="s">
        <v>3706</v>
      </c>
      <c r="O658" s="2" t="s">
        <v>3236</v>
      </c>
      <c r="P658" s="2" t="s">
        <v>4557</v>
      </c>
      <c r="Q658" s="2" t="s">
        <v>33</v>
      </c>
      <c r="R658" s="2" t="s">
        <v>4558</v>
      </c>
      <c r="S658" s="2" t="s">
        <v>79</v>
      </c>
      <c r="T658" s="5">
        <v>601053680000000</v>
      </c>
      <c r="U658" s="2" t="s">
        <v>79</v>
      </c>
      <c r="V658" s="2" t="s">
        <v>80</v>
      </c>
    </row>
    <row r="659" spans="1:22">
      <c r="A659" s="2" t="s">
        <v>3970</v>
      </c>
      <c r="B659" s="2" t="s">
        <v>4555</v>
      </c>
      <c r="C659" s="2" t="s">
        <v>4556</v>
      </c>
      <c r="D659" s="2">
        <v>2025</v>
      </c>
      <c r="E659" s="3">
        <v>45658</v>
      </c>
      <c r="F659" s="2" t="s">
        <v>4462</v>
      </c>
      <c r="G659" s="2">
        <v>9</v>
      </c>
      <c r="H659" s="2">
        <v>2</v>
      </c>
      <c r="I659" s="7">
        <v>44197</v>
      </c>
      <c r="J659" s="2" t="s">
        <v>4464</v>
      </c>
      <c r="K659" s="2" t="s">
        <v>4465</v>
      </c>
      <c r="L659" s="2" t="s">
        <v>1867</v>
      </c>
      <c r="M659" s="2" t="s">
        <v>3810</v>
      </c>
      <c r="N659" s="2" t="s">
        <v>3706</v>
      </c>
      <c r="O659" s="2" t="s">
        <v>3236</v>
      </c>
      <c r="P659" s="2" t="s">
        <v>4557</v>
      </c>
      <c r="Q659" s="2" t="s">
        <v>33</v>
      </c>
      <c r="R659" s="2" t="s">
        <v>4558</v>
      </c>
      <c r="S659" s="2" t="s">
        <v>79</v>
      </c>
      <c r="T659" s="5">
        <v>601053680000000</v>
      </c>
      <c r="U659" s="2" t="s">
        <v>79</v>
      </c>
      <c r="V659" s="2" t="s">
        <v>80</v>
      </c>
    </row>
    <row r="660" spans="1:22">
      <c r="A660" s="2" t="s">
        <v>4559</v>
      </c>
      <c r="B660" s="2" t="s">
        <v>4560</v>
      </c>
      <c r="C660" s="2" t="s">
        <v>4561</v>
      </c>
      <c r="D660" s="2">
        <v>2025</v>
      </c>
      <c r="E660" s="3">
        <v>45992</v>
      </c>
      <c r="F660" s="2" t="s">
        <v>4562</v>
      </c>
      <c r="G660" s="2">
        <v>36</v>
      </c>
      <c r="H660" s="2">
        <v>8</v>
      </c>
      <c r="I660" s="2" t="s">
        <v>4563</v>
      </c>
      <c r="J660" s="2" t="s">
        <v>4564</v>
      </c>
      <c r="K660" s="2" t="s">
        <v>566</v>
      </c>
      <c r="L660" s="2" t="s">
        <v>29</v>
      </c>
      <c r="M660" s="2" t="s">
        <v>4565</v>
      </c>
      <c r="N660" s="2" t="s">
        <v>2156</v>
      </c>
      <c r="O660" s="2" t="s">
        <v>4566</v>
      </c>
      <c r="P660" s="2" t="s">
        <v>4567</v>
      </c>
      <c r="Q660" s="2" t="s">
        <v>33</v>
      </c>
      <c r="R660" s="2" t="s">
        <v>4568</v>
      </c>
      <c r="S660" s="2" t="s">
        <v>4569</v>
      </c>
      <c r="T660" s="2" t="s">
        <v>4570</v>
      </c>
      <c r="U660" s="2" t="s">
        <v>4571</v>
      </c>
      <c r="V660" s="2" t="s">
        <v>80</v>
      </c>
    </row>
    <row r="661" spans="1:22">
      <c r="A661" s="2" t="s">
        <v>4572</v>
      </c>
      <c r="B661" s="2" t="s">
        <v>4560</v>
      </c>
      <c r="C661" s="2" t="s">
        <v>4561</v>
      </c>
      <c r="D661" s="2">
        <v>2025</v>
      </c>
      <c r="E661" s="3">
        <v>45992</v>
      </c>
      <c r="F661" s="2" t="s">
        <v>4562</v>
      </c>
      <c r="G661" s="2">
        <v>36</v>
      </c>
      <c r="H661" s="2">
        <v>8</v>
      </c>
      <c r="I661" s="2" t="s">
        <v>4563</v>
      </c>
      <c r="J661" s="2" t="s">
        <v>4564</v>
      </c>
      <c r="K661" s="2" t="s">
        <v>566</v>
      </c>
      <c r="L661" s="2" t="s">
        <v>29</v>
      </c>
      <c r="M661" s="2" t="s">
        <v>4565</v>
      </c>
      <c r="N661" s="2" t="s">
        <v>2156</v>
      </c>
      <c r="O661" s="2" t="s">
        <v>4566</v>
      </c>
      <c r="P661" s="2" t="s">
        <v>4567</v>
      </c>
      <c r="Q661" s="2" t="s">
        <v>33</v>
      </c>
      <c r="R661" s="2" t="s">
        <v>4568</v>
      </c>
      <c r="S661" s="2" t="s">
        <v>4569</v>
      </c>
      <c r="T661" s="2" t="s">
        <v>4570</v>
      </c>
      <c r="U661" s="2" t="s">
        <v>4571</v>
      </c>
      <c r="V661" s="2" t="s">
        <v>80</v>
      </c>
    </row>
    <row r="662" spans="1:22">
      <c r="A662" s="2" t="s">
        <v>3553</v>
      </c>
      <c r="B662" s="2" t="s">
        <v>4573</v>
      </c>
      <c r="C662" s="2" t="s">
        <v>4574</v>
      </c>
      <c r="D662" s="2">
        <v>2024</v>
      </c>
      <c r="E662" s="3">
        <v>45292</v>
      </c>
      <c r="F662" s="2" t="s">
        <v>4575</v>
      </c>
      <c r="G662" s="2" t="s">
        <v>43</v>
      </c>
      <c r="H662" s="2" t="s">
        <v>43</v>
      </c>
      <c r="I662" s="2" t="s">
        <v>4576</v>
      </c>
      <c r="J662" s="2" t="s">
        <v>4577</v>
      </c>
      <c r="K662" s="2" t="s">
        <v>3705</v>
      </c>
      <c r="L662" s="2" t="s">
        <v>29</v>
      </c>
      <c r="M662" s="2" t="s">
        <v>3357</v>
      </c>
      <c r="N662" s="2" t="s">
        <v>4578</v>
      </c>
      <c r="O662" s="2" t="s">
        <v>43</v>
      </c>
      <c r="P662" s="2" t="s">
        <v>4579</v>
      </c>
      <c r="Q662" s="2" t="s">
        <v>2112</v>
      </c>
      <c r="R662" s="2" t="s">
        <v>4580</v>
      </c>
      <c r="S662" s="2" t="s">
        <v>1106</v>
      </c>
      <c r="T662" s="2" t="s">
        <v>4581</v>
      </c>
      <c r="U662" s="2" t="s">
        <v>1106</v>
      </c>
      <c r="V662" s="2" t="s">
        <v>80</v>
      </c>
    </row>
    <row r="663" spans="1:22">
      <c r="A663" s="2" t="s">
        <v>1051</v>
      </c>
      <c r="B663" s="2" t="s">
        <v>4582</v>
      </c>
      <c r="C663" s="2" t="s">
        <v>4583</v>
      </c>
      <c r="D663" s="2">
        <v>2025</v>
      </c>
      <c r="E663" s="3">
        <v>45658</v>
      </c>
      <c r="F663" s="2" t="s">
        <v>4584</v>
      </c>
      <c r="G663" s="2" t="s">
        <v>43</v>
      </c>
      <c r="H663" s="2" t="s">
        <v>43</v>
      </c>
      <c r="I663" s="2" t="s">
        <v>4585</v>
      </c>
      <c r="J663" s="2" t="s">
        <v>4586</v>
      </c>
      <c r="K663" s="2" t="s">
        <v>4587</v>
      </c>
      <c r="L663" s="2" t="s">
        <v>29</v>
      </c>
      <c r="M663" s="2" t="s">
        <v>2177</v>
      </c>
      <c r="N663" s="2" t="s">
        <v>293</v>
      </c>
      <c r="O663" s="2" t="s">
        <v>43</v>
      </c>
      <c r="P663" s="2" t="s">
        <v>4588</v>
      </c>
      <c r="Q663" s="2" t="s">
        <v>2112</v>
      </c>
      <c r="R663" s="2" t="s">
        <v>4589</v>
      </c>
      <c r="S663" s="2" t="s">
        <v>4590</v>
      </c>
      <c r="T663" s="2" t="s">
        <v>4591</v>
      </c>
      <c r="U663" s="2" t="s">
        <v>4592</v>
      </c>
      <c r="V663" s="2" t="s">
        <v>4593</v>
      </c>
    </row>
    <row r="664" spans="1:22">
      <c r="A664" s="2" t="s">
        <v>4594</v>
      </c>
      <c r="B664" s="2" t="s">
        <v>4595</v>
      </c>
      <c r="C664" s="2" t="s">
        <v>4596</v>
      </c>
      <c r="D664" s="2">
        <v>2025</v>
      </c>
      <c r="E664" s="3">
        <v>45658</v>
      </c>
      <c r="F664" s="2" t="s">
        <v>4597</v>
      </c>
      <c r="G664" s="2">
        <v>17</v>
      </c>
      <c r="H664" s="2">
        <v>9</v>
      </c>
      <c r="I664" s="2" t="s">
        <v>4598</v>
      </c>
      <c r="J664" s="2" t="s">
        <v>4599</v>
      </c>
      <c r="K664" s="2" t="s">
        <v>4600</v>
      </c>
      <c r="L664" s="2" t="s">
        <v>29</v>
      </c>
      <c r="M664" s="2" t="s">
        <v>393</v>
      </c>
      <c r="N664" s="2" t="s">
        <v>1488</v>
      </c>
      <c r="O664" s="2" t="s">
        <v>4601</v>
      </c>
      <c r="P664" s="2" t="s">
        <v>4602</v>
      </c>
      <c r="Q664" s="2" t="s">
        <v>33</v>
      </c>
      <c r="R664" s="2" t="s">
        <v>4603</v>
      </c>
      <c r="S664" s="2" t="s">
        <v>4604</v>
      </c>
      <c r="T664" s="2" t="s">
        <v>4605</v>
      </c>
      <c r="U664" s="2" t="s">
        <v>4606</v>
      </c>
      <c r="V664" s="2" t="s">
        <v>594</v>
      </c>
    </row>
    <row r="665" spans="1:22">
      <c r="A665" s="2" t="s">
        <v>4607</v>
      </c>
      <c r="B665" s="2" t="s">
        <v>4608</v>
      </c>
      <c r="C665" s="2" t="s">
        <v>4609</v>
      </c>
      <c r="D665" s="2">
        <v>2025</v>
      </c>
      <c r="E665" s="3">
        <v>45658</v>
      </c>
      <c r="F665" s="2" t="s">
        <v>4610</v>
      </c>
      <c r="G665" s="2">
        <v>18</v>
      </c>
      <c r="H665" s="2">
        <v>1</v>
      </c>
      <c r="I665" s="2" t="s">
        <v>4611</v>
      </c>
      <c r="J665" s="2" t="s">
        <v>4612</v>
      </c>
      <c r="K665" s="2" t="s">
        <v>4613</v>
      </c>
      <c r="L665" s="2" t="s">
        <v>1867</v>
      </c>
      <c r="M665" s="2" t="s">
        <v>3810</v>
      </c>
      <c r="N665" s="2" t="s">
        <v>4614</v>
      </c>
      <c r="O665" s="2" t="s">
        <v>4615</v>
      </c>
      <c r="P665" s="2" t="s">
        <v>4616</v>
      </c>
      <c r="Q665" s="2" t="s">
        <v>33</v>
      </c>
      <c r="R665" s="2" t="s">
        <v>4617</v>
      </c>
      <c r="S665" s="2" t="s">
        <v>79</v>
      </c>
      <c r="T665" s="5">
        <v>601053680000000</v>
      </c>
      <c r="U665" s="2" t="s">
        <v>79</v>
      </c>
      <c r="V665" s="2" t="s">
        <v>80</v>
      </c>
    </row>
    <row r="666" spans="1:22">
      <c r="A666" s="2" t="s">
        <v>4618</v>
      </c>
      <c r="B666" s="2" t="s">
        <v>4619</v>
      </c>
      <c r="C666" s="2" t="s">
        <v>4620</v>
      </c>
      <c r="D666" s="2">
        <v>2025</v>
      </c>
      <c r="E666" s="3">
        <v>45809</v>
      </c>
      <c r="F666" s="2" t="s">
        <v>4621</v>
      </c>
      <c r="G666" s="2" t="s">
        <v>43</v>
      </c>
      <c r="H666" s="2">
        <v>77</v>
      </c>
      <c r="I666" s="2" t="s">
        <v>4622</v>
      </c>
      <c r="J666" s="2" t="s">
        <v>4623</v>
      </c>
      <c r="K666" s="2" t="s">
        <v>4624</v>
      </c>
      <c r="L666" s="2" t="s">
        <v>1867</v>
      </c>
      <c r="M666" s="2" t="s">
        <v>904</v>
      </c>
      <c r="N666" s="2" t="s">
        <v>476</v>
      </c>
      <c r="O666" s="2" t="s">
        <v>4625</v>
      </c>
      <c r="P666" s="2" t="s">
        <v>4626</v>
      </c>
      <c r="Q666" s="2" t="s">
        <v>33</v>
      </c>
      <c r="R666" s="2" t="s">
        <v>4627</v>
      </c>
      <c r="S666" s="2" t="s">
        <v>79</v>
      </c>
      <c r="T666" s="5">
        <v>601053680000000</v>
      </c>
      <c r="U666" s="2" t="s">
        <v>79</v>
      </c>
      <c r="V666" s="2" t="s">
        <v>80</v>
      </c>
    </row>
    <row r="667" spans="1:22">
      <c r="A667" s="2" t="s">
        <v>4628</v>
      </c>
      <c r="B667" s="2" t="s">
        <v>4619</v>
      </c>
      <c r="C667" s="2" t="s">
        <v>4620</v>
      </c>
      <c r="D667" s="2">
        <v>2025</v>
      </c>
      <c r="E667" s="3">
        <v>45809</v>
      </c>
      <c r="F667" s="2" t="s">
        <v>4621</v>
      </c>
      <c r="G667" s="2" t="s">
        <v>43</v>
      </c>
      <c r="H667" s="2">
        <v>77</v>
      </c>
      <c r="I667" s="2" t="s">
        <v>4622</v>
      </c>
      <c r="J667" s="2" t="s">
        <v>4623</v>
      </c>
      <c r="K667" s="2" t="s">
        <v>4624</v>
      </c>
      <c r="L667" s="2" t="s">
        <v>1867</v>
      </c>
      <c r="M667" s="2" t="s">
        <v>904</v>
      </c>
      <c r="N667" s="2" t="s">
        <v>476</v>
      </c>
      <c r="O667" s="2" t="s">
        <v>4625</v>
      </c>
      <c r="P667" s="2" t="s">
        <v>4626</v>
      </c>
      <c r="Q667" s="2" t="s">
        <v>33</v>
      </c>
      <c r="R667" s="2" t="s">
        <v>4627</v>
      </c>
      <c r="S667" s="2" t="s">
        <v>79</v>
      </c>
      <c r="T667" s="5">
        <v>601053680000000</v>
      </c>
      <c r="U667" s="2" t="s">
        <v>79</v>
      </c>
      <c r="V667" s="2" t="s">
        <v>80</v>
      </c>
    </row>
    <row r="668" spans="1:22">
      <c r="A668" s="2" t="s">
        <v>3589</v>
      </c>
      <c r="B668" s="2" t="s">
        <v>4629</v>
      </c>
      <c r="C668" s="2" t="s">
        <v>4630</v>
      </c>
      <c r="D668" s="2">
        <v>2025</v>
      </c>
      <c r="E668" s="3">
        <v>45717</v>
      </c>
      <c r="F668" s="2" t="s">
        <v>2392</v>
      </c>
      <c r="G668" s="2">
        <v>36</v>
      </c>
      <c r="H668" s="2">
        <v>2</v>
      </c>
      <c r="I668" s="2" t="s">
        <v>4631</v>
      </c>
      <c r="J668" s="2" t="s">
        <v>2394</v>
      </c>
      <c r="K668" s="2" t="s">
        <v>392</v>
      </c>
      <c r="L668" s="2" t="s">
        <v>773</v>
      </c>
      <c r="M668" s="2" t="s">
        <v>1948</v>
      </c>
      <c r="N668" s="2" t="s">
        <v>2156</v>
      </c>
      <c r="O668" s="2" t="s">
        <v>3438</v>
      </c>
      <c r="P668" s="2" t="s">
        <v>4632</v>
      </c>
      <c r="Q668" s="2" t="s">
        <v>33</v>
      </c>
      <c r="R668" s="2" t="s">
        <v>4633</v>
      </c>
      <c r="S668" s="2" t="s">
        <v>1681</v>
      </c>
      <c r="T668" s="2" t="s">
        <v>2606</v>
      </c>
      <c r="U668" s="2" t="s">
        <v>1681</v>
      </c>
      <c r="V668" s="2" t="s">
        <v>80</v>
      </c>
    </row>
    <row r="669" spans="1:22">
      <c r="A669" s="2" t="s">
        <v>2629</v>
      </c>
      <c r="B669" s="2" t="s">
        <v>4629</v>
      </c>
      <c r="C669" s="2" t="s">
        <v>4630</v>
      </c>
      <c r="D669" s="2">
        <v>2025</v>
      </c>
      <c r="E669" s="3">
        <v>45717</v>
      </c>
      <c r="F669" s="2" t="s">
        <v>2392</v>
      </c>
      <c r="G669" s="2">
        <v>36</v>
      </c>
      <c r="H669" s="2">
        <v>2</v>
      </c>
      <c r="I669" s="2" t="s">
        <v>4631</v>
      </c>
      <c r="J669" s="2" t="s">
        <v>2394</v>
      </c>
      <c r="K669" s="2" t="s">
        <v>392</v>
      </c>
      <c r="L669" s="2" t="s">
        <v>773</v>
      </c>
      <c r="M669" s="2" t="s">
        <v>1948</v>
      </c>
      <c r="N669" s="2" t="s">
        <v>2156</v>
      </c>
      <c r="O669" s="2" t="s">
        <v>3438</v>
      </c>
      <c r="P669" s="2" t="s">
        <v>4632</v>
      </c>
      <c r="Q669" s="2" t="s">
        <v>33</v>
      </c>
      <c r="R669" s="2" t="s">
        <v>4633</v>
      </c>
      <c r="S669" s="2" t="s">
        <v>1681</v>
      </c>
      <c r="T669" s="2" t="s">
        <v>2606</v>
      </c>
      <c r="U669" s="2" t="s">
        <v>1681</v>
      </c>
      <c r="V669" s="2" t="s">
        <v>80</v>
      </c>
    </row>
    <row r="670" spans="1:22">
      <c r="A670" s="2" t="s">
        <v>1619</v>
      </c>
      <c r="B670" s="2" t="s">
        <v>4634</v>
      </c>
      <c r="C670" s="2" t="s">
        <v>1621</v>
      </c>
      <c r="D670" s="2">
        <v>2025</v>
      </c>
      <c r="E670" s="3">
        <v>45658</v>
      </c>
      <c r="F670" s="2" t="s">
        <v>4635</v>
      </c>
      <c r="G670" s="2">
        <v>2237</v>
      </c>
      <c r="H670" s="2" t="s">
        <v>43</v>
      </c>
      <c r="I670" s="2" t="s">
        <v>4636</v>
      </c>
      <c r="J670" s="2" t="s">
        <v>4637</v>
      </c>
      <c r="K670" s="2" t="s">
        <v>718</v>
      </c>
      <c r="L670" s="2" t="s">
        <v>29</v>
      </c>
      <c r="M670" s="2" t="s">
        <v>1948</v>
      </c>
      <c r="N670" s="2" t="s">
        <v>428</v>
      </c>
      <c r="O670" s="2" t="s">
        <v>4638</v>
      </c>
      <c r="P670" s="2" t="s">
        <v>4639</v>
      </c>
      <c r="Q670" s="2" t="s">
        <v>2112</v>
      </c>
      <c r="R670" s="2" t="s">
        <v>4640</v>
      </c>
      <c r="S670" s="2" t="s">
        <v>4641</v>
      </c>
      <c r="T670" s="2" t="s">
        <v>4642</v>
      </c>
      <c r="U670" s="2" t="s">
        <v>4643</v>
      </c>
      <c r="V670" s="2" t="s">
        <v>594</v>
      </c>
    </row>
    <row r="671" spans="1:22">
      <c r="A671" s="2" t="s">
        <v>4644</v>
      </c>
      <c r="B671" s="2" t="s">
        <v>4645</v>
      </c>
      <c r="C671" s="2" t="s">
        <v>4646</v>
      </c>
      <c r="D671" s="2">
        <v>2024</v>
      </c>
      <c r="E671" s="3">
        <v>45648</v>
      </c>
      <c r="F671" s="2" t="s">
        <v>167</v>
      </c>
      <c r="G671" s="2">
        <v>17</v>
      </c>
      <c r="H671" s="2">
        <v>12</v>
      </c>
      <c r="I671" s="2" t="s">
        <v>43</v>
      </c>
      <c r="J671" s="2" t="s">
        <v>3369</v>
      </c>
      <c r="K671" s="2" t="s">
        <v>438</v>
      </c>
      <c r="L671" s="2" t="s">
        <v>29</v>
      </c>
      <c r="M671" s="2" t="s">
        <v>904</v>
      </c>
      <c r="N671" s="2" t="s">
        <v>1488</v>
      </c>
      <c r="O671" s="2" t="s">
        <v>3370</v>
      </c>
      <c r="P671" s="2" t="s">
        <v>4647</v>
      </c>
      <c r="Q671" s="2" t="s">
        <v>33</v>
      </c>
      <c r="R671" s="2" t="s">
        <v>4648</v>
      </c>
      <c r="S671" s="2" t="s">
        <v>1681</v>
      </c>
      <c r="T671" s="2" t="s">
        <v>2606</v>
      </c>
      <c r="U671" s="2" t="s">
        <v>1681</v>
      </c>
      <c r="V671" s="2" t="s">
        <v>80</v>
      </c>
    </row>
    <row r="672" spans="1:22">
      <c r="A672" s="2" t="s">
        <v>4649</v>
      </c>
      <c r="B672" s="2" t="s">
        <v>4645</v>
      </c>
      <c r="C672" s="2" t="s">
        <v>4646</v>
      </c>
      <c r="D672" s="2">
        <v>2024</v>
      </c>
      <c r="E672" s="3">
        <v>45648</v>
      </c>
      <c r="F672" s="2" t="s">
        <v>167</v>
      </c>
      <c r="G672" s="2">
        <v>17</v>
      </c>
      <c r="H672" s="2">
        <v>12</v>
      </c>
      <c r="I672" s="2" t="s">
        <v>43</v>
      </c>
      <c r="J672" s="2" t="s">
        <v>3369</v>
      </c>
      <c r="K672" s="2" t="s">
        <v>438</v>
      </c>
      <c r="L672" s="2" t="s">
        <v>29</v>
      </c>
      <c r="M672" s="2" t="s">
        <v>904</v>
      </c>
      <c r="N672" s="2" t="s">
        <v>1488</v>
      </c>
      <c r="O672" s="2" t="s">
        <v>3370</v>
      </c>
      <c r="P672" s="2" t="s">
        <v>4647</v>
      </c>
      <c r="Q672" s="2" t="s">
        <v>33</v>
      </c>
      <c r="R672" s="2" t="s">
        <v>4648</v>
      </c>
      <c r="S672" s="2" t="s">
        <v>1681</v>
      </c>
      <c r="T672" s="2" t="s">
        <v>2606</v>
      </c>
      <c r="U672" s="2" t="s">
        <v>1681</v>
      </c>
      <c r="V672" s="2" t="s">
        <v>80</v>
      </c>
    </row>
    <row r="673" spans="1:22">
      <c r="A673" s="2" t="s">
        <v>1344</v>
      </c>
      <c r="B673" s="2" t="s">
        <v>4645</v>
      </c>
      <c r="C673" s="2" t="s">
        <v>4646</v>
      </c>
      <c r="D673" s="2">
        <v>2024</v>
      </c>
      <c r="E673" s="3">
        <v>45648</v>
      </c>
      <c r="F673" s="2" t="s">
        <v>167</v>
      </c>
      <c r="G673" s="2">
        <v>17</v>
      </c>
      <c r="H673" s="2">
        <v>12</v>
      </c>
      <c r="I673" s="2" t="s">
        <v>43</v>
      </c>
      <c r="J673" s="2" t="s">
        <v>3369</v>
      </c>
      <c r="K673" s="2" t="s">
        <v>438</v>
      </c>
      <c r="L673" s="2" t="s">
        <v>29</v>
      </c>
      <c r="M673" s="2" t="s">
        <v>904</v>
      </c>
      <c r="N673" s="2" t="s">
        <v>1488</v>
      </c>
      <c r="O673" s="2" t="s">
        <v>3370</v>
      </c>
      <c r="P673" s="2" t="s">
        <v>4647</v>
      </c>
      <c r="Q673" s="2" t="s">
        <v>33</v>
      </c>
      <c r="R673" s="2" t="s">
        <v>4648</v>
      </c>
      <c r="S673" s="2" t="s">
        <v>1681</v>
      </c>
      <c r="T673" s="2" t="s">
        <v>2606</v>
      </c>
      <c r="U673" s="2" t="s">
        <v>1681</v>
      </c>
      <c r="V673" s="2" t="s">
        <v>80</v>
      </c>
    </row>
    <row r="674" spans="1:22">
      <c r="A674" s="2" t="s">
        <v>4650</v>
      </c>
      <c r="B674" s="2" t="s">
        <v>4651</v>
      </c>
      <c r="C674" s="2" t="s">
        <v>4652</v>
      </c>
      <c r="D674" s="2">
        <v>2024</v>
      </c>
      <c r="E674" s="3">
        <v>45292</v>
      </c>
      <c r="F674" s="2" t="s">
        <v>4174</v>
      </c>
      <c r="G674" s="2">
        <v>57</v>
      </c>
      <c r="H674" s="2">
        <v>2</v>
      </c>
      <c r="I674" s="2" t="s">
        <v>4653</v>
      </c>
      <c r="J674" s="2" t="s">
        <v>4176</v>
      </c>
      <c r="K674" s="2" t="s">
        <v>2768</v>
      </c>
      <c r="L674" s="2" t="s">
        <v>1867</v>
      </c>
      <c r="M674" s="2" t="s">
        <v>4106</v>
      </c>
      <c r="N674" s="2" t="s">
        <v>2460</v>
      </c>
      <c r="O674" s="2" t="s">
        <v>4154</v>
      </c>
      <c r="P674" s="2" t="s">
        <v>43</v>
      </c>
      <c r="Q674" s="2" t="s">
        <v>33</v>
      </c>
      <c r="R674" s="2" t="s">
        <v>4654</v>
      </c>
      <c r="S674" s="2" t="s">
        <v>79</v>
      </c>
      <c r="T674" s="5">
        <v>601053680000000</v>
      </c>
      <c r="U674" s="2" t="s">
        <v>79</v>
      </c>
      <c r="V674" s="2" t="s">
        <v>80</v>
      </c>
    </row>
    <row r="675" spans="1:22">
      <c r="A675" s="2" t="s">
        <v>4655</v>
      </c>
      <c r="B675" s="2" t="s">
        <v>4656</v>
      </c>
      <c r="C675" s="2" t="s">
        <v>4657</v>
      </c>
      <c r="D675" s="2">
        <v>2025</v>
      </c>
      <c r="E675" s="3">
        <v>45658</v>
      </c>
      <c r="F675" s="2" t="s">
        <v>4658</v>
      </c>
      <c r="G675" s="2">
        <v>42</v>
      </c>
      <c r="H675" s="2">
        <v>6</v>
      </c>
      <c r="I675" s="2" t="s">
        <v>4659</v>
      </c>
      <c r="J675" s="2" t="s">
        <v>4660</v>
      </c>
      <c r="K675" s="2" t="s">
        <v>4661</v>
      </c>
      <c r="L675" s="2" t="s">
        <v>1867</v>
      </c>
      <c r="M675" s="2" t="s">
        <v>4106</v>
      </c>
      <c r="N675" s="2" t="s">
        <v>3706</v>
      </c>
      <c r="O675" s="2" t="s">
        <v>4662</v>
      </c>
      <c r="P675" s="2" t="s">
        <v>4663</v>
      </c>
      <c r="Q675" s="2" t="s">
        <v>49</v>
      </c>
      <c r="R675" s="2" t="s">
        <v>4664</v>
      </c>
      <c r="S675" s="2" t="s">
        <v>79</v>
      </c>
      <c r="T675" s="2" t="s">
        <v>4665</v>
      </c>
      <c r="U675" s="2" t="s">
        <v>4666</v>
      </c>
      <c r="V675" s="2" t="s">
        <v>80</v>
      </c>
    </row>
    <row r="676" spans="1:22">
      <c r="A676" s="2" t="s">
        <v>4667</v>
      </c>
      <c r="B676" s="2" t="s">
        <v>4668</v>
      </c>
      <c r="C676" s="2" t="s">
        <v>4669</v>
      </c>
      <c r="D676" s="2">
        <v>2025</v>
      </c>
      <c r="E676" s="3">
        <v>45839</v>
      </c>
      <c r="F676" s="2" t="s">
        <v>4670</v>
      </c>
      <c r="G676" s="2" t="s">
        <v>43</v>
      </c>
      <c r="H676" s="2">
        <v>60</v>
      </c>
      <c r="I676" s="7">
        <v>12298</v>
      </c>
      <c r="J676" s="2" t="s">
        <v>4671</v>
      </c>
      <c r="K676" s="2" t="s">
        <v>4672</v>
      </c>
      <c r="L676" s="2" t="s">
        <v>1867</v>
      </c>
      <c r="M676" s="2" t="s">
        <v>2423</v>
      </c>
      <c r="N676" s="2" t="s">
        <v>3886</v>
      </c>
      <c r="O676" s="2" t="s">
        <v>4673</v>
      </c>
      <c r="P676" s="2" t="s">
        <v>4674</v>
      </c>
      <c r="Q676" s="2" t="s">
        <v>33</v>
      </c>
      <c r="R676" s="2" t="s">
        <v>4675</v>
      </c>
      <c r="S676" s="2" t="s">
        <v>79</v>
      </c>
      <c r="T676" s="5">
        <v>601053680000000</v>
      </c>
      <c r="U676" s="2" t="s">
        <v>79</v>
      </c>
      <c r="V676" s="2" t="s">
        <v>80</v>
      </c>
    </row>
    <row r="677" spans="1:22" ht="43.2">
      <c r="B677" s="2" t="s">
        <v>4676</v>
      </c>
      <c r="C677" s="2" t="s">
        <v>4677</v>
      </c>
      <c r="D677" s="2">
        <v>2025</v>
      </c>
      <c r="E677" s="3">
        <v>45658</v>
      </c>
      <c r="F677" s="2" t="s">
        <v>4678</v>
      </c>
      <c r="G677" s="2">
        <v>28</v>
      </c>
      <c r="H677" s="2">
        <v>5</v>
      </c>
      <c r="I677" s="2" t="s">
        <v>4679</v>
      </c>
      <c r="J677" s="2" t="s">
        <v>4680</v>
      </c>
      <c r="K677" s="2" t="s">
        <v>1134</v>
      </c>
      <c r="L677" s="2" t="s">
        <v>29</v>
      </c>
      <c r="M677" s="2" t="s">
        <v>121</v>
      </c>
      <c r="N677" s="2" t="s">
        <v>247</v>
      </c>
      <c r="O677" s="4">
        <v>1094</v>
      </c>
      <c r="P677" s="2" t="s">
        <v>4681</v>
      </c>
      <c r="Q677" s="2" t="s">
        <v>33</v>
      </c>
      <c r="R677" s="2" t="s">
        <v>4682</v>
      </c>
      <c r="S677" s="2" t="s">
        <v>2229</v>
      </c>
      <c r="T677" s="2" t="s">
        <v>4683</v>
      </c>
      <c r="U677" s="2" t="s">
        <v>4684</v>
      </c>
      <c r="V677" s="2" t="s">
        <v>4685</v>
      </c>
    </row>
    <row r="678" spans="1:22">
      <c r="A678" s="2" t="s">
        <v>22</v>
      </c>
      <c r="B678" s="2" t="s">
        <v>4686</v>
      </c>
      <c r="C678" s="2" t="s">
        <v>4687</v>
      </c>
      <c r="D678" s="2">
        <v>2025</v>
      </c>
      <c r="E678" s="3">
        <v>45870</v>
      </c>
      <c r="F678" s="2" t="s">
        <v>357</v>
      </c>
      <c r="G678" s="2">
        <v>20</v>
      </c>
      <c r="H678" s="2">
        <v>8</v>
      </c>
      <c r="I678" s="2" t="s">
        <v>43</v>
      </c>
      <c r="J678" s="2" t="s">
        <v>359</v>
      </c>
      <c r="K678" s="2" t="s">
        <v>360</v>
      </c>
      <c r="L678" s="2" t="s">
        <v>29</v>
      </c>
      <c r="M678" s="2" t="s">
        <v>361</v>
      </c>
      <c r="N678" s="2" t="s">
        <v>121</v>
      </c>
      <c r="O678" s="4">
        <v>1833</v>
      </c>
      <c r="P678" s="2" t="s">
        <v>4688</v>
      </c>
      <c r="Q678" s="2" t="s">
        <v>3676</v>
      </c>
      <c r="R678" s="2" t="s">
        <v>4689</v>
      </c>
      <c r="S678" s="2" t="s">
        <v>4690</v>
      </c>
      <c r="T678" s="2" t="s">
        <v>4691</v>
      </c>
      <c r="U678" s="2" t="s">
        <v>4692</v>
      </c>
      <c r="V678" s="2" t="s">
        <v>2265</v>
      </c>
    </row>
    <row r="679" spans="1:22" ht="43.2">
      <c r="A679" s="2" t="s">
        <v>493</v>
      </c>
      <c r="B679" s="2" t="s">
        <v>4693</v>
      </c>
      <c r="C679" s="2" t="s">
        <v>4694</v>
      </c>
      <c r="D679" s="2">
        <v>2025</v>
      </c>
      <c r="E679" s="3">
        <v>45992</v>
      </c>
      <c r="F679" s="2" t="s">
        <v>1293</v>
      </c>
      <c r="G679" s="2">
        <v>15</v>
      </c>
      <c r="H679" s="2">
        <v>1</v>
      </c>
      <c r="I679" s="2" t="s">
        <v>43</v>
      </c>
      <c r="J679" s="2" t="s">
        <v>1294</v>
      </c>
      <c r="K679" s="2" t="s">
        <v>220</v>
      </c>
      <c r="L679" s="2" t="s">
        <v>29</v>
      </c>
      <c r="M679" s="2" t="s">
        <v>120</v>
      </c>
      <c r="N679" s="2" t="s">
        <v>348</v>
      </c>
      <c r="O679" s="2" t="s">
        <v>1717</v>
      </c>
      <c r="P679" s="2" t="s">
        <v>4695</v>
      </c>
      <c r="Q679" s="2" t="s">
        <v>33</v>
      </c>
      <c r="R679" s="2" t="s">
        <v>4696</v>
      </c>
      <c r="S679" s="2" t="s">
        <v>4697</v>
      </c>
      <c r="T679" s="2" t="s">
        <v>4698</v>
      </c>
      <c r="U679" s="2" t="s">
        <v>4699</v>
      </c>
      <c r="V679" s="2" t="s">
        <v>4700</v>
      </c>
    </row>
    <row r="680" spans="1:22" ht="43.2">
      <c r="A680" s="2" t="s">
        <v>712</v>
      </c>
      <c r="B680" s="2" t="s">
        <v>4693</v>
      </c>
      <c r="C680" s="2" t="s">
        <v>4694</v>
      </c>
      <c r="D680" s="2">
        <v>2025</v>
      </c>
      <c r="E680" s="3">
        <v>45992</v>
      </c>
      <c r="F680" s="2" t="s">
        <v>1293</v>
      </c>
      <c r="G680" s="2">
        <v>15</v>
      </c>
      <c r="H680" s="2">
        <v>1</v>
      </c>
      <c r="I680" s="2" t="s">
        <v>43</v>
      </c>
      <c r="J680" s="2" t="s">
        <v>1294</v>
      </c>
      <c r="K680" s="2" t="s">
        <v>220</v>
      </c>
      <c r="L680" s="2" t="s">
        <v>29</v>
      </c>
      <c r="M680" s="2" t="s">
        <v>120</v>
      </c>
      <c r="N680" s="2" t="s">
        <v>348</v>
      </c>
      <c r="O680" s="2" t="s">
        <v>1717</v>
      </c>
      <c r="P680" s="2" t="s">
        <v>4695</v>
      </c>
      <c r="Q680" s="2" t="s">
        <v>33</v>
      </c>
      <c r="R680" s="2" t="s">
        <v>4696</v>
      </c>
      <c r="S680" s="2" t="s">
        <v>4697</v>
      </c>
      <c r="T680" s="2" t="s">
        <v>4698</v>
      </c>
      <c r="U680" s="2" t="s">
        <v>4699</v>
      </c>
      <c r="V680" s="2" t="s">
        <v>4700</v>
      </c>
    </row>
    <row r="681" spans="1:22">
      <c r="A681" s="2" t="s">
        <v>4701</v>
      </c>
      <c r="B681" s="2" t="s">
        <v>4702</v>
      </c>
      <c r="C681" s="2" t="s">
        <v>4703</v>
      </c>
      <c r="D681" s="2">
        <v>2025</v>
      </c>
      <c r="E681" s="3">
        <v>45658</v>
      </c>
      <c r="F681" s="2" t="s">
        <v>3733</v>
      </c>
      <c r="G681" s="2">
        <v>12</v>
      </c>
      <c r="H681" s="2" t="s">
        <v>43</v>
      </c>
      <c r="I681" s="2" t="s">
        <v>43</v>
      </c>
      <c r="J681" s="2" t="s">
        <v>3734</v>
      </c>
      <c r="K681" s="2" t="s">
        <v>45</v>
      </c>
      <c r="L681" s="2" t="s">
        <v>29</v>
      </c>
      <c r="M681" s="2" t="s">
        <v>2522</v>
      </c>
      <c r="N681" s="2" t="s">
        <v>331</v>
      </c>
      <c r="O681" s="2" t="s">
        <v>4704</v>
      </c>
      <c r="P681" s="2" t="s">
        <v>4705</v>
      </c>
      <c r="Q681" s="2" t="s">
        <v>33</v>
      </c>
      <c r="R681" s="2" t="s">
        <v>4706</v>
      </c>
      <c r="S681" s="2" t="s">
        <v>3384</v>
      </c>
      <c r="T681" s="2" t="s">
        <v>3385</v>
      </c>
      <c r="U681" s="2" t="s">
        <v>3384</v>
      </c>
      <c r="V681" s="2" t="s">
        <v>80</v>
      </c>
    </row>
    <row r="682" spans="1:22" ht="28.8">
      <c r="A682" s="2" t="s">
        <v>635</v>
      </c>
      <c r="B682" s="2" t="s">
        <v>4707</v>
      </c>
      <c r="C682" s="2" t="s">
        <v>4708</v>
      </c>
      <c r="D682" s="2">
        <v>2025</v>
      </c>
      <c r="E682" s="3">
        <v>45705</v>
      </c>
      <c r="F682" s="2" t="s">
        <v>3046</v>
      </c>
      <c r="G682" s="2">
        <v>96</v>
      </c>
      <c r="H682" s="2">
        <v>6</v>
      </c>
      <c r="I682" s="2" t="s">
        <v>43</v>
      </c>
      <c r="J682" s="2" t="s">
        <v>4709</v>
      </c>
      <c r="K682" s="2" t="s">
        <v>3049</v>
      </c>
      <c r="L682" s="2" t="s">
        <v>1867</v>
      </c>
      <c r="M682" s="2" t="s">
        <v>1919</v>
      </c>
      <c r="N682" s="2" t="s">
        <v>3050</v>
      </c>
      <c r="O682" s="2" t="s">
        <v>3051</v>
      </c>
      <c r="P682" s="2" t="s">
        <v>4710</v>
      </c>
      <c r="Q682" s="2" t="s">
        <v>33</v>
      </c>
      <c r="R682" s="2" t="s">
        <v>4711</v>
      </c>
      <c r="S682" s="2" t="s">
        <v>4712</v>
      </c>
      <c r="T682" s="2" t="s">
        <v>4713</v>
      </c>
      <c r="U682" s="2" t="s">
        <v>4714</v>
      </c>
      <c r="V682" s="2" t="s">
        <v>4715</v>
      </c>
    </row>
    <row r="683" spans="1:22">
      <c r="A683" s="2" t="s">
        <v>2358</v>
      </c>
      <c r="B683" s="2" t="s">
        <v>4716</v>
      </c>
      <c r="C683" s="2" t="s">
        <v>4717</v>
      </c>
      <c r="D683" s="2">
        <v>2025</v>
      </c>
      <c r="E683" s="3">
        <v>45658</v>
      </c>
      <c r="F683" s="2" t="s">
        <v>4718</v>
      </c>
      <c r="G683" s="2" t="s">
        <v>43</v>
      </c>
      <c r="H683" s="2" t="s">
        <v>43</v>
      </c>
      <c r="I683" s="2" t="s">
        <v>43</v>
      </c>
      <c r="J683" s="2" t="s">
        <v>4719</v>
      </c>
      <c r="K683" s="2" t="s">
        <v>772</v>
      </c>
      <c r="L683" s="2" t="s">
        <v>773</v>
      </c>
      <c r="M683" s="2" t="s">
        <v>2735</v>
      </c>
      <c r="N683" s="2" t="s">
        <v>2178</v>
      </c>
      <c r="O683" s="2" t="s">
        <v>4720</v>
      </c>
      <c r="P683" s="2" t="s">
        <v>4721</v>
      </c>
      <c r="Q683" s="2" t="s">
        <v>49</v>
      </c>
      <c r="R683" s="2" t="s">
        <v>4722</v>
      </c>
      <c r="S683" s="2" t="s">
        <v>1106</v>
      </c>
      <c r="T683" s="2" t="s">
        <v>4723</v>
      </c>
      <c r="U683" s="2" t="s">
        <v>4724</v>
      </c>
      <c r="V683" s="2" t="s">
        <v>4725</v>
      </c>
    </row>
    <row r="684" spans="1:22">
      <c r="A684" s="2" t="s">
        <v>4726</v>
      </c>
      <c r="B684" s="2" t="s">
        <v>4727</v>
      </c>
      <c r="C684" s="2" t="s">
        <v>4728</v>
      </c>
      <c r="D684" s="2">
        <v>2024</v>
      </c>
      <c r="E684" s="3">
        <v>45413</v>
      </c>
      <c r="F684" s="2" t="s">
        <v>2392</v>
      </c>
      <c r="G684" s="2">
        <v>35</v>
      </c>
      <c r="H684" s="6">
        <v>46115</v>
      </c>
      <c r="I684" s="2" t="s">
        <v>4729</v>
      </c>
      <c r="J684" s="2" t="s">
        <v>2394</v>
      </c>
      <c r="K684" s="2" t="s">
        <v>392</v>
      </c>
      <c r="L684" s="2" t="s">
        <v>773</v>
      </c>
      <c r="M684" s="2" t="s">
        <v>47</v>
      </c>
      <c r="N684" s="2" t="s">
        <v>2395</v>
      </c>
      <c r="O684" s="2" t="s">
        <v>2396</v>
      </c>
      <c r="P684" s="2" t="s">
        <v>4730</v>
      </c>
      <c r="Q684" s="2" t="s">
        <v>33</v>
      </c>
      <c r="R684" s="2" t="s">
        <v>4731</v>
      </c>
      <c r="S684" s="2" t="s">
        <v>1681</v>
      </c>
      <c r="T684" s="2" t="s">
        <v>2561</v>
      </c>
      <c r="U684" s="2" t="s">
        <v>2562</v>
      </c>
      <c r="V684" s="2" t="s">
        <v>80</v>
      </c>
    </row>
    <row r="685" spans="1:22">
      <c r="A685" s="2" t="s">
        <v>4732</v>
      </c>
      <c r="B685" s="2" t="s">
        <v>4733</v>
      </c>
      <c r="C685" s="2" t="s">
        <v>4734</v>
      </c>
      <c r="D685" s="2">
        <v>2024</v>
      </c>
      <c r="E685" s="3">
        <v>45292</v>
      </c>
      <c r="F685" s="2" t="s">
        <v>4735</v>
      </c>
      <c r="G685" s="2">
        <v>50</v>
      </c>
      <c r="H685" s="2">
        <v>1</v>
      </c>
      <c r="I685" s="2" t="s">
        <v>4736</v>
      </c>
      <c r="J685" s="2" t="s">
        <v>4737</v>
      </c>
      <c r="K685" s="2" t="s">
        <v>4152</v>
      </c>
      <c r="L685" s="2" t="s">
        <v>773</v>
      </c>
      <c r="M685" s="2" t="s">
        <v>47</v>
      </c>
      <c r="N685" s="2" t="s">
        <v>2407</v>
      </c>
      <c r="O685" s="2" t="s">
        <v>4738</v>
      </c>
      <c r="P685" s="2" t="s">
        <v>4739</v>
      </c>
      <c r="Q685" s="2" t="s">
        <v>33</v>
      </c>
      <c r="R685" s="2" t="s">
        <v>4740</v>
      </c>
      <c r="S685" s="2" t="s">
        <v>79</v>
      </c>
      <c r="T685" s="2" t="s">
        <v>4741</v>
      </c>
      <c r="U685" s="2" t="s">
        <v>4742</v>
      </c>
      <c r="V685" s="2" t="s">
        <v>4593</v>
      </c>
    </row>
    <row r="686" spans="1:22" ht="28.8">
      <c r="A686" s="2" t="s">
        <v>4743</v>
      </c>
      <c r="B686" s="2" t="s">
        <v>4744</v>
      </c>
      <c r="C686" s="2" t="s">
        <v>4745</v>
      </c>
      <c r="D686" s="2">
        <v>2025</v>
      </c>
      <c r="E686" s="3">
        <v>45658</v>
      </c>
      <c r="F686" s="2" t="s">
        <v>4746</v>
      </c>
      <c r="G686" s="2">
        <v>54</v>
      </c>
      <c r="H686" s="2">
        <v>1</v>
      </c>
      <c r="I686" s="2" t="s">
        <v>43</v>
      </c>
      <c r="J686" s="2" t="s">
        <v>4747</v>
      </c>
      <c r="K686" s="2" t="s">
        <v>4748</v>
      </c>
      <c r="L686" s="2" t="s">
        <v>29</v>
      </c>
      <c r="M686" s="2" t="s">
        <v>4749</v>
      </c>
      <c r="N686" s="2" t="s">
        <v>331</v>
      </c>
      <c r="O686" s="2" t="s">
        <v>4750</v>
      </c>
      <c r="P686" s="2" t="s">
        <v>4751</v>
      </c>
      <c r="Q686" s="2" t="s">
        <v>33</v>
      </c>
      <c r="R686" s="2" t="s">
        <v>4752</v>
      </c>
      <c r="S686" s="2" t="s">
        <v>4753</v>
      </c>
      <c r="T686" s="2" t="s">
        <v>4754</v>
      </c>
      <c r="U686" s="2" t="s">
        <v>4755</v>
      </c>
      <c r="V686" s="2" t="s">
        <v>80</v>
      </c>
    </row>
    <row r="687" spans="1:22">
      <c r="A687" s="2" t="s">
        <v>4756</v>
      </c>
      <c r="B687" s="2" t="s">
        <v>4757</v>
      </c>
      <c r="C687" s="2" t="s">
        <v>4758</v>
      </c>
      <c r="D687" s="2">
        <v>2025</v>
      </c>
      <c r="E687" s="3">
        <v>45992</v>
      </c>
      <c r="F687" s="2" t="s">
        <v>4759</v>
      </c>
      <c r="G687" s="2">
        <v>31</v>
      </c>
      <c r="H687" s="2">
        <v>3</v>
      </c>
      <c r="I687" s="2" t="s">
        <v>4760</v>
      </c>
      <c r="J687" s="2" t="s">
        <v>4761</v>
      </c>
      <c r="K687" s="2" t="s">
        <v>4762</v>
      </c>
      <c r="L687" s="2" t="s">
        <v>1867</v>
      </c>
      <c r="M687" s="2" t="s">
        <v>47</v>
      </c>
      <c r="N687" s="2" t="s">
        <v>2395</v>
      </c>
      <c r="O687" s="2" t="s">
        <v>4763</v>
      </c>
      <c r="P687" s="2" t="s">
        <v>4764</v>
      </c>
      <c r="Q687" s="2" t="s">
        <v>33</v>
      </c>
      <c r="R687" s="2" t="s">
        <v>4765</v>
      </c>
      <c r="S687" s="2" t="s">
        <v>2411</v>
      </c>
      <c r="T687" s="2" t="s">
        <v>4766</v>
      </c>
      <c r="U687" s="2" t="s">
        <v>4767</v>
      </c>
      <c r="V687" s="2" t="s">
        <v>80</v>
      </c>
    </row>
    <row r="688" spans="1:22">
      <c r="A688" s="2" t="s">
        <v>4768</v>
      </c>
      <c r="B688" s="2" t="s">
        <v>4769</v>
      </c>
      <c r="C688" s="2" t="s">
        <v>4770</v>
      </c>
      <c r="D688" s="2">
        <v>2025</v>
      </c>
      <c r="E688" s="3">
        <v>45658</v>
      </c>
      <c r="F688" s="2" t="s">
        <v>4771</v>
      </c>
      <c r="G688" s="2">
        <v>66</v>
      </c>
      <c r="H688" s="2">
        <v>162</v>
      </c>
      <c r="I688" s="2" t="s">
        <v>43</v>
      </c>
      <c r="J688" s="2" t="s">
        <v>4772</v>
      </c>
      <c r="K688" s="2" t="s">
        <v>4773</v>
      </c>
      <c r="L688" s="2" t="s">
        <v>1867</v>
      </c>
      <c r="M688" s="2" t="s">
        <v>2423</v>
      </c>
      <c r="N688" s="2" t="s">
        <v>3427</v>
      </c>
      <c r="O688" s="2" t="s">
        <v>4774</v>
      </c>
      <c r="P688" s="2" t="s">
        <v>4775</v>
      </c>
      <c r="Q688" s="2" t="s">
        <v>33</v>
      </c>
      <c r="R688" s="2" t="s">
        <v>4776</v>
      </c>
      <c r="S688" s="2" t="s">
        <v>79</v>
      </c>
      <c r="T688" s="5">
        <v>601053680000000</v>
      </c>
      <c r="U688" s="2" t="s">
        <v>79</v>
      </c>
      <c r="V688" s="2" t="s">
        <v>80</v>
      </c>
    </row>
    <row r="689" spans="1:22">
      <c r="A689" s="2" t="s">
        <v>4777</v>
      </c>
      <c r="B689" s="2" t="s">
        <v>4778</v>
      </c>
      <c r="C689" s="2" t="s">
        <v>4779</v>
      </c>
      <c r="D689" s="2">
        <v>2025</v>
      </c>
      <c r="E689" s="3">
        <v>45992</v>
      </c>
      <c r="F689" s="2" t="s">
        <v>4780</v>
      </c>
      <c r="G689" s="2">
        <v>23</v>
      </c>
      <c r="H689" s="2">
        <v>1</v>
      </c>
      <c r="I689" s="2" t="s">
        <v>43</v>
      </c>
      <c r="J689" s="2" t="s">
        <v>4781</v>
      </c>
      <c r="K689" s="2" t="s">
        <v>233</v>
      </c>
      <c r="L689" s="2" t="s">
        <v>29</v>
      </c>
      <c r="M689" s="2" t="s">
        <v>2052</v>
      </c>
      <c r="N689" s="2" t="s">
        <v>4276</v>
      </c>
      <c r="O689" s="2" t="s">
        <v>4782</v>
      </c>
      <c r="P689" s="2" t="s">
        <v>4783</v>
      </c>
      <c r="Q689" s="2" t="s">
        <v>33</v>
      </c>
      <c r="R689" s="2" t="s">
        <v>4784</v>
      </c>
      <c r="S689" s="2" t="s">
        <v>4785</v>
      </c>
      <c r="T689" s="2" t="s">
        <v>4786</v>
      </c>
      <c r="U689" s="2" t="s">
        <v>4787</v>
      </c>
      <c r="V689" s="2" t="s">
        <v>4788</v>
      </c>
    </row>
    <row r="690" spans="1:22">
      <c r="A690" s="2" t="s">
        <v>4789</v>
      </c>
      <c r="B690" s="2" t="s">
        <v>4790</v>
      </c>
      <c r="C690" s="2" t="s">
        <v>4791</v>
      </c>
      <c r="D690" s="2">
        <v>2025</v>
      </c>
      <c r="E690" s="3">
        <v>45992</v>
      </c>
      <c r="F690" s="2" t="s">
        <v>4792</v>
      </c>
      <c r="G690" s="2">
        <v>82</v>
      </c>
      <c r="H690" s="2">
        <v>2</v>
      </c>
      <c r="I690" s="2" t="s">
        <v>4793</v>
      </c>
      <c r="J690" s="2" t="s">
        <v>4794</v>
      </c>
      <c r="K690" s="2" t="s">
        <v>4795</v>
      </c>
      <c r="L690" s="2" t="s">
        <v>1867</v>
      </c>
      <c r="M690" s="2" t="s">
        <v>2203</v>
      </c>
      <c r="N690" s="2" t="s">
        <v>4796</v>
      </c>
      <c r="O690" s="2" t="s">
        <v>2396</v>
      </c>
      <c r="P690" s="2" t="s">
        <v>4797</v>
      </c>
      <c r="Q690" s="2" t="s">
        <v>33</v>
      </c>
      <c r="R690" s="2" t="s">
        <v>4798</v>
      </c>
      <c r="S690" s="2" t="s">
        <v>4799</v>
      </c>
      <c r="T690" s="2" t="s">
        <v>4800</v>
      </c>
      <c r="U690" s="2" t="s">
        <v>4801</v>
      </c>
      <c r="V690" s="2" t="s">
        <v>80</v>
      </c>
    </row>
    <row r="691" spans="1:22" ht="28.8">
      <c r="A691" s="2" t="s">
        <v>1396</v>
      </c>
      <c r="B691" s="2" t="s">
        <v>4802</v>
      </c>
      <c r="C691" s="2" t="s">
        <v>4803</v>
      </c>
      <c r="D691" s="2">
        <v>2025</v>
      </c>
      <c r="E691" s="3">
        <v>45859</v>
      </c>
      <c r="F691" s="2" t="s">
        <v>4804</v>
      </c>
      <c r="G691" s="2">
        <v>55</v>
      </c>
      <c r="H691" s="2" t="s">
        <v>43</v>
      </c>
      <c r="I691" s="2" t="s">
        <v>43</v>
      </c>
      <c r="J691" s="2" t="s">
        <v>4805</v>
      </c>
      <c r="K691" s="2" t="s">
        <v>613</v>
      </c>
      <c r="L691" s="2" t="s">
        <v>29</v>
      </c>
      <c r="M691" s="2" t="s">
        <v>1996</v>
      </c>
      <c r="N691" s="2" t="s">
        <v>464</v>
      </c>
      <c r="O691" s="4">
        <v>2192</v>
      </c>
      <c r="P691" s="2" t="s">
        <v>4806</v>
      </c>
      <c r="Q691" s="2" t="s">
        <v>33</v>
      </c>
      <c r="R691" s="2" t="s">
        <v>4807</v>
      </c>
      <c r="S691" s="2" t="s">
        <v>1904</v>
      </c>
      <c r="T691" s="2" t="s">
        <v>4808</v>
      </c>
      <c r="U691" s="2" t="s">
        <v>4809</v>
      </c>
      <c r="V691" s="2" t="s">
        <v>1907</v>
      </c>
    </row>
    <row r="692" spans="1:22" ht="28.8">
      <c r="A692" s="2" t="s">
        <v>2815</v>
      </c>
      <c r="B692" s="2" t="s">
        <v>4802</v>
      </c>
      <c r="C692" s="2" t="s">
        <v>4803</v>
      </c>
      <c r="D692" s="2">
        <v>2025</v>
      </c>
      <c r="E692" s="3">
        <v>45859</v>
      </c>
      <c r="F692" s="2" t="s">
        <v>4804</v>
      </c>
      <c r="G692" s="2">
        <v>55</v>
      </c>
      <c r="H692" s="2" t="s">
        <v>43</v>
      </c>
      <c r="I692" s="2" t="s">
        <v>43</v>
      </c>
      <c r="J692" s="2" t="s">
        <v>4805</v>
      </c>
      <c r="K692" s="2" t="s">
        <v>613</v>
      </c>
      <c r="L692" s="2" t="s">
        <v>29</v>
      </c>
      <c r="M692" s="2" t="s">
        <v>1996</v>
      </c>
      <c r="N692" s="2" t="s">
        <v>464</v>
      </c>
      <c r="O692" s="4">
        <v>2192</v>
      </c>
      <c r="P692" s="2" t="s">
        <v>4806</v>
      </c>
      <c r="Q692" s="2" t="s">
        <v>33</v>
      </c>
      <c r="R692" s="2" t="s">
        <v>4807</v>
      </c>
      <c r="S692" s="2" t="s">
        <v>1904</v>
      </c>
      <c r="T692" s="2" t="s">
        <v>4808</v>
      </c>
      <c r="U692" s="2" t="s">
        <v>4809</v>
      </c>
      <c r="V692" s="2" t="s">
        <v>1907</v>
      </c>
    </row>
    <row r="693" spans="1:22">
      <c r="A693" s="2" t="s">
        <v>1024</v>
      </c>
      <c r="B693" s="2" t="s">
        <v>4810</v>
      </c>
      <c r="C693" s="2" t="s">
        <v>4811</v>
      </c>
      <c r="D693" s="2">
        <v>2025</v>
      </c>
      <c r="E693" s="3">
        <v>45992</v>
      </c>
      <c r="F693" s="2" t="s">
        <v>2912</v>
      </c>
      <c r="G693" s="2">
        <v>52</v>
      </c>
      <c r="H693" s="2">
        <v>6</v>
      </c>
      <c r="I693" s="2" t="s">
        <v>4812</v>
      </c>
      <c r="J693" s="2" t="s">
        <v>2914</v>
      </c>
      <c r="K693" s="2" t="s">
        <v>2915</v>
      </c>
      <c r="L693" s="2" t="s">
        <v>1867</v>
      </c>
      <c r="M693" s="2" t="s">
        <v>47</v>
      </c>
      <c r="N693" s="2" t="s">
        <v>2916</v>
      </c>
      <c r="O693" s="2" t="s">
        <v>2917</v>
      </c>
      <c r="P693" s="2" t="s">
        <v>4813</v>
      </c>
      <c r="Q693" s="2" t="s">
        <v>33</v>
      </c>
      <c r="R693" s="2" t="s">
        <v>4814</v>
      </c>
      <c r="S693" s="2" t="s">
        <v>79</v>
      </c>
      <c r="T693" s="2" t="s">
        <v>4815</v>
      </c>
      <c r="U693" s="2" t="s">
        <v>4816</v>
      </c>
      <c r="V693" s="2" t="s">
        <v>80</v>
      </c>
    </row>
    <row r="694" spans="1:22">
      <c r="A694" s="2" t="s">
        <v>3141</v>
      </c>
      <c r="B694" s="2" t="s">
        <v>4810</v>
      </c>
      <c r="C694" s="2" t="s">
        <v>4811</v>
      </c>
      <c r="D694" s="2">
        <v>2025</v>
      </c>
      <c r="E694" s="3">
        <v>45992</v>
      </c>
      <c r="F694" s="2" t="s">
        <v>2912</v>
      </c>
      <c r="G694" s="2">
        <v>52</v>
      </c>
      <c r="H694" s="2">
        <v>6</v>
      </c>
      <c r="I694" s="2" t="s">
        <v>4812</v>
      </c>
      <c r="J694" s="2" t="s">
        <v>2914</v>
      </c>
      <c r="K694" s="2" t="s">
        <v>2915</v>
      </c>
      <c r="L694" s="2" t="s">
        <v>1867</v>
      </c>
      <c r="M694" s="2" t="s">
        <v>47</v>
      </c>
      <c r="N694" s="2" t="s">
        <v>2916</v>
      </c>
      <c r="O694" s="2" t="s">
        <v>2917</v>
      </c>
      <c r="P694" s="2" t="s">
        <v>4813</v>
      </c>
      <c r="Q694" s="2" t="s">
        <v>33</v>
      </c>
      <c r="R694" s="2" t="s">
        <v>4814</v>
      </c>
      <c r="S694" s="2" t="s">
        <v>79</v>
      </c>
      <c r="T694" s="2" t="s">
        <v>4815</v>
      </c>
      <c r="U694" s="2" t="s">
        <v>4816</v>
      </c>
      <c r="V694" s="2" t="s">
        <v>80</v>
      </c>
    </row>
    <row r="695" spans="1:22">
      <c r="A695" s="2" t="s">
        <v>1319</v>
      </c>
      <c r="B695" s="2" t="s">
        <v>4810</v>
      </c>
      <c r="C695" s="2" t="s">
        <v>4811</v>
      </c>
      <c r="D695" s="2">
        <v>2025</v>
      </c>
      <c r="E695" s="3">
        <v>45992</v>
      </c>
      <c r="F695" s="2" t="s">
        <v>2912</v>
      </c>
      <c r="G695" s="2">
        <v>52</v>
      </c>
      <c r="H695" s="2">
        <v>6</v>
      </c>
      <c r="I695" s="2" t="s">
        <v>4812</v>
      </c>
      <c r="J695" s="2" t="s">
        <v>2914</v>
      </c>
      <c r="K695" s="2" t="s">
        <v>2915</v>
      </c>
      <c r="L695" s="2" t="s">
        <v>1867</v>
      </c>
      <c r="M695" s="2" t="s">
        <v>47</v>
      </c>
      <c r="N695" s="2" t="s">
        <v>2916</v>
      </c>
      <c r="O695" s="2" t="s">
        <v>2917</v>
      </c>
      <c r="P695" s="2" t="s">
        <v>4813</v>
      </c>
      <c r="Q695" s="2" t="s">
        <v>33</v>
      </c>
      <c r="R695" s="2" t="s">
        <v>4814</v>
      </c>
      <c r="S695" s="2" t="s">
        <v>79</v>
      </c>
      <c r="T695" s="2" t="s">
        <v>4815</v>
      </c>
      <c r="U695" s="2" t="s">
        <v>4816</v>
      </c>
      <c r="V695" s="2" t="s">
        <v>80</v>
      </c>
    </row>
    <row r="696" spans="1:22">
      <c r="A696" s="2" t="s">
        <v>1024</v>
      </c>
      <c r="B696" s="2" t="s">
        <v>4817</v>
      </c>
      <c r="C696" s="2" t="s">
        <v>4818</v>
      </c>
      <c r="D696" s="2">
        <v>2024</v>
      </c>
      <c r="E696" s="3">
        <v>45566</v>
      </c>
      <c r="F696" s="2" t="s">
        <v>3298</v>
      </c>
      <c r="G696" s="2">
        <v>14</v>
      </c>
      <c r="H696" s="2">
        <v>20</v>
      </c>
      <c r="I696" s="2" t="s">
        <v>43</v>
      </c>
      <c r="J696" s="2" t="s">
        <v>3299</v>
      </c>
      <c r="K696" s="2" t="s">
        <v>61</v>
      </c>
      <c r="L696" s="2" t="s">
        <v>29</v>
      </c>
      <c r="M696" s="2" t="s">
        <v>2613</v>
      </c>
      <c r="N696" s="2" t="s">
        <v>1581</v>
      </c>
      <c r="O696" s="2" t="s">
        <v>4819</v>
      </c>
      <c r="P696" s="2" t="s">
        <v>4820</v>
      </c>
      <c r="Q696" s="2" t="s">
        <v>33</v>
      </c>
      <c r="R696" s="2" t="s">
        <v>4821</v>
      </c>
      <c r="S696" s="2" t="s">
        <v>4822</v>
      </c>
      <c r="T696" s="2" t="s">
        <v>4823</v>
      </c>
      <c r="U696" s="2" t="s">
        <v>4822</v>
      </c>
      <c r="V696" s="2" t="s">
        <v>4824</v>
      </c>
    </row>
    <row r="697" spans="1:22">
      <c r="A697" s="2" t="s">
        <v>265</v>
      </c>
      <c r="B697" s="2" t="s">
        <v>4817</v>
      </c>
      <c r="C697" s="2" t="s">
        <v>4818</v>
      </c>
      <c r="D697" s="2">
        <v>2024</v>
      </c>
      <c r="E697" s="3">
        <v>45566</v>
      </c>
      <c r="F697" s="2" t="s">
        <v>3298</v>
      </c>
      <c r="G697" s="2">
        <v>14</v>
      </c>
      <c r="H697" s="2">
        <v>20</v>
      </c>
      <c r="I697" s="2" t="s">
        <v>43</v>
      </c>
      <c r="J697" s="2" t="s">
        <v>3299</v>
      </c>
      <c r="K697" s="2" t="s">
        <v>61</v>
      </c>
      <c r="L697" s="2" t="s">
        <v>29</v>
      </c>
      <c r="M697" s="2" t="s">
        <v>2613</v>
      </c>
      <c r="N697" s="2" t="s">
        <v>1581</v>
      </c>
      <c r="O697" s="2" t="s">
        <v>4819</v>
      </c>
      <c r="P697" s="2" t="s">
        <v>4820</v>
      </c>
      <c r="Q697" s="2" t="s">
        <v>33</v>
      </c>
      <c r="R697" s="2" t="s">
        <v>4821</v>
      </c>
      <c r="S697" s="2" t="s">
        <v>4822</v>
      </c>
      <c r="T697" s="2" t="s">
        <v>4823</v>
      </c>
      <c r="U697" s="2" t="s">
        <v>4822</v>
      </c>
      <c r="V697" s="2" t="s">
        <v>4824</v>
      </c>
    </row>
    <row r="698" spans="1:22">
      <c r="A698" s="2" t="s">
        <v>1619</v>
      </c>
      <c r="B698" s="2" t="s">
        <v>4825</v>
      </c>
      <c r="C698" s="2" t="s">
        <v>4826</v>
      </c>
      <c r="D698" s="2">
        <v>2025</v>
      </c>
      <c r="E698" s="3">
        <v>45658</v>
      </c>
      <c r="F698" s="2" t="s">
        <v>4827</v>
      </c>
      <c r="G698" s="2" t="s">
        <v>43</v>
      </c>
      <c r="H698" s="2" t="s">
        <v>43</v>
      </c>
      <c r="I698" s="2" t="s">
        <v>43</v>
      </c>
      <c r="J698" s="2" t="s">
        <v>43</v>
      </c>
      <c r="K698" s="2" t="s">
        <v>2893</v>
      </c>
      <c r="L698" s="2" t="s">
        <v>29</v>
      </c>
      <c r="M698" s="2" t="s">
        <v>43</v>
      </c>
      <c r="N698" s="2" t="s">
        <v>43</v>
      </c>
      <c r="O698" s="2" t="s">
        <v>43</v>
      </c>
      <c r="P698" s="2" t="s">
        <v>4828</v>
      </c>
      <c r="Q698" s="2" t="s">
        <v>2112</v>
      </c>
      <c r="R698" s="2" t="s">
        <v>4829</v>
      </c>
      <c r="S698" s="2" t="s">
        <v>4830</v>
      </c>
      <c r="T698" s="2" t="s">
        <v>4831</v>
      </c>
      <c r="U698" s="2" t="s">
        <v>4832</v>
      </c>
      <c r="V698" s="2" t="s">
        <v>80</v>
      </c>
    </row>
    <row r="699" spans="1:22">
      <c r="A699" s="2" t="s">
        <v>128</v>
      </c>
      <c r="B699" s="2" t="s">
        <v>4833</v>
      </c>
      <c r="C699" s="2" t="s">
        <v>4834</v>
      </c>
      <c r="D699" s="2">
        <v>2024</v>
      </c>
      <c r="E699" s="3">
        <v>45292</v>
      </c>
      <c r="F699" s="2" t="s">
        <v>4835</v>
      </c>
      <c r="G699" s="2" t="s">
        <v>43</v>
      </c>
      <c r="H699" s="2" t="s">
        <v>43</v>
      </c>
      <c r="I699" s="2" t="s">
        <v>4836</v>
      </c>
      <c r="J699" s="2" t="s">
        <v>43</v>
      </c>
      <c r="K699" s="2" t="s">
        <v>1423</v>
      </c>
      <c r="L699" s="2" t="s">
        <v>29</v>
      </c>
      <c r="M699" s="2" t="s">
        <v>43</v>
      </c>
      <c r="N699" s="2" t="s">
        <v>43</v>
      </c>
      <c r="O699" s="2" t="s">
        <v>43</v>
      </c>
      <c r="P699" s="2" t="s">
        <v>4837</v>
      </c>
      <c r="Q699" s="2" t="s">
        <v>1125</v>
      </c>
      <c r="R699" s="2" t="s">
        <v>4838</v>
      </c>
      <c r="S699" s="2" t="s">
        <v>4839</v>
      </c>
      <c r="T699" s="2" t="s">
        <v>4840</v>
      </c>
      <c r="U699" s="2" t="s">
        <v>4841</v>
      </c>
      <c r="V699" s="2" t="s">
        <v>141</v>
      </c>
    </row>
    <row r="700" spans="1:22" ht="28.8">
      <c r="A700" s="2" t="s">
        <v>276</v>
      </c>
      <c r="B700" s="2" t="s">
        <v>4842</v>
      </c>
      <c r="C700" s="2" t="s">
        <v>4843</v>
      </c>
      <c r="D700" s="2">
        <v>2025</v>
      </c>
      <c r="E700" s="3">
        <v>45962</v>
      </c>
      <c r="F700" s="2" t="s">
        <v>1470</v>
      </c>
      <c r="G700" s="2">
        <v>15</v>
      </c>
      <c r="H700" s="2">
        <v>21</v>
      </c>
      <c r="I700" s="2" t="s">
        <v>43</v>
      </c>
      <c r="J700" s="2" t="s">
        <v>1471</v>
      </c>
      <c r="K700" s="2" t="s">
        <v>61</v>
      </c>
      <c r="L700" s="2" t="s">
        <v>29</v>
      </c>
      <c r="M700" s="2" t="s">
        <v>246</v>
      </c>
      <c r="N700" s="2" t="s">
        <v>1581</v>
      </c>
      <c r="O700" s="2" t="s">
        <v>2336</v>
      </c>
      <c r="P700" s="2" t="s">
        <v>4844</v>
      </c>
      <c r="Q700" s="2" t="s">
        <v>33</v>
      </c>
      <c r="R700" s="2" t="s">
        <v>4845</v>
      </c>
      <c r="S700" s="2" t="s">
        <v>4846</v>
      </c>
      <c r="T700" s="2" t="s">
        <v>4847</v>
      </c>
      <c r="U700" s="2" t="s">
        <v>4848</v>
      </c>
      <c r="V700" s="2" t="s">
        <v>4849</v>
      </c>
    </row>
    <row r="701" spans="1:22">
      <c r="A701" s="2" t="s">
        <v>834</v>
      </c>
      <c r="B701" s="2" t="s">
        <v>4850</v>
      </c>
      <c r="C701" s="2" t="s">
        <v>4851</v>
      </c>
      <c r="D701" s="2">
        <v>2024</v>
      </c>
      <c r="E701" s="3">
        <v>45505</v>
      </c>
      <c r="F701" s="2" t="s">
        <v>4658</v>
      </c>
      <c r="G701" s="2">
        <v>41</v>
      </c>
      <c r="H701" s="2">
        <v>4</v>
      </c>
      <c r="I701" s="2" t="s">
        <v>4852</v>
      </c>
      <c r="J701" s="2" t="s">
        <v>4660</v>
      </c>
      <c r="K701" s="2" t="s">
        <v>4661</v>
      </c>
      <c r="L701" s="2" t="s">
        <v>1867</v>
      </c>
      <c r="M701" s="2" t="s">
        <v>3203</v>
      </c>
      <c r="N701" s="2" t="s">
        <v>4247</v>
      </c>
      <c r="O701" s="2" t="s">
        <v>4853</v>
      </c>
      <c r="P701" s="2" t="s">
        <v>4854</v>
      </c>
      <c r="Q701" s="2" t="s">
        <v>33</v>
      </c>
      <c r="R701" s="2" t="s">
        <v>4855</v>
      </c>
      <c r="S701" s="2" t="s">
        <v>4856</v>
      </c>
      <c r="T701" s="2" t="s">
        <v>4857</v>
      </c>
      <c r="U701" s="2" t="s">
        <v>4858</v>
      </c>
      <c r="V701" s="2" t="s">
        <v>80</v>
      </c>
    </row>
    <row r="702" spans="1:22">
      <c r="A702" s="2" t="s">
        <v>4859</v>
      </c>
      <c r="B702" s="2" t="s">
        <v>4860</v>
      </c>
      <c r="C702" s="2" t="s">
        <v>4861</v>
      </c>
      <c r="D702" s="2">
        <v>2024</v>
      </c>
      <c r="E702" s="3">
        <v>45627</v>
      </c>
      <c r="F702" s="2" t="s">
        <v>3748</v>
      </c>
      <c r="G702" s="2">
        <v>9</v>
      </c>
      <c r="H702" s="2">
        <v>4</v>
      </c>
      <c r="I702" s="2" t="s">
        <v>43</v>
      </c>
      <c r="J702" s="2" t="s">
        <v>3749</v>
      </c>
      <c r="K702" s="2" t="s">
        <v>61</v>
      </c>
      <c r="L702" s="2" t="s">
        <v>29</v>
      </c>
      <c r="M702" s="2" t="s">
        <v>184</v>
      </c>
      <c r="N702" s="2" t="s">
        <v>2460</v>
      </c>
      <c r="O702" s="2" t="s">
        <v>4862</v>
      </c>
      <c r="P702" s="2" t="s">
        <v>4863</v>
      </c>
      <c r="Q702" s="2" t="s">
        <v>33</v>
      </c>
      <c r="R702" s="2" t="s">
        <v>4864</v>
      </c>
      <c r="S702" s="2" t="s">
        <v>4865</v>
      </c>
      <c r="T702" s="2" t="s">
        <v>4866</v>
      </c>
      <c r="U702" s="2" t="s">
        <v>4867</v>
      </c>
      <c r="V702" s="2" t="s">
        <v>4868</v>
      </c>
    </row>
    <row r="703" spans="1:22">
      <c r="A703" s="2" t="s">
        <v>2728</v>
      </c>
      <c r="B703" s="2" t="s">
        <v>4869</v>
      </c>
      <c r="C703" s="2" t="s">
        <v>4870</v>
      </c>
      <c r="D703" s="2">
        <v>2025</v>
      </c>
      <c r="E703" s="3">
        <v>45759</v>
      </c>
      <c r="F703" s="2" t="s">
        <v>4871</v>
      </c>
      <c r="G703" s="2">
        <v>17</v>
      </c>
      <c r="H703" s="2">
        <v>2</v>
      </c>
      <c r="I703" s="2" t="s">
        <v>4872</v>
      </c>
      <c r="J703" s="2" t="s">
        <v>4873</v>
      </c>
      <c r="K703" s="2" t="s">
        <v>4874</v>
      </c>
      <c r="L703" s="2" t="s">
        <v>29</v>
      </c>
      <c r="M703" s="2" t="s">
        <v>1919</v>
      </c>
      <c r="N703" s="2" t="s">
        <v>293</v>
      </c>
      <c r="O703" s="2" t="s">
        <v>4875</v>
      </c>
      <c r="P703" s="2" t="s">
        <v>4876</v>
      </c>
      <c r="Q703" s="2" t="s">
        <v>33</v>
      </c>
      <c r="R703" s="2" t="s">
        <v>4877</v>
      </c>
      <c r="S703" s="2" t="s">
        <v>79</v>
      </c>
      <c r="T703" s="5">
        <v>601053680000000</v>
      </c>
      <c r="U703" s="2" t="s">
        <v>79</v>
      </c>
      <c r="V703" s="2" t="s">
        <v>80</v>
      </c>
    </row>
    <row r="704" spans="1:22">
      <c r="A704" s="2" t="s">
        <v>4878</v>
      </c>
      <c r="B704" s="2" t="s">
        <v>4879</v>
      </c>
      <c r="C704" s="2" t="s">
        <v>4880</v>
      </c>
      <c r="D704" s="2">
        <v>2024</v>
      </c>
      <c r="E704" s="3">
        <v>45505</v>
      </c>
      <c r="F704" s="2" t="s">
        <v>3864</v>
      </c>
      <c r="G704" s="2">
        <v>37</v>
      </c>
      <c r="H704" s="2">
        <v>4</v>
      </c>
      <c r="I704" s="2" t="s">
        <v>4881</v>
      </c>
      <c r="J704" s="2" t="s">
        <v>3866</v>
      </c>
      <c r="K704" s="2" t="s">
        <v>3867</v>
      </c>
      <c r="L704" s="2" t="s">
        <v>29</v>
      </c>
      <c r="M704" s="2" t="s">
        <v>3416</v>
      </c>
      <c r="N704" s="2" t="s">
        <v>3868</v>
      </c>
      <c r="O704" s="2" t="s">
        <v>3869</v>
      </c>
      <c r="P704" s="2" t="s">
        <v>4882</v>
      </c>
      <c r="Q704" s="2" t="s">
        <v>33</v>
      </c>
      <c r="R704" s="2" t="s">
        <v>4883</v>
      </c>
      <c r="S704" s="2" t="s">
        <v>3872</v>
      </c>
      <c r="T704" s="2" t="s">
        <v>4884</v>
      </c>
      <c r="U704" s="2" t="s">
        <v>4885</v>
      </c>
      <c r="V704" s="2" t="s">
        <v>802</v>
      </c>
    </row>
    <row r="705" spans="1:22">
      <c r="A705" s="2" t="s">
        <v>4553</v>
      </c>
      <c r="B705" s="2" t="s">
        <v>4879</v>
      </c>
      <c r="C705" s="2" t="s">
        <v>4880</v>
      </c>
      <c r="D705" s="2">
        <v>2024</v>
      </c>
      <c r="E705" s="3">
        <v>45505</v>
      </c>
      <c r="F705" s="2" t="s">
        <v>3864</v>
      </c>
      <c r="G705" s="2">
        <v>37</v>
      </c>
      <c r="H705" s="2">
        <v>4</v>
      </c>
      <c r="I705" s="2" t="s">
        <v>4881</v>
      </c>
      <c r="J705" s="2" t="s">
        <v>3866</v>
      </c>
      <c r="K705" s="2" t="s">
        <v>3867</v>
      </c>
      <c r="L705" s="2" t="s">
        <v>29</v>
      </c>
      <c r="M705" s="2" t="s">
        <v>3416</v>
      </c>
      <c r="N705" s="2" t="s">
        <v>3868</v>
      </c>
      <c r="O705" s="2" t="s">
        <v>3869</v>
      </c>
      <c r="P705" s="2" t="s">
        <v>4882</v>
      </c>
      <c r="Q705" s="2" t="s">
        <v>33</v>
      </c>
      <c r="R705" s="2" t="s">
        <v>4883</v>
      </c>
      <c r="S705" s="2" t="s">
        <v>3872</v>
      </c>
      <c r="T705" s="2" t="s">
        <v>4884</v>
      </c>
      <c r="U705" s="2" t="s">
        <v>4885</v>
      </c>
      <c r="V705" s="2" t="s">
        <v>802</v>
      </c>
    </row>
    <row r="706" spans="1:22">
      <c r="A706" s="2" t="s">
        <v>4886</v>
      </c>
      <c r="B706" s="2" t="s">
        <v>4887</v>
      </c>
      <c r="C706" s="2" t="s">
        <v>4888</v>
      </c>
      <c r="D706" s="2">
        <v>2024</v>
      </c>
      <c r="E706" s="3">
        <v>45292</v>
      </c>
      <c r="F706" s="2" t="s">
        <v>4889</v>
      </c>
      <c r="G706" s="2">
        <v>13</v>
      </c>
      <c r="H706" s="2" t="s">
        <v>43</v>
      </c>
      <c r="I706" s="2" t="s">
        <v>43</v>
      </c>
      <c r="J706" s="2" t="s">
        <v>4890</v>
      </c>
      <c r="K706" s="2" t="s">
        <v>4891</v>
      </c>
      <c r="L706" s="2" t="s">
        <v>1867</v>
      </c>
      <c r="M706" s="2" t="s">
        <v>3317</v>
      </c>
      <c r="N706" s="2" t="s">
        <v>1327</v>
      </c>
      <c r="O706" s="2" t="s">
        <v>4892</v>
      </c>
      <c r="P706" s="2" t="s">
        <v>4893</v>
      </c>
      <c r="Q706" s="2" t="s">
        <v>33</v>
      </c>
      <c r="R706" s="2" t="s">
        <v>4894</v>
      </c>
      <c r="S706" s="2" t="s">
        <v>2464</v>
      </c>
      <c r="T706" s="2" t="s">
        <v>2465</v>
      </c>
      <c r="U706" s="2" t="s">
        <v>2466</v>
      </c>
      <c r="V706" s="2" t="s">
        <v>80</v>
      </c>
    </row>
    <row r="707" spans="1:22">
      <c r="A707" s="2" t="s">
        <v>4895</v>
      </c>
      <c r="B707" s="2" t="s">
        <v>4896</v>
      </c>
      <c r="C707" s="2" t="s">
        <v>4897</v>
      </c>
      <c r="D707" s="2">
        <v>2024</v>
      </c>
      <c r="E707" s="3">
        <v>45644</v>
      </c>
      <c r="F707" s="2" t="s">
        <v>4898</v>
      </c>
      <c r="G707" s="2">
        <v>44</v>
      </c>
      <c r="H707" s="2">
        <v>4</v>
      </c>
      <c r="I707" s="2" t="s">
        <v>4899</v>
      </c>
      <c r="J707" s="2" t="s">
        <v>4900</v>
      </c>
      <c r="K707" s="2" t="s">
        <v>4901</v>
      </c>
      <c r="L707" s="2" t="s">
        <v>29</v>
      </c>
      <c r="M707" s="2" t="s">
        <v>3357</v>
      </c>
      <c r="N707" s="2" t="s">
        <v>3706</v>
      </c>
      <c r="O707" s="2" t="s">
        <v>4902</v>
      </c>
      <c r="P707" s="2" t="s">
        <v>4903</v>
      </c>
      <c r="Q707" s="2" t="s">
        <v>33</v>
      </c>
      <c r="R707" s="2" t="s">
        <v>4904</v>
      </c>
      <c r="S707" s="2" t="s">
        <v>409</v>
      </c>
      <c r="T707" s="2" t="s">
        <v>4905</v>
      </c>
      <c r="U707" s="2" t="s">
        <v>4906</v>
      </c>
      <c r="V707" s="2" t="s">
        <v>80</v>
      </c>
    </row>
    <row r="708" spans="1:22">
      <c r="A708" s="2" t="s">
        <v>4907</v>
      </c>
      <c r="B708" s="2" t="s">
        <v>4908</v>
      </c>
      <c r="C708" s="2" t="s">
        <v>4909</v>
      </c>
      <c r="D708" s="2">
        <v>2025</v>
      </c>
      <c r="E708" s="3">
        <v>45962</v>
      </c>
      <c r="F708" s="2" t="s">
        <v>2392</v>
      </c>
      <c r="G708" s="2">
        <v>36</v>
      </c>
      <c r="H708" s="2">
        <v>6</v>
      </c>
      <c r="I708" s="2" t="s">
        <v>4910</v>
      </c>
      <c r="J708" s="2" t="s">
        <v>2394</v>
      </c>
      <c r="K708" s="2" t="s">
        <v>392</v>
      </c>
      <c r="L708" s="2" t="s">
        <v>1867</v>
      </c>
      <c r="M708" s="2" t="s">
        <v>1948</v>
      </c>
      <c r="N708" s="2" t="s">
        <v>2156</v>
      </c>
      <c r="O708" s="2" t="s">
        <v>3438</v>
      </c>
      <c r="P708" s="2" t="s">
        <v>4911</v>
      </c>
      <c r="Q708" s="2" t="s">
        <v>33</v>
      </c>
      <c r="R708" s="2" t="s">
        <v>4912</v>
      </c>
      <c r="S708" s="2" t="s">
        <v>4913</v>
      </c>
      <c r="T708" s="2" t="s">
        <v>4914</v>
      </c>
      <c r="U708" s="2" t="s">
        <v>4915</v>
      </c>
      <c r="V708" s="2" t="s">
        <v>80</v>
      </c>
    </row>
    <row r="709" spans="1:22">
      <c r="A709" s="2" t="s">
        <v>296</v>
      </c>
      <c r="B709" s="2" t="s">
        <v>4908</v>
      </c>
      <c r="C709" s="2" t="s">
        <v>4909</v>
      </c>
      <c r="D709" s="2">
        <v>2025</v>
      </c>
      <c r="E709" s="3">
        <v>45962</v>
      </c>
      <c r="F709" s="2" t="s">
        <v>2392</v>
      </c>
      <c r="G709" s="2">
        <v>36</v>
      </c>
      <c r="H709" s="2">
        <v>6</v>
      </c>
      <c r="I709" s="2" t="s">
        <v>4910</v>
      </c>
      <c r="J709" s="2" t="s">
        <v>2394</v>
      </c>
      <c r="K709" s="2" t="s">
        <v>392</v>
      </c>
      <c r="L709" s="2" t="s">
        <v>1867</v>
      </c>
      <c r="M709" s="2" t="s">
        <v>1948</v>
      </c>
      <c r="N709" s="2" t="s">
        <v>2156</v>
      </c>
      <c r="O709" s="2" t="s">
        <v>3438</v>
      </c>
      <c r="P709" s="2" t="s">
        <v>4911</v>
      </c>
      <c r="Q709" s="2" t="s">
        <v>33</v>
      </c>
      <c r="R709" s="2" t="s">
        <v>4912</v>
      </c>
      <c r="S709" s="2" t="s">
        <v>4913</v>
      </c>
      <c r="T709" s="2" t="s">
        <v>4914</v>
      </c>
      <c r="U709" s="2" t="s">
        <v>4915</v>
      </c>
      <c r="V709" s="2" t="s">
        <v>80</v>
      </c>
    </row>
    <row r="710" spans="1:22">
      <c r="A710" s="2" t="s">
        <v>4916</v>
      </c>
      <c r="B710" s="2" t="s">
        <v>4908</v>
      </c>
      <c r="C710" s="2" t="s">
        <v>4909</v>
      </c>
      <c r="D710" s="2">
        <v>2025</v>
      </c>
      <c r="E710" s="3">
        <v>45962</v>
      </c>
      <c r="F710" s="2" t="s">
        <v>2392</v>
      </c>
      <c r="G710" s="2">
        <v>36</v>
      </c>
      <c r="H710" s="2">
        <v>6</v>
      </c>
      <c r="I710" s="2" t="s">
        <v>4910</v>
      </c>
      <c r="J710" s="2" t="s">
        <v>2394</v>
      </c>
      <c r="K710" s="2" t="s">
        <v>392</v>
      </c>
      <c r="L710" s="2" t="s">
        <v>1867</v>
      </c>
      <c r="M710" s="2" t="s">
        <v>1948</v>
      </c>
      <c r="N710" s="2" t="s">
        <v>2156</v>
      </c>
      <c r="O710" s="2" t="s">
        <v>3438</v>
      </c>
      <c r="P710" s="2" t="s">
        <v>4911</v>
      </c>
      <c r="Q710" s="2" t="s">
        <v>33</v>
      </c>
      <c r="R710" s="2" t="s">
        <v>4912</v>
      </c>
      <c r="S710" s="2" t="s">
        <v>4913</v>
      </c>
      <c r="T710" s="2" t="s">
        <v>4914</v>
      </c>
      <c r="U710" s="2" t="s">
        <v>4915</v>
      </c>
      <c r="V710" s="2" t="s">
        <v>80</v>
      </c>
    </row>
    <row r="711" spans="1:22">
      <c r="A711" s="2" t="s">
        <v>4917</v>
      </c>
      <c r="B711" s="2" t="s">
        <v>4918</v>
      </c>
      <c r="C711" s="2" t="s">
        <v>4919</v>
      </c>
      <c r="D711" s="2">
        <v>2024</v>
      </c>
      <c r="E711" s="3">
        <v>45536</v>
      </c>
      <c r="F711" s="2" t="s">
        <v>2392</v>
      </c>
      <c r="G711" s="2">
        <v>35</v>
      </c>
      <c r="H711" s="6">
        <v>46178</v>
      </c>
      <c r="I711" s="2" t="s">
        <v>4920</v>
      </c>
      <c r="J711" s="2" t="s">
        <v>2394</v>
      </c>
      <c r="K711" s="2" t="s">
        <v>392</v>
      </c>
      <c r="L711" s="2" t="s">
        <v>773</v>
      </c>
      <c r="M711" s="2" t="s">
        <v>47</v>
      </c>
      <c r="N711" s="2" t="s">
        <v>2395</v>
      </c>
      <c r="O711" s="2" t="s">
        <v>2396</v>
      </c>
      <c r="P711" s="2" t="s">
        <v>4921</v>
      </c>
      <c r="Q711" s="2" t="s">
        <v>33</v>
      </c>
      <c r="R711" s="2" t="s">
        <v>4922</v>
      </c>
      <c r="S711" s="2" t="s">
        <v>511</v>
      </c>
      <c r="T711" s="2" t="s">
        <v>512</v>
      </c>
      <c r="U711" s="2" t="s">
        <v>511</v>
      </c>
      <c r="V711" s="2" t="s">
        <v>80</v>
      </c>
    </row>
    <row r="712" spans="1:22">
      <c r="A712" s="2" t="s">
        <v>3093</v>
      </c>
      <c r="B712" s="2" t="s">
        <v>4918</v>
      </c>
      <c r="C712" s="2" t="s">
        <v>4919</v>
      </c>
      <c r="D712" s="2">
        <v>2024</v>
      </c>
      <c r="E712" s="3">
        <v>45536</v>
      </c>
      <c r="F712" s="2" t="s">
        <v>2392</v>
      </c>
      <c r="G712" s="2">
        <v>35</v>
      </c>
      <c r="H712" s="6">
        <v>46178</v>
      </c>
      <c r="I712" s="2" t="s">
        <v>4920</v>
      </c>
      <c r="J712" s="2" t="s">
        <v>2394</v>
      </c>
      <c r="K712" s="2" t="s">
        <v>392</v>
      </c>
      <c r="L712" s="2" t="s">
        <v>773</v>
      </c>
      <c r="M712" s="2" t="s">
        <v>47</v>
      </c>
      <c r="N712" s="2" t="s">
        <v>2395</v>
      </c>
      <c r="O712" s="2" t="s">
        <v>2396</v>
      </c>
      <c r="P712" s="2" t="s">
        <v>4921</v>
      </c>
      <c r="Q712" s="2" t="s">
        <v>33</v>
      </c>
      <c r="R712" s="2" t="s">
        <v>4922</v>
      </c>
      <c r="S712" s="2" t="s">
        <v>511</v>
      </c>
      <c r="T712" s="2" t="s">
        <v>512</v>
      </c>
      <c r="U712" s="2" t="s">
        <v>511</v>
      </c>
      <c r="V712" s="2" t="s">
        <v>80</v>
      </c>
    </row>
    <row r="713" spans="1:22">
      <c r="A713" s="2" t="s">
        <v>4923</v>
      </c>
      <c r="B713" s="2" t="s">
        <v>4924</v>
      </c>
      <c r="C713" s="2" t="s">
        <v>4925</v>
      </c>
      <c r="D713" s="2">
        <v>2025</v>
      </c>
      <c r="E713" s="3">
        <v>45658</v>
      </c>
      <c r="F713" s="2" t="s">
        <v>4926</v>
      </c>
      <c r="G713" s="2">
        <v>77</v>
      </c>
      <c r="H713" s="2">
        <v>3</v>
      </c>
      <c r="I713" s="2" t="s">
        <v>4927</v>
      </c>
      <c r="J713" s="2" t="s">
        <v>4928</v>
      </c>
      <c r="K713" s="2" t="s">
        <v>4929</v>
      </c>
      <c r="L713" s="2" t="s">
        <v>1867</v>
      </c>
      <c r="M713" s="2" t="s">
        <v>3810</v>
      </c>
      <c r="N713" s="2" t="s">
        <v>4578</v>
      </c>
      <c r="O713" s="2" t="s">
        <v>4930</v>
      </c>
      <c r="P713" s="2" t="s">
        <v>4931</v>
      </c>
      <c r="Q713" s="2" t="s">
        <v>33</v>
      </c>
      <c r="R713" s="2" t="s">
        <v>4932</v>
      </c>
      <c r="S713" s="2" t="s">
        <v>398</v>
      </c>
      <c r="T713" s="2" t="s">
        <v>4933</v>
      </c>
      <c r="U713" s="2" t="s">
        <v>4934</v>
      </c>
      <c r="V713" s="2" t="s">
        <v>80</v>
      </c>
    </row>
    <row r="714" spans="1:22">
      <c r="A714" s="2" t="s">
        <v>4935</v>
      </c>
      <c r="B714" s="2" t="s">
        <v>4924</v>
      </c>
      <c r="C714" s="2" t="s">
        <v>4925</v>
      </c>
      <c r="D714" s="2">
        <v>2025</v>
      </c>
      <c r="E714" s="3">
        <v>45658</v>
      </c>
      <c r="F714" s="2" t="s">
        <v>4926</v>
      </c>
      <c r="G714" s="2">
        <v>77</v>
      </c>
      <c r="H714" s="2">
        <v>3</v>
      </c>
      <c r="I714" s="2" t="s">
        <v>4927</v>
      </c>
      <c r="J714" s="2" t="s">
        <v>4928</v>
      </c>
      <c r="K714" s="2" t="s">
        <v>4929</v>
      </c>
      <c r="L714" s="2" t="s">
        <v>1867</v>
      </c>
      <c r="M714" s="2" t="s">
        <v>3810</v>
      </c>
      <c r="N714" s="2" t="s">
        <v>4578</v>
      </c>
      <c r="O714" s="2" t="s">
        <v>4930</v>
      </c>
      <c r="P714" s="2" t="s">
        <v>4931</v>
      </c>
      <c r="Q714" s="2" t="s">
        <v>33</v>
      </c>
      <c r="R714" s="2" t="s">
        <v>4932</v>
      </c>
      <c r="S714" s="2" t="s">
        <v>398</v>
      </c>
      <c r="T714" s="2" t="s">
        <v>4933</v>
      </c>
      <c r="U714" s="2" t="s">
        <v>4934</v>
      </c>
      <c r="V714" s="2" t="s">
        <v>80</v>
      </c>
    </row>
    <row r="715" spans="1:22">
      <c r="A715" s="2" t="s">
        <v>4936</v>
      </c>
      <c r="B715" s="2" t="s">
        <v>4924</v>
      </c>
      <c r="C715" s="2" t="s">
        <v>4925</v>
      </c>
      <c r="D715" s="2">
        <v>2025</v>
      </c>
      <c r="E715" s="3">
        <v>45658</v>
      </c>
      <c r="F715" s="2" t="s">
        <v>4926</v>
      </c>
      <c r="G715" s="2">
        <v>77</v>
      </c>
      <c r="H715" s="2">
        <v>3</v>
      </c>
      <c r="I715" s="2" t="s">
        <v>4927</v>
      </c>
      <c r="J715" s="2" t="s">
        <v>4928</v>
      </c>
      <c r="K715" s="2" t="s">
        <v>4929</v>
      </c>
      <c r="L715" s="2" t="s">
        <v>1867</v>
      </c>
      <c r="M715" s="2" t="s">
        <v>3810</v>
      </c>
      <c r="N715" s="2" t="s">
        <v>4578</v>
      </c>
      <c r="O715" s="2" t="s">
        <v>4930</v>
      </c>
      <c r="P715" s="2" t="s">
        <v>4931</v>
      </c>
      <c r="Q715" s="2" t="s">
        <v>33</v>
      </c>
      <c r="R715" s="2" t="s">
        <v>4932</v>
      </c>
      <c r="S715" s="2" t="s">
        <v>398</v>
      </c>
      <c r="T715" s="2" t="s">
        <v>4933</v>
      </c>
      <c r="U715" s="2" t="s">
        <v>4934</v>
      </c>
      <c r="V715" s="2" t="s">
        <v>80</v>
      </c>
    </row>
    <row r="716" spans="1:22">
      <c r="A716" s="2" t="s">
        <v>4937</v>
      </c>
      <c r="B716" s="2" t="s">
        <v>4924</v>
      </c>
      <c r="C716" s="2" t="s">
        <v>4925</v>
      </c>
      <c r="D716" s="2">
        <v>2025</v>
      </c>
      <c r="E716" s="3">
        <v>45658</v>
      </c>
      <c r="F716" s="2" t="s">
        <v>4926</v>
      </c>
      <c r="G716" s="2">
        <v>77</v>
      </c>
      <c r="H716" s="2">
        <v>3</v>
      </c>
      <c r="I716" s="2" t="s">
        <v>4927</v>
      </c>
      <c r="J716" s="2" t="s">
        <v>4928</v>
      </c>
      <c r="K716" s="2" t="s">
        <v>4929</v>
      </c>
      <c r="L716" s="2" t="s">
        <v>1867</v>
      </c>
      <c r="M716" s="2" t="s">
        <v>3810</v>
      </c>
      <c r="N716" s="2" t="s">
        <v>4578</v>
      </c>
      <c r="O716" s="2" t="s">
        <v>4930</v>
      </c>
      <c r="P716" s="2" t="s">
        <v>4931</v>
      </c>
      <c r="Q716" s="2" t="s">
        <v>33</v>
      </c>
      <c r="R716" s="2" t="s">
        <v>4932</v>
      </c>
      <c r="S716" s="2" t="s">
        <v>398</v>
      </c>
      <c r="T716" s="2" t="s">
        <v>4933</v>
      </c>
      <c r="U716" s="2" t="s">
        <v>4934</v>
      </c>
      <c r="V716" s="2" t="s">
        <v>80</v>
      </c>
    </row>
    <row r="717" spans="1:22">
      <c r="A717" s="2" t="s">
        <v>4938</v>
      </c>
      <c r="B717" s="2" t="s">
        <v>4924</v>
      </c>
      <c r="C717" s="2" t="s">
        <v>4925</v>
      </c>
      <c r="D717" s="2">
        <v>2025</v>
      </c>
      <c r="E717" s="3">
        <v>45658</v>
      </c>
      <c r="F717" s="2" t="s">
        <v>4926</v>
      </c>
      <c r="G717" s="2">
        <v>77</v>
      </c>
      <c r="H717" s="2">
        <v>3</v>
      </c>
      <c r="I717" s="2" t="s">
        <v>4927</v>
      </c>
      <c r="J717" s="2" t="s">
        <v>4928</v>
      </c>
      <c r="K717" s="2" t="s">
        <v>4929</v>
      </c>
      <c r="L717" s="2" t="s">
        <v>1867</v>
      </c>
      <c r="M717" s="2" t="s">
        <v>3810</v>
      </c>
      <c r="N717" s="2" t="s">
        <v>4578</v>
      </c>
      <c r="O717" s="2" t="s">
        <v>4930</v>
      </c>
      <c r="P717" s="2" t="s">
        <v>4931</v>
      </c>
      <c r="Q717" s="2" t="s">
        <v>33</v>
      </c>
      <c r="R717" s="2" t="s">
        <v>4932</v>
      </c>
      <c r="S717" s="2" t="s">
        <v>398</v>
      </c>
      <c r="T717" s="2" t="s">
        <v>4933</v>
      </c>
      <c r="U717" s="2" t="s">
        <v>4934</v>
      </c>
      <c r="V717" s="2" t="s">
        <v>80</v>
      </c>
    </row>
    <row r="718" spans="1:22">
      <c r="A718" s="2" t="s">
        <v>4939</v>
      </c>
      <c r="B718" s="2" t="s">
        <v>4924</v>
      </c>
      <c r="C718" s="2" t="s">
        <v>4925</v>
      </c>
      <c r="D718" s="2">
        <v>2025</v>
      </c>
      <c r="E718" s="3">
        <v>45658</v>
      </c>
      <c r="F718" s="2" t="s">
        <v>4926</v>
      </c>
      <c r="G718" s="2">
        <v>77</v>
      </c>
      <c r="H718" s="2">
        <v>3</v>
      </c>
      <c r="I718" s="2" t="s">
        <v>4927</v>
      </c>
      <c r="J718" s="2" t="s">
        <v>4928</v>
      </c>
      <c r="K718" s="2" t="s">
        <v>4929</v>
      </c>
      <c r="L718" s="2" t="s">
        <v>1867</v>
      </c>
      <c r="M718" s="2" t="s">
        <v>3810</v>
      </c>
      <c r="N718" s="2" t="s">
        <v>4578</v>
      </c>
      <c r="O718" s="2" t="s">
        <v>4930</v>
      </c>
      <c r="P718" s="2" t="s">
        <v>4931</v>
      </c>
      <c r="Q718" s="2" t="s">
        <v>33</v>
      </c>
      <c r="R718" s="2" t="s">
        <v>4932</v>
      </c>
      <c r="S718" s="2" t="s">
        <v>398</v>
      </c>
      <c r="T718" s="2" t="s">
        <v>4933</v>
      </c>
      <c r="U718" s="2" t="s">
        <v>4934</v>
      </c>
      <c r="V718" s="2" t="s">
        <v>80</v>
      </c>
    </row>
    <row r="719" spans="1:22">
      <c r="A719" s="2" t="s">
        <v>1320</v>
      </c>
      <c r="B719" s="2" t="s">
        <v>4940</v>
      </c>
      <c r="C719" s="2" t="s">
        <v>4941</v>
      </c>
      <c r="D719" s="2">
        <v>2025</v>
      </c>
      <c r="E719" s="3">
        <v>45962</v>
      </c>
      <c r="F719" s="2" t="s">
        <v>3096</v>
      </c>
      <c r="G719" s="2">
        <v>153</v>
      </c>
      <c r="H719" s="2">
        <v>11</v>
      </c>
      <c r="I719" s="2" t="s">
        <v>4942</v>
      </c>
      <c r="J719" s="2" t="s">
        <v>3098</v>
      </c>
      <c r="K719" s="2" t="s">
        <v>3099</v>
      </c>
      <c r="L719" s="2" t="s">
        <v>773</v>
      </c>
      <c r="M719" s="2" t="s">
        <v>1919</v>
      </c>
      <c r="N719" s="2" t="s">
        <v>2178</v>
      </c>
      <c r="O719" s="2" t="s">
        <v>4943</v>
      </c>
      <c r="P719" s="2" t="s">
        <v>4944</v>
      </c>
      <c r="Q719" s="2" t="s">
        <v>33</v>
      </c>
      <c r="R719" s="2" t="s">
        <v>4945</v>
      </c>
      <c r="S719" s="2" t="s">
        <v>398</v>
      </c>
      <c r="T719" s="2" t="s">
        <v>4946</v>
      </c>
      <c r="U719" s="2" t="s">
        <v>4947</v>
      </c>
      <c r="V719" s="2" t="s">
        <v>80</v>
      </c>
    </row>
    <row r="720" spans="1:22">
      <c r="A720" s="2" t="s">
        <v>4948</v>
      </c>
      <c r="B720" s="2" t="s">
        <v>4949</v>
      </c>
      <c r="C720" s="2" t="s">
        <v>4950</v>
      </c>
      <c r="D720" s="2">
        <v>2025</v>
      </c>
      <c r="E720" s="3">
        <v>45689</v>
      </c>
      <c r="F720" s="2" t="s">
        <v>4951</v>
      </c>
      <c r="G720" s="2">
        <v>14</v>
      </c>
      <c r="H720" s="2">
        <v>2</v>
      </c>
      <c r="I720" s="2" t="s">
        <v>43</v>
      </c>
      <c r="J720" s="2" t="s">
        <v>4952</v>
      </c>
      <c r="K720" s="2" t="s">
        <v>103</v>
      </c>
      <c r="L720" s="2" t="s">
        <v>29</v>
      </c>
      <c r="M720" s="2" t="s">
        <v>4953</v>
      </c>
      <c r="N720" s="2" t="s">
        <v>3951</v>
      </c>
      <c r="O720" s="2" t="s">
        <v>4954</v>
      </c>
      <c r="P720" s="2" t="s">
        <v>4955</v>
      </c>
      <c r="Q720" s="2" t="s">
        <v>33</v>
      </c>
      <c r="R720" s="2" t="s">
        <v>4956</v>
      </c>
      <c r="S720" s="2" t="s">
        <v>4957</v>
      </c>
      <c r="T720" s="2" t="s">
        <v>4958</v>
      </c>
      <c r="U720" s="2" t="s">
        <v>4959</v>
      </c>
      <c r="V720" s="2" t="s">
        <v>621</v>
      </c>
    </row>
    <row r="721" spans="1:22">
      <c r="A721" s="2" t="s">
        <v>2099</v>
      </c>
      <c r="B721" s="2" t="s">
        <v>4960</v>
      </c>
      <c r="C721" s="2" t="s">
        <v>4961</v>
      </c>
      <c r="D721" s="2">
        <v>2025</v>
      </c>
      <c r="E721" s="3">
        <v>45658</v>
      </c>
      <c r="F721" s="2" t="s">
        <v>4962</v>
      </c>
      <c r="G721" s="2">
        <v>17</v>
      </c>
      <c r="H721" s="2" t="s">
        <v>43</v>
      </c>
      <c r="I721" s="2" t="s">
        <v>43</v>
      </c>
      <c r="J721" s="2" t="s">
        <v>4963</v>
      </c>
      <c r="K721" s="2" t="s">
        <v>4964</v>
      </c>
      <c r="L721" s="2" t="s">
        <v>29</v>
      </c>
      <c r="M721" s="2" t="s">
        <v>2735</v>
      </c>
      <c r="N721" s="2" t="s">
        <v>3050</v>
      </c>
      <c r="O721" s="2" t="s">
        <v>4965</v>
      </c>
      <c r="P721" s="2" t="s">
        <v>4966</v>
      </c>
      <c r="Q721" s="2" t="s">
        <v>33</v>
      </c>
      <c r="R721" s="2" t="s">
        <v>4967</v>
      </c>
      <c r="S721" s="2" t="s">
        <v>4968</v>
      </c>
      <c r="T721" s="2" t="s">
        <v>4969</v>
      </c>
      <c r="U721" s="2" t="s">
        <v>4970</v>
      </c>
      <c r="V721" s="2" t="s">
        <v>80</v>
      </c>
    </row>
    <row r="722" spans="1:22">
      <c r="A722" s="2" t="s">
        <v>4971</v>
      </c>
      <c r="B722" s="2" t="s">
        <v>4972</v>
      </c>
      <c r="C722" s="2" t="s">
        <v>4973</v>
      </c>
      <c r="D722" s="2">
        <v>2025</v>
      </c>
      <c r="E722" s="3">
        <v>45839</v>
      </c>
      <c r="F722" s="2" t="s">
        <v>4974</v>
      </c>
      <c r="G722" s="2">
        <v>101</v>
      </c>
      <c r="H722" s="2" t="s">
        <v>43</v>
      </c>
      <c r="I722" s="2" t="s">
        <v>43</v>
      </c>
      <c r="J722" s="2" t="s">
        <v>4975</v>
      </c>
      <c r="K722" s="2" t="s">
        <v>734</v>
      </c>
      <c r="L722" s="2" t="s">
        <v>29</v>
      </c>
      <c r="M722" s="2" t="s">
        <v>960</v>
      </c>
      <c r="N722" s="2" t="s">
        <v>374</v>
      </c>
      <c r="O722" s="4">
        <v>1485</v>
      </c>
      <c r="P722" s="2" t="s">
        <v>4976</v>
      </c>
      <c r="Q722" s="2" t="s">
        <v>33</v>
      </c>
      <c r="R722" s="2" t="s">
        <v>4977</v>
      </c>
      <c r="S722" s="2" t="s">
        <v>398</v>
      </c>
      <c r="T722" s="2" t="s">
        <v>4978</v>
      </c>
      <c r="U722" s="2" t="s">
        <v>398</v>
      </c>
      <c r="V722" s="2" t="s">
        <v>80</v>
      </c>
    </row>
    <row r="723" spans="1:22">
      <c r="A723" s="2" t="s">
        <v>3688</v>
      </c>
      <c r="B723" s="2" t="s">
        <v>4979</v>
      </c>
      <c r="C723" s="2" t="s">
        <v>4980</v>
      </c>
      <c r="D723" s="2">
        <v>2025</v>
      </c>
      <c r="E723" s="3">
        <v>45870</v>
      </c>
      <c r="F723" s="2" t="s">
        <v>2912</v>
      </c>
      <c r="G723" s="2">
        <v>52</v>
      </c>
      <c r="H723" s="2">
        <v>4</v>
      </c>
      <c r="I723" s="2" t="s">
        <v>4981</v>
      </c>
      <c r="J723" s="2" t="s">
        <v>2914</v>
      </c>
      <c r="K723" s="2" t="s">
        <v>2915</v>
      </c>
      <c r="L723" s="2" t="s">
        <v>1867</v>
      </c>
      <c r="M723" s="2" t="s">
        <v>47</v>
      </c>
      <c r="N723" s="2" t="s">
        <v>2916</v>
      </c>
      <c r="O723" s="2" t="s">
        <v>2917</v>
      </c>
      <c r="P723" s="2" t="s">
        <v>4982</v>
      </c>
      <c r="Q723" s="2" t="s">
        <v>33</v>
      </c>
      <c r="R723" s="2" t="s">
        <v>4983</v>
      </c>
      <c r="S723" s="2" t="s">
        <v>398</v>
      </c>
      <c r="T723" s="2" t="s">
        <v>4946</v>
      </c>
      <c r="U723" s="2" t="s">
        <v>4947</v>
      </c>
      <c r="V723" s="2" t="s">
        <v>80</v>
      </c>
    </row>
    <row r="724" spans="1:22">
      <c r="A724" s="2" t="s">
        <v>4984</v>
      </c>
      <c r="B724" s="2" t="s">
        <v>4985</v>
      </c>
      <c r="C724" s="2" t="s">
        <v>4986</v>
      </c>
      <c r="D724" s="2">
        <v>2025</v>
      </c>
      <c r="E724" s="3">
        <v>45992</v>
      </c>
      <c r="F724" s="2" t="s">
        <v>4987</v>
      </c>
      <c r="G724" s="2">
        <v>66</v>
      </c>
      <c r="H724" s="2">
        <v>1</v>
      </c>
      <c r="I724" s="2" t="s">
        <v>4988</v>
      </c>
      <c r="J724" s="2" t="s">
        <v>4989</v>
      </c>
      <c r="K724" s="2" t="s">
        <v>4990</v>
      </c>
      <c r="L724" s="2" t="s">
        <v>1867</v>
      </c>
      <c r="M724" s="2" t="s">
        <v>3357</v>
      </c>
      <c r="N724" s="2" t="s">
        <v>3079</v>
      </c>
      <c r="O724" s="2" t="s">
        <v>4991</v>
      </c>
      <c r="P724" s="2" t="s">
        <v>4992</v>
      </c>
      <c r="Q724" s="2" t="s">
        <v>33</v>
      </c>
      <c r="R724" s="2" t="s">
        <v>4993</v>
      </c>
      <c r="S724" s="2" t="s">
        <v>4050</v>
      </c>
      <c r="T724" s="2" t="s">
        <v>4049</v>
      </c>
      <c r="U724" s="2" t="s">
        <v>4050</v>
      </c>
      <c r="V724" s="2" t="s">
        <v>310</v>
      </c>
    </row>
    <row r="725" spans="1:22">
      <c r="A725" s="2" t="s">
        <v>822</v>
      </c>
      <c r="B725" s="2" t="s">
        <v>4994</v>
      </c>
      <c r="C725" s="2" t="s">
        <v>4995</v>
      </c>
      <c r="D725" s="2">
        <v>2025</v>
      </c>
      <c r="E725" s="3">
        <v>45658</v>
      </c>
      <c r="F725" s="2" t="s">
        <v>4996</v>
      </c>
      <c r="G725" s="2">
        <v>39</v>
      </c>
      <c r="H725" s="2">
        <v>4</v>
      </c>
      <c r="I725" s="2" t="s">
        <v>4997</v>
      </c>
      <c r="J725" s="2" t="s">
        <v>4998</v>
      </c>
      <c r="K725" s="2" t="s">
        <v>666</v>
      </c>
      <c r="L725" s="2" t="s">
        <v>29</v>
      </c>
      <c r="M725" s="2" t="s">
        <v>2381</v>
      </c>
      <c r="N725" s="2" t="s">
        <v>4456</v>
      </c>
      <c r="O725" s="2" t="s">
        <v>4999</v>
      </c>
      <c r="P725" s="2" t="s">
        <v>5000</v>
      </c>
      <c r="Q725" s="2" t="s">
        <v>33</v>
      </c>
      <c r="R725" s="2" t="s">
        <v>5001</v>
      </c>
      <c r="S725" s="2" t="s">
        <v>2283</v>
      </c>
      <c r="T725" s="2" t="s">
        <v>5002</v>
      </c>
      <c r="U725" s="2" t="s">
        <v>5003</v>
      </c>
      <c r="V725" s="2" t="s">
        <v>80</v>
      </c>
    </row>
    <row r="726" spans="1:22">
      <c r="A726" s="2" t="s">
        <v>5004</v>
      </c>
      <c r="B726" s="2" t="s">
        <v>5005</v>
      </c>
      <c r="C726" s="2" t="s">
        <v>5006</v>
      </c>
      <c r="D726" s="2">
        <v>2024</v>
      </c>
      <c r="E726" s="3">
        <v>45292</v>
      </c>
      <c r="F726" s="2" t="s">
        <v>5007</v>
      </c>
      <c r="G726" s="2" t="s">
        <v>43</v>
      </c>
      <c r="H726" s="2">
        <v>49</v>
      </c>
      <c r="I726" s="2" t="s">
        <v>5008</v>
      </c>
      <c r="J726" s="2" t="s">
        <v>5009</v>
      </c>
      <c r="K726" s="2" t="s">
        <v>5010</v>
      </c>
      <c r="L726" s="2" t="s">
        <v>1867</v>
      </c>
      <c r="M726" s="2" t="s">
        <v>4106</v>
      </c>
      <c r="N726" s="2" t="s">
        <v>807</v>
      </c>
      <c r="O726" s="2" t="s">
        <v>2917</v>
      </c>
      <c r="P726" s="2" t="s">
        <v>5011</v>
      </c>
      <c r="Q726" s="2" t="s">
        <v>33</v>
      </c>
      <c r="R726" s="2" t="s">
        <v>5012</v>
      </c>
      <c r="S726" s="2" t="s">
        <v>511</v>
      </c>
      <c r="T726" s="2" t="s">
        <v>512</v>
      </c>
      <c r="U726" s="2" t="s">
        <v>511</v>
      </c>
      <c r="V726" s="2" t="s">
        <v>80</v>
      </c>
    </row>
    <row r="727" spans="1:22">
      <c r="A727" s="2" t="s">
        <v>635</v>
      </c>
      <c r="B727" s="2" t="s">
        <v>5013</v>
      </c>
      <c r="C727" s="2" t="s">
        <v>5014</v>
      </c>
      <c r="D727" s="2">
        <v>2025</v>
      </c>
      <c r="E727" s="3">
        <v>45962</v>
      </c>
      <c r="F727" s="2" t="s">
        <v>3046</v>
      </c>
      <c r="G727" s="2">
        <v>96</v>
      </c>
      <c r="H727" s="2">
        <v>6</v>
      </c>
      <c r="I727" s="2" t="s">
        <v>5015</v>
      </c>
      <c r="J727" s="2" t="s">
        <v>4709</v>
      </c>
      <c r="K727" s="2" t="s">
        <v>3049</v>
      </c>
      <c r="L727" s="2" t="s">
        <v>1867</v>
      </c>
      <c r="M727" s="2" t="s">
        <v>1919</v>
      </c>
      <c r="N727" s="2" t="s">
        <v>3050</v>
      </c>
      <c r="O727" s="2" t="s">
        <v>3051</v>
      </c>
      <c r="P727" s="2" t="s">
        <v>5016</v>
      </c>
      <c r="Q727" s="2" t="s">
        <v>3676</v>
      </c>
      <c r="R727" s="2" t="s">
        <v>5017</v>
      </c>
      <c r="S727" s="2" t="s">
        <v>79</v>
      </c>
      <c r="T727" s="2" t="s">
        <v>5018</v>
      </c>
      <c r="U727" s="2" t="s">
        <v>3055</v>
      </c>
      <c r="V727" s="2" t="s">
        <v>621</v>
      </c>
    </row>
    <row r="728" spans="1:22" ht="28.8">
      <c r="A728" s="2" t="s">
        <v>1803</v>
      </c>
      <c r="B728" s="2" t="s">
        <v>5019</v>
      </c>
      <c r="C728" s="2" t="s">
        <v>5020</v>
      </c>
      <c r="D728" s="2">
        <v>2025</v>
      </c>
      <c r="E728" s="3">
        <v>45992</v>
      </c>
      <c r="F728" s="2" t="s">
        <v>3144</v>
      </c>
      <c r="G728" s="2">
        <v>13</v>
      </c>
      <c r="H728" s="2">
        <v>24</v>
      </c>
      <c r="I728" s="2" t="s">
        <v>43</v>
      </c>
      <c r="J728" s="2" t="s">
        <v>3145</v>
      </c>
      <c r="K728" s="2" t="s">
        <v>61</v>
      </c>
      <c r="L728" s="2" t="s">
        <v>29</v>
      </c>
      <c r="M728" s="2" t="s">
        <v>2613</v>
      </c>
      <c r="N728" s="2" t="s">
        <v>374</v>
      </c>
      <c r="O728" s="2" t="s">
        <v>3146</v>
      </c>
      <c r="P728" s="2" t="s">
        <v>5021</v>
      </c>
      <c r="Q728" s="2" t="s">
        <v>49</v>
      </c>
      <c r="R728" s="2" t="s">
        <v>5022</v>
      </c>
      <c r="S728" s="2" t="s">
        <v>5023</v>
      </c>
      <c r="T728" s="2" t="s">
        <v>5024</v>
      </c>
      <c r="U728" s="2" t="s">
        <v>5025</v>
      </c>
      <c r="V728" s="2" t="s">
        <v>5026</v>
      </c>
    </row>
    <row r="729" spans="1:22">
      <c r="A729" s="2" t="s">
        <v>5027</v>
      </c>
      <c r="B729" s="2" t="s">
        <v>5028</v>
      </c>
      <c r="C729" s="2" t="s">
        <v>5029</v>
      </c>
      <c r="D729" s="2">
        <v>2025</v>
      </c>
      <c r="E729" s="3">
        <v>45778</v>
      </c>
      <c r="F729" s="2" t="s">
        <v>2392</v>
      </c>
      <c r="G729" s="2">
        <v>36</v>
      </c>
      <c r="H729" s="2">
        <v>3</v>
      </c>
      <c r="I729" s="2" t="s">
        <v>5030</v>
      </c>
      <c r="J729" s="2" t="s">
        <v>2394</v>
      </c>
      <c r="K729" s="2" t="s">
        <v>392</v>
      </c>
      <c r="L729" s="2" t="s">
        <v>773</v>
      </c>
      <c r="M729" s="2" t="s">
        <v>1948</v>
      </c>
      <c r="N729" s="2" t="s">
        <v>2156</v>
      </c>
      <c r="O729" s="2" t="s">
        <v>3438</v>
      </c>
      <c r="P729" s="2" t="s">
        <v>5031</v>
      </c>
      <c r="Q729" s="2" t="s">
        <v>49</v>
      </c>
      <c r="R729" s="2" t="s">
        <v>5032</v>
      </c>
      <c r="S729" s="2" t="s">
        <v>5033</v>
      </c>
      <c r="T729" s="2" t="s">
        <v>5034</v>
      </c>
      <c r="U729" s="2" t="s">
        <v>5035</v>
      </c>
      <c r="V729" s="2" t="s">
        <v>80</v>
      </c>
    </row>
    <row r="730" spans="1:22">
      <c r="A730" s="2" t="s">
        <v>5036</v>
      </c>
      <c r="B730" s="2" t="s">
        <v>5037</v>
      </c>
      <c r="C730" s="2" t="s">
        <v>5038</v>
      </c>
      <c r="D730" s="2">
        <v>2024</v>
      </c>
      <c r="E730" s="3">
        <v>45490</v>
      </c>
      <c r="F730" s="2" t="s">
        <v>5039</v>
      </c>
      <c r="G730" s="2">
        <v>2024</v>
      </c>
      <c r="H730" s="2">
        <v>16</v>
      </c>
      <c r="I730" s="2" t="s">
        <v>43</v>
      </c>
      <c r="J730" s="2" t="s">
        <v>5040</v>
      </c>
      <c r="K730" s="2" t="s">
        <v>5041</v>
      </c>
      <c r="L730" s="2" t="s">
        <v>1867</v>
      </c>
      <c r="M730" s="2" t="s">
        <v>2423</v>
      </c>
      <c r="N730" s="2" t="s">
        <v>5042</v>
      </c>
      <c r="O730" s="2" t="s">
        <v>4930</v>
      </c>
      <c r="P730" s="2" t="s">
        <v>5043</v>
      </c>
      <c r="Q730" s="2" t="s">
        <v>33</v>
      </c>
      <c r="R730" s="2" t="s">
        <v>5044</v>
      </c>
      <c r="S730" s="2" t="s">
        <v>79</v>
      </c>
      <c r="T730" s="5">
        <v>601053680000000</v>
      </c>
      <c r="U730" s="2" t="s">
        <v>79</v>
      </c>
      <c r="V730" s="2" t="s">
        <v>80</v>
      </c>
    </row>
    <row r="731" spans="1:22">
      <c r="A731" s="2" t="s">
        <v>3589</v>
      </c>
      <c r="B731" s="2" t="s">
        <v>5045</v>
      </c>
      <c r="C731" s="2" t="s">
        <v>5046</v>
      </c>
      <c r="D731" s="2">
        <v>2025</v>
      </c>
      <c r="E731" s="3">
        <v>45717</v>
      </c>
      <c r="F731" s="2" t="s">
        <v>2392</v>
      </c>
      <c r="G731" s="2">
        <v>36</v>
      </c>
      <c r="H731" s="2">
        <v>2</v>
      </c>
      <c r="I731" s="2" t="s">
        <v>5047</v>
      </c>
      <c r="J731" s="2" t="s">
        <v>2394</v>
      </c>
      <c r="K731" s="2" t="s">
        <v>392</v>
      </c>
      <c r="L731" s="2" t="s">
        <v>773</v>
      </c>
      <c r="M731" s="2" t="s">
        <v>1948</v>
      </c>
      <c r="N731" s="2" t="s">
        <v>2156</v>
      </c>
      <c r="O731" s="2" t="s">
        <v>3438</v>
      </c>
      <c r="P731" s="2" t="s">
        <v>5048</v>
      </c>
      <c r="Q731" s="2" t="s">
        <v>33</v>
      </c>
      <c r="R731" s="2" t="s">
        <v>5049</v>
      </c>
      <c r="S731" s="2" t="s">
        <v>3384</v>
      </c>
      <c r="T731" s="2" t="s">
        <v>5050</v>
      </c>
      <c r="U731" s="2" t="s">
        <v>5051</v>
      </c>
      <c r="V731" s="2" t="s">
        <v>80</v>
      </c>
    </row>
    <row r="732" spans="1:22">
      <c r="A732" s="2" t="s">
        <v>5052</v>
      </c>
      <c r="B732" s="2" t="s">
        <v>5045</v>
      </c>
      <c r="C732" s="2" t="s">
        <v>5046</v>
      </c>
      <c r="D732" s="2">
        <v>2025</v>
      </c>
      <c r="E732" s="3">
        <v>45717</v>
      </c>
      <c r="F732" s="2" t="s">
        <v>2392</v>
      </c>
      <c r="G732" s="2">
        <v>36</v>
      </c>
      <c r="H732" s="2">
        <v>2</v>
      </c>
      <c r="I732" s="2" t="s">
        <v>5047</v>
      </c>
      <c r="J732" s="2" t="s">
        <v>2394</v>
      </c>
      <c r="K732" s="2" t="s">
        <v>392</v>
      </c>
      <c r="L732" s="2" t="s">
        <v>773</v>
      </c>
      <c r="M732" s="2" t="s">
        <v>1948</v>
      </c>
      <c r="N732" s="2" t="s">
        <v>2156</v>
      </c>
      <c r="O732" s="2" t="s">
        <v>3438</v>
      </c>
      <c r="P732" s="2" t="s">
        <v>5048</v>
      </c>
      <c r="Q732" s="2" t="s">
        <v>33</v>
      </c>
      <c r="R732" s="2" t="s">
        <v>5049</v>
      </c>
      <c r="S732" s="2" t="s">
        <v>3384</v>
      </c>
      <c r="T732" s="2" t="s">
        <v>5050</v>
      </c>
      <c r="U732" s="2" t="s">
        <v>5051</v>
      </c>
      <c r="V732" s="2" t="s">
        <v>80</v>
      </c>
    </row>
    <row r="733" spans="1:22">
      <c r="A733" s="2" t="s">
        <v>5053</v>
      </c>
      <c r="B733" s="2" t="s">
        <v>5054</v>
      </c>
      <c r="C733" s="2" t="s">
        <v>5055</v>
      </c>
      <c r="D733" s="2">
        <v>2024</v>
      </c>
      <c r="E733" s="3">
        <v>45292</v>
      </c>
      <c r="F733" s="2" t="s">
        <v>5056</v>
      </c>
      <c r="G733" s="2">
        <v>2024</v>
      </c>
      <c r="H733" s="2">
        <v>117</v>
      </c>
      <c r="I733" s="2" t="s">
        <v>5057</v>
      </c>
      <c r="J733" s="2" t="s">
        <v>5058</v>
      </c>
      <c r="K733" s="2" t="s">
        <v>2768</v>
      </c>
      <c r="L733" s="2" t="s">
        <v>1867</v>
      </c>
      <c r="M733" s="2" t="s">
        <v>2423</v>
      </c>
      <c r="N733" s="2" t="s">
        <v>2484</v>
      </c>
      <c r="O733" s="2" t="s">
        <v>5059</v>
      </c>
      <c r="P733" s="2" t="s">
        <v>5060</v>
      </c>
      <c r="Q733" s="2" t="s">
        <v>33</v>
      </c>
      <c r="R733" s="2" t="s">
        <v>5061</v>
      </c>
      <c r="S733" s="2" t="s">
        <v>79</v>
      </c>
      <c r="T733" s="5">
        <v>601053680000000</v>
      </c>
      <c r="U733" s="2" t="s">
        <v>79</v>
      </c>
      <c r="V733" s="2" t="s">
        <v>80</v>
      </c>
    </row>
    <row r="734" spans="1:22">
      <c r="A734" s="2" t="s">
        <v>5062</v>
      </c>
      <c r="B734" s="2" t="s">
        <v>5054</v>
      </c>
      <c r="C734" s="2" t="s">
        <v>5055</v>
      </c>
      <c r="D734" s="2">
        <v>2024</v>
      </c>
      <c r="E734" s="3">
        <v>45292</v>
      </c>
      <c r="F734" s="2" t="s">
        <v>5056</v>
      </c>
      <c r="G734" s="2">
        <v>2024</v>
      </c>
      <c r="H734" s="2">
        <v>117</v>
      </c>
      <c r="I734" s="2" t="s">
        <v>5057</v>
      </c>
      <c r="J734" s="2" t="s">
        <v>5058</v>
      </c>
      <c r="K734" s="2" t="s">
        <v>2768</v>
      </c>
      <c r="L734" s="2" t="s">
        <v>1867</v>
      </c>
      <c r="M734" s="2" t="s">
        <v>2423</v>
      </c>
      <c r="N734" s="2" t="s">
        <v>2484</v>
      </c>
      <c r="O734" s="2" t="s">
        <v>5059</v>
      </c>
      <c r="P734" s="2" t="s">
        <v>5060</v>
      </c>
      <c r="Q734" s="2" t="s">
        <v>33</v>
      </c>
      <c r="R734" s="2" t="s">
        <v>5061</v>
      </c>
      <c r="S734" s="2" t="s">
        <v>79</v>
      </c>
      <c r="T734" s="5">
        <v>601053680000000</v>
      </c>
      <c r="U734" s="2" t="s">
        <v>79</v>
      </c>
      <c r="V734" s="2" t="s">
        <v>80</v>
      </c>
    </row>
    <row r="735" spans="1:22">
      <c r="A735" s="2" t="s">
        <v>3386</v>
      </c>
      <c r="B735" s="2" t="s">
        <v>5063</v>
      </c>
      <c r="C735" s="2" t="s">
        <v>5064</v>
      </c>
      <c r="D735" s="2">
        <v>2024</v>
      </c>
      <c r="E735" s="3">
        <v>45471</v>
      </c>
      <c r="F735" s="2" t="s">
        <v>3389</v>
      </c>
      <c r="G735" s="2">
        <v>9</v>
      </c>
      <c r="H735" s="2" t="s">
        <v>43</v>
      </c>
      <c r="I735" s="2" t="s">
        <v>43</v>
      </c>
      <c r="J735" s="2" t="s">
        <v>3390</v>
      </c>
      <c r="K735" s="2" t="s">
        <v>3391</v>
      </c>
      <c r="L735" s="2" t="s">
        <v>1867</v>
      </c>
      <c r="M735" s="2" t="s">
        <v>3416</v>
      </c>
      <c r="N735" s="2" t="s">
        <v>5065</v>
      </c>
      <c r="O735" s="2" t="s">
        <v>3204</v>
      </c>
      <c r="P735" s="2" t="s">
        <v>5066</v>
      </c>
      <c r="Q735" s="2" t="s">
        <v>33</v>
      </c>
      <c r="R735" s="2" t="s">
        <v>5067</v>
      </c>
      <c r="S735" s="2" t="s">
        <v>3550</v>
      </c>
      <c r="T735" s="2" t="s">
        <v>5068</v>
      </c>
      <c r="U735" s="2" t="s">
        <v>3550</v>
      </c>
      <c r="V735" s="2" t="s">
        <v>80</v>
      </c>
    </row>
    <row r="736" spans="1:22">
      <c r="A736" s="2" t="s">
        <v>4395</v>
      </c>
      <c r="B736" s="2" t="s">
        <v>5069</v>
      </c>
      <c r="C736" s="2" t="s">
        <v>5070</v>
      </c>
      <c r="D736" s="2">
        <v>2025</v>
      </c>
      <c r="E736" s="3">
        <v>45901</v>
      </c>
      <c r="F736" s="2" t="s">
        <v>2392</v>
      </c>
      <c r="G736" s="2">
        <v>36</v>
      </c>
      <c r="H736" s="2">
        <v>5</v>
      </c>
      <c r="I736" s="2" t="s">
        <v>5071</v>
      </c>
      <c r="J736" s="2" t="s">
        <v>2394</v>
      </c>
      <c r="K736" s="2" t="s">
        <v>392</v>
      </c>
      <c r="L736" s="2" t="s">
        <v>773</v>
      </c>
      <c r="M736" s="2" t="s">
        <v>1948</v>
      </c>
      <c r="N736" s="2" t="s">
        <v>2156</v>
      </c>
      <c r="O736" s="2" t="s">
        <v>3438</v>
      </c>
      <c r="P736" s="2" t="s">
        <v>5072</v>
      </c>
      <c r="Q736" s="2" t="s">
        <v>49</v>
      </c>
      <c r="R736" s="2" t="s">
        <v>5073</v>
      </c>
      <c r="S736" s="2" t="s">
        <v>5074</v>
      </c>
      <c r="T736" s="2" t="s">
        <v>5075</v>
      </c>
      <c r="U736" s="2" t="s">
        <v>5076</v>
      </c>
      <c r="V736" s="2" t="s">
        <v>3927</v>
      </c>
    </row>
    <row r="737" spans="1:22">
      <c r="A737" s="2" t="s">
        <v>1480</v>
      </c>
      <c r="B737" s="2" t="s">
        <v>5077</v>
      </c>
      <c r="C737" s="2" t="s">
        <v>5078</v>
      </c>
      <c r="D737" s="2">
        <v>2024</v>
      </c>
      <c r="E737" s="3">
        <v>45323</v>
      </c>
      <c r="F737" s="2" t="s">
        <v>5079</v>
      </c>
      <c r="G737" s="2">
        <v>24</v>
      </c>
      <c r="H737" s="2">
        <v>2</v>
      </c>
      <c r="I737" s="2" t="s">
        <v>5080</v>
      </c>
      <c r="J737" s="2" t="s">
        <v>5081</v>
      </c>
      <c r="K737" s="2" t="s">
        <v>734</v>
      </c>
      <c r="L737" s="2" t="s">
        <v>29</v>
      </c>
      <c r="M737" s="2" t="s">
        <v>75</v>
      </c>
      <c r="N737" s="2" t="s">
        <v>105</v>
      </c>
      <c r="O737" s="4">
        <v>1954</v>
      </c>
      <c r="P737" s="2" t="s">
        <v>5082</v>
      </c>
      <c r="Q737" s="2" t="s">
        <v>644</v>
      </c>
      <c r="R737" s="2" t="s">
        <v>5083</v>
      </c>
      <c r="S737" s="2" t="s">
        <v>4569</v>
      </c>
      <c r="T737" s="2" t="s">
        <v>5084</v>
      </c>
      <c r="U737" s="2" t="s">
        <v>5085</v>
      </c>
      <c r="V737" s="2" t="s">
        <v>80</v>
      </c>
    </row>
    <row r="738" spans="1:22">
      <c r="A738" s="2" t="s">
        <v>386</v>
      </c>
      <c r="B738" s="2" t="s">
        <v>5086</v>
      </c>
      <c r="C738" s="2" t="s">
        <v>5087</v>
      </c>
      <c r="D738" s="2">
        <v>2024</v>
      </c>
      <c r="E738" s="3">
        <v>45292</v>
      </c>
      <c r="F738" s="2" t="s">
        <v>4161</v>
      </c>
      <c r="G738" s="2">
        <v>39</v>
      </c>
      <c r="H738" s="2">
        <v>1</v>
      </c>
      <c r="I738" s="2" t="s">
        <v>5088</v>
      </c>
      <c r="J738" s="2" t="s">
        <v>4163</v>
      </c>
      <c r="K738" s="2" t="s">
        <v>772</v>
      </c>
      <c r="L738" s="2" t="s">
        <v>773</v>
      </c>
      <c r="M738" s="2" t="s">
        <v>3416</v>
      </c>
      <c r="N738" s="2" t="s">
        <v>4165</v>
      </c>
      <c r="O738" s="2" t="s">
        <v>4166</v>
      </c>
      <c r="P738" s="2" t="s">
        <v>5089</v>
      </c>
      <c r="Q738" s="2" t="s">
        <v>49</v>
      </c>
      <c r="R738" s="2" t="s">
        <v>5090</v>
      </c>
      <c r="S738" s="2" t="s">
        <v>398</v>
      </c>
      <c r="T738" s="2" t="s">
        <v>5091</v>
      </c>
      <c r="U738" s="2" t="s">
        <v>5092</v>
      </c>
      <c r="V738" s="2" t="s">
        <v>80</v>
      </c>
    </row>
    <row r="739" spans="1:22">
      <c r="A739" s="2" t="s">
        <v>5093</v>
      </c>
      <c r="B739" s="2" t="s">
        <v>5094</v>
      </c>
      <c r="C739" s="2" t="s">
        <v>5095</v>
      </c>
      <c r="D739" s="2">
        <v>2025</v>
      </c>
      <c r="E739" s="3">
        <v>45658</v>
      </c>
      <c r="F739" s="2" t="s">
        <v>3703</v>
      </c>
      <c r="G739" s="2" t="s">
        <v>43</v>
      </c>
      <c r="H739" s="2" t="s">
        <v>43</v>
      </c>
      <c r="I739" s="2" t="s">
        <v>43</v>
      </c>
      <c r="J739" s="2" t="s">
        <v>3704</v>
      </c>
      <c r="K739" s="2" t="s">
        <v>3705</v>
      </c>
      <c r="L739" s="2" t="s">
        <v>29</v>
      </c>
      <c r="M739" s="2" t="s">
        <v>4498</v>
      </c>
      <c r="N739" s="2" t="s">
        <v>4165</v>
      </c>
      <c r="O739" s="2" t="s">
        <v>43</v>
      </c>
      <c r="P739" s="2" t="s">
        <v>5096</v>
      </c>
      <c r="Q739" s="2" t="s">
        <v>2112</v>
      </c>
      <c r="R739" s="2" t="s">
        <v>5097</v>
      </c>
      <c r="S739" s="2" t="s">
        <v>79</v>
      </c>
      <c r="T739" s="5">
        <v>601053680000000</v>
      </c>
      <c r="U739" s="2" t="s">
        <v>79</v>
      </c>
      <c r="V739" s="2" t="s">
        <v>80</v>
      </c>
    </row>
    <row r="740" spans="1:22">
      <c r="A740" s="2" t="s">
        <v>3700</v>
      </c>
      <c r="B740" s="2" t="s">
        <v>5094</v>
      </c>
      <c r="C740" s="2" t="s">
        <v>5095</v>
      </c>
      <c r="D740" s="2">
        <v>2025</v>
      </c>
      <c r="E740" s="3">
        <v>45658</v>
      </c>
      <c r="F740" s="2" t="s">
        <v>3703</v>
      </c>
      <c r="G740" s="2" t="s">
        <v>43</v>
      </c>
      <c r="H740" s="2" t="s">
        <v>43</v>
      </c>
      <c r="I740" s="2" t="s">
        <v>43</v>
      </c>
      <c r="J740" s="2" t="s">
        <v>3704</v>
      </c>
      <c r="K740" s="2" t="s">
        <v>3705</v>
      </c>
      <c r="L740" s="2" t="s">
        <v>29</v>
      </c>
      <c r="M740" s="2" t="s">
        <v>4498</v>
      </c>
      <c r="N740" s="2" t="s">
        <v>4165</v>
      </c>
      <c r="O740" s="2" t="s">
        <v>43</v>
      </c>
      <c r="P740" s="2" t="s">
        <v>5096</v>
      </c>
      <c r="Q740" s="2" t="s">
        <v>2112</v>
      </c>
      <c r="R740" s="2" t="s">
        <v>5097</v>
      </c>
      <c r="S740" s="2" t="s">
        <v>79</v>
      </c>
      <c r="T740" s="5">
        <v>601053680000000</v>
      </c>
      <c r="U740" s="2" t="s">
        <v>79</v>
      </c>
      <c r="V740" s="2" t="s">
        <v>80</v>
      </c>
    </row>
    <row r="741" spans="1:22" ht="57.6">
      <c r="A741" s="2" t="s">
        <v>5098</v>
      </c>
      <c r="B741" s="2" t="s">
        <v>5099</v>
      </c>
      <c r="C741" s="2" t="s">
        <v>5100</v>
      </c>
      <c r="D741" s="2">
        <v>2025</v>
      </c>
      <c r="E741" s="3">
        <v>45658</v>
      </c>
      <c r="F741" s="2" t="s">
        <v>5101</v>
      </c>
      <c r="G741" s="2">
        <v>41</v>
      </c>
      <c r="H741" s="2">
        <v>1</v>
      </c>
      <c r="I741" s="2" t="s">
        <v>43</v>
      </c>
      <c r="J741" s="2" t="s">
        <v>5102</v>
      </c>
      <c r="K741" s="2" t="s">
        <v>1134</v>
      </c>
      <c r="L741" s="2" t="s">
        <v>29</v>
      </c>
      <c r="M741" s="2" t="s">
        <v>2131</v>
      </c>
      <c r="N741" s="2" t="s">
        <v>134</v>
      </c>
      <c r="O741" s="2" t="s">
        <v>5103</v>
      </c>
      <c r="P741" s="2" t="s">
        <v>5104</v>
      </c>
      <c r="Q741" s="2" t="s">
        <v>33</v>
      </c>
      <c r="R741" s="2" t="s">
        <v>5105</v>
      </c>
      <c r="S741" s="2" t="s">
        <v>5106</v>
      </c>
      <c r="T741" s="2" t="s">
        <v>5107</v>
      </c>
      <c r="U741" s="2" t="s">
        <v>5108</v>
      </c>
      <c r="V741" s="2" t="s">
        <v>5109</v>
      </c>
    </row>
    <row r="742" spans="1:22">
      <c r="A742" s="2" t="s">
        <v>39</v>
      </c>
      <c r="B742" s="2" t="s">
        <v>5110</v>
      </c>
      <c r="C742" s="2" t="s">
        <v>5111</v>
      </c>
      <c r="D742" s="2">
        <v>2024</v>
      </c>
      <c r="E742" s="3">
        <v>45383</v>
      </c>
      <c r="F742" s="2" t="s">
        <v>2912</v>
      </c>
      <c r="G742" s="2">
        <v>51</v>
      </c>
      <c r="H742" s="2">
        <v>2</v>
      </c>
      <c r="I742" s="2" t="s">
        <v>5112</v>
      </c>
      <c r="J742" s="2" t="s">
        <v>3820</v>
      </c>
      <c r="K742" s="2" t="s">
        <v>2915</v>
      </c>
      <c r="L742" s="2" t="s">
        <v>1867</v>
      </c>
      <c r="M742" s="2" t="s">
        <v>2155</v>
      </c>
      <c r="N742" s="2" t="s">
        <v>3684</v>
      </c>
      <c r="O742" s="2" t="s">
        <v>3685</v>
      </c>
      <c r="P742" s="2" t="s">
        <v>5113</v>
      </c>
      <c r="Q742" s="2" t="s">
        <v>33</v>
      </c>
      <c r="R742" s="2" t="s">
        <v>5114</v>
      </c>
      <c r="S742" s="2" t="s">
        <v>5115</v>
      </c>
      <c r="T742" s="2" t="s">
        <v>5116</v>
      </c>
      <c r="U742" s="2" t="s">
        <v>5117</v>
      </c>
      <c r="V742" s="2" t="s">
        <v>80</v>
      </c>
    </row>
    <row r="743" spans="1:22">
      <c r="A743" s="2" t="s">
        <v>276</v>
      </c>
      <c r="B743" s="2" t="s">
        <v>5118</v>
      </c>
      <c r="C743" s="2" t="s">
        <v>5119</v>
      </c>
      <c r="D743" s="2">
        <v>2024</v>
      </c>
      <c r="E743" s="3">
        <v>45548</v>
      </c>
      <c r="F743" s="2" t="s">
        <v>1442</v>
      </c>
      <c r="G743" s="2">
        <v>103</v>
      </c>
      <c r="H743" s="2">
        <v>37</v>
      </c>
      <c r="I743" s="2" t="s">
        <v>43</v>
      </c>
      <c r="J743" s="2" t="s">
        <v>1443</v>
      </c>
      <c r="K743" s="2" t="s">
        <v>566</v>
      </c>
      <c r="L743" s="2" t="s">
        <v>29</v>
      </c>
      <c r="M743" s="2" t="s">
        <v>393</v>
      </c>
      <c r="N743" s="2" t="s">
        <v>1444</v>
      </c>
      <c r="O743" s="2" t="s">
        <v>1445</v>
      </c>
      <c r="P743" s="2" t="s">
        <v>5120</v>
      </c>
      <c r="Q743" s="2" t="s">
        <v>33</v>
      </c>
      <c r="R743" s="2" t="s">
        <v>5121</v>
      </c>
      <c r="S743" s="2" t="s">
        <v>5122</v>
      </c>
      <c r="T743" s="2" t="s">
        <v>5123</v>
      </c>
      <c r="U743" s="2" t="s">
        <v>5124</v>
      </c>
      <c r="V743" s="2" t="s">
        <v>80</v>
      </c>
    </row>
    <row r="744" spans="1:22">
      <c r="A744" s="2" t="s">
        <v>1916</v>
      </c>
      <c r="B744" s="2" t="s">
        <v>5125</v>
      </c>
      <c r="C744" s="2" t="s">
        <v>5126</v>
      </c>
      <c r="D744" s="2">
        <v>2025</v>
      </c>
      <c r="E744" s="3">
        <v>45870</v>
      </c>
      <c r="F744" s="2" t="s">
        <v>5127</v>
      </c>
      <c r="G744" s="2">
        <v>31</v>
      </c>
      <c r="H744" s="2">
        <v>5</v>
      </c>
      <c r="I744" s="2" t="s">
        <v>5128</v>
      </c>
      <c r="J744" s="2" t="s">
        <v>5129</v>
      </c>
      <c r="K744" s="2" t="s">
        <v>566</v>
      </c>
      <c r="L744" s="2" t="s">
        <v>29</v>
      </c>
      <c r="M744" s="2" t="s">
        <v>2522</v>
      </c>
      <c r="N744" s="2" t="s">
        <v>775</v>
      </c>
      <c r="O744" s="2" t="s">
        <v>2450</v>
      </c>
      <c r="P744" s="2" t="s">
        <v>5130</v>
      </c>
      <c r="Q744" s="2" t="s">
        <v>33</v>
      </c>
      <c r="R744" s="2" t="s">
        <v>5131</v>
      </c>
      <c r="S744" s="2" t="s">
        <v>1681</v>
      </c>
      <c r="T744" s="2" t="s">
        <v>3772</v>
      </c>
      <c r="U744" s="2" t="s">
        <v>3773</v>
      </c>
      <c r="V744" s="2" t="s">
        <v>80</v>
      </c>
    </row>
    <row r="745" spans="1:22">
      <c r="A745" s="2" t="s">
        <v>5132</v>
      </c>
      <c r="B745" s="2" t="s">
        <v>5133</v>
      </c>
      <c r="C745" s="2" t="s">
        <v>5134</v>
      </c>
      <c r="D745" s="2">
        <v>2024</v>
      </c>
      <c r="E745" s="3">
        <v>45292</v>
      </c>
      <c r="F745" s="2" t="s">
        <v>5135</v>
      </c>
      <c r="G745" s="2">
        <v>2024</v>
      </c>
      <c r="H745" s="2">
        <v>39</v>
      </c>
      <c r="I745" s="2" t="s">
        <v>5136</v>
      </c>
      <c r="J745" s="2" t="s">
        <v>5137</v>
      </c>
      <c r="K745" s="2" t="s">
        <v>5138</v>
      </c>
      <c r="L745" s="2" t="s">
        <v>1867</v>
      </c>
      <c r="M745" s="2" t="s">
        <v>3810</v>
      </c>
      <c r="N745" s="2" t="s">
        <v>4337</v>
      </c>
      <c r="O745" s="2" t="s">
        <v>5139</v>
      </c>
      <c r="P745" s="2" t="s">
        <v>5140</v>
      </c>
      <c r="Q745" s="2" t="s">
        <v>33</v>
      </c>
      <c r="R745" s="2" t="s">
        <v>5141</v>
      </c>
      <c r="S745" s="2" t="s">
        <v>5142</v>
      </c>
      <c r="T745" s="2" t="s">
        <v>5143</v>
      </c>
      <c r="U745" s="2" t="s">
        <v>5144</v>
      </c>
      <c r="V745" s="2" t="s">
        <v>80</v>
      </c>
    </row>
    <row r="746" spans="1:22">
      <c r="A746" s="2" t="s">
        <v>635</v>
      </c>
      <c r="B746" s="2" t="s">
        <v>5145</v>
      </c>
      <c r="C746" s="2" t="s">
        <v>5146</v>
      </c>
      <c r="D746" s="2">
        <v>2024</v>
      </c>
      <c r="E746" s="3">
        <v>45292</v>
      </c>
      <c r="F746" s="2" t="s">
        <v>5147</v>
      </c>
      <c r="G746" s="2">
        <v>24</v>
      </c>
      <c r="H746" s="2">
        <v>2</v>
      </c>
      <c r="I746" s="2" t="s">
        <v>5148</v>
      </c>
      <c r="J746" s="2" t="s">
        <v>5149</v>
      </c>
      <c r="K746" s="2" t="s">
        <v>3447</v>
      </c>
      <c r="L746" s="2" t="s">
        <v>29</v>
      </c>
      <c r="M746" s="2" t="s">
        <v>2381</v>
      </c>
      <c r="N746" s="2" t="s">
        <v>1183</v>
      </c>
      <c r="O746" s="2" t="s">
        <v>808</v>
      </c>
      <c r="P746" s="2" t="s">
        <v>5150</v>
      </c>
      <c r="Q746" s="2" t="s">
        <v>33</v>
      </c>
      <c r="R746" s="2" t="s">
        <v>5151</v>
      </c>
      <c r="S746" s="2" t="s">
        <v>1106</v>
      </c>
      <c r="T746" s="2" t="s">
        <v>5152</v>
      </c>
      <c r="U746" s="2" t="s">
        <v>5153</v>
      </c>
      <c r="V746" s="2" t="s">
        <v>80</v>
      </c>
    </row>
    <row r="747" spans="1:22">
      <c r="A747" s="2" t="s">
        <v>5154</v>
      </c>
      <c r="B747" s="2" t="s">
        <v>5155</v>
      </c>
      <c r="C747" s="2" t="s">
        <v>5156</v>
      </c>
      <c r="D747" s="2">
        <v>2025</v>
      </c>
      <c r="E747" s="3">
        <v>45778</v>
      </c>
      <c r="F747" s="2" t="s">
        <v>2518</v>
      </c>
      <c r="G747" s="2">
        <v>66</v>
      </c>
      <c r="H747" s="2" t="s">
        <v>43</v>
      </c>
      <c r="I747" s="2" t="s">
        <v>5157</v>
      </c>
      <c r="J747" s="2" t="s">
        <v>2520</v>
      </c>
      <c r="K747" s="2" t="s">
        <v>2521</v>
      </c>
      <c r="L747" s="2" t="s">
        <v>1867</v>
      </c>
      <c r="M747" s="2" t="s">
        <v>1362</v>
      </c>
      <c r="N747" s="2" t="s">
        <v>247</v>
      </c>
      <c r="O747" s="2" t="s">
        <v>2958</v>
      </c>
      <c r="P747" s="2" t="s">
        <v>5158</v>
      </c>
      <c r="Q747" s="2" t="s">
        <v>49</v>
      </c>
      <c r="R747" s="2" t="s">
        <v>5159</v>
      </c>
      <c r="S747" s="2" t="s">
        <v>5160</v>
      </c>
      <c r="T747" s="2" t="s">
        <v>5161</v>
      </c>
      <c r="U747" s="2" t="s">
        <v>5162</v>
      </c>
      <c r="V747" s="2" t="s">
        <v>80</v>
      </c>
    </row>
    <row r="748" spans="1:22">
      <c r="A748" s="2" t="s">
        <v>2963</v>
      </c>
      <c r="B748" s="2" t="s">
        <v>5163</v>
      </c>
      <c r="C748" s="2" t="s">
        <v>2965</v>
      </c>
      <c r="D748" s="2">
        <v>2024</v>
      </c>
      <c r="E748" s="3">
        <v>45292</v>
      </c>
      <c r="F748" s="2" t="s">
        <v>5164</v>
      </c>
      <c r="G748" s="2" t="s">
        <v>43</v>
      </c>
      <c r="H748" s="2">
        <v>75</v>
      </c>
      <c r="I748" s="2" t="s">
        <v>5165</v>
      </c>
      <c r="J748" s="2" t="s">
        <v>5166</v>
      </c>
      <c r="K748" s="2" t="s">
        <v>2768</v>
      </c>
      <c r="L748" s="2" t="s">
        <v>1867</v>
      </c>
      <c r="M748" s="2" t="s">
        <v>2423</v>
      </c>
      <c r="N748" s="2" t="s">
        <v>2178</v>
      </c>
      <c r="O748" s="2" t="s">
        <v>3204</v>
      </c>
      <c r="P748" s="2" t="s">
        <v>5167</v>
      </c>
      <c r="Q748" s="2" t="s">
        <v>33</v>
      </c>
      <c r="R748" s="2" t="s">
        <v>5168</v>
      </c>
      <c r="S748" s="2" t="s">
        <v>79</v>
      </c>
      <c r="T748" s="5">
        <v>601053680000000</v>
      </c>
      <c r="U748" s="2" t="s">
        <v>79</v>
      </c>
      <c r="V748" s="2" t="s">
        <v>80</v>
      </c>
    </row>
    <row r="749" spans="1:22">
      <c r="A749" s="2" t="s">
        <v>4644</v>
      </c>
      <c r="B749" s="2" t="s">
        <v>5169</v>
      </c>
      <c r="C749" s="2" t="s">
        <v>5170</v>
      </c>
      <c r="D749" s="2">
        <v>2025</v>
      </c>
      <c r="E749" s="3">
        <v>45665</v>
      </c>
      <c r="F749" s="2" t="s">
        <v>167</v>
      </c>
      <c r="G749" s="2">
        <v>18</v>
      </c>
      <c r="H749" s="2">
        <v>1</v>
      </c>
      <c r="I749" s="2" t="s">
        <v>43</v>
      </c>
      <c r="J749" s="2" t="s">
        <v>3369</v>
      </c>
      <c r="K749" s="2" t="s">
        <v>438</v>
      </c>
      <c r="L749" s="2" t="s">
        <v>29</v>
      </c>
      <c r="M749" s="2" t="s">
        <v>2203</v>
      </c>
      <c r="N749" s="2" t="s">
        <v>428</v>
      </c>
      <c r="O749" s="2" t="s">
        <v>2423</v>
      </c>
      <c r="P749" s="2" t="s">
        <v>5171</v>
      </c>
      <c r="Q749" s="2" t="s">
        <v>33</v>
      </c>
      <c r="R749" s="2" t="s">
        <v>5172</v>
      </c>
      <c r="S749" s="2" t="s">
        <v>1681</v>
      </c>
      <c r="T749" s="2" t="s">
        <v>2606</v>
      </c>
      <c r="U749" s="2" t="s">
        <v>1681</v>
      </c>
      <c r="V749" s="2" t="s">
        <v>80</v>
      </c>
    </row>
    <row r="750" spans="1:22">
      <c r="A750" s="2" t="s">
        <v>433</v>
      </c>
      <c r="B750" s="2" t="s">
        <v>5169</v>
      </c>
      <c r="C750" s="2" t="s">
        <v>5170</v>
      </c>
      <c r="D750" s="2">
        <v>2025</v>
      </c>
      <c r="E750" s="3">
        <v>45665</v>
      </c>
      <c r="F750" s="2" t="s">
        <v>167</v>
      </c>
      <c r="G750" s="2">
        <v>18</v>
      </c>
      <c r="H750" s="2">
        <v>1</v>
      </c>
      <c r="I750" s="2" t="s">
        <v>43</v>
      </c>
      <c r="J750" s="2" t="s">
        <v>3369</v>
      </c>
      <c r="K750" s="2" t="s">
        <v>438</v>
      </c>
      <c r="L750" s="2" t="s">
        <v>29</v>
      </c>
      <c r="M750" s="2" t="s">
        <v>2203</v>
      </c>
      <c r="N750" s="2" t="s">
        <v>428</v>
      </c>
      <c r="O750" s="2" t="s">
        <v>2423</v>
      </c>
      <c r="P750" s="2" t="s">
        <v>5171</v>
      </c>
      <c r="Q750" s="2" t="s">
        <v>33</v>
      </c>
      <c r="R750" s="2" t="s">
        <v>5172</v>
      </c>
      <c r="S750" s="2" t="s">
        <v>1681</v>
      </c>
      <c r="T750" s="2" t="s">
        <v>2606</v>
      </c>
      <c r="U750" s="2" t="s">
        <v>1681</v>
      </c>
      <c r="V750" s="2" t="s">
        <v>80</v>
      </c>
    </row>
    <row r="751" spans="1:22">
      <c r="A751" s="2" t="s">
        <v>1344</v>
      </c>
      <c r="B751" s="2" t="s">
        <v>5169</v>
      </c>
      <c r="C751" s="2" t="s">
        <v>5170</v>
      </c>
      <c r="D751" s="2">
        <v>2025</v>
      </c>
      <c r="E751" s="3">
        <v>45665</v>
      </c>
      <c r="F751" s="2" t="s">
        <v>167</v>
      </c>
      <c r="G751" s="2">
        <v>18</v>
      </c>
      <c r="H751" s="2">
        <v>1</v>
      </c>
      <c r="I751" s="2" t="s">
        <v>43</v>
      </c>
      <c r="J751" s="2" t="s">
        <v>3369</v>
      </c>
      <c r="K751" s="2" t="s">
        <v>438</v>
      </c>
      <c r="L751" s="2" t="s">
        <v>29</v>
      </c>
      <c r="M751" s="2" t="s">
        <v>2203</v>
      </c>
      <c r="N751" s="2" t="s">
        <v>428</v>
      </c>
      <c r="O751" s="2" t="s">
        <v>2423</v>
      </c>
      <c r="P751" s="2" t="s">
        <v>5171</v>
      </c>
      <c r="Q751" s="2" t="s">
        <v>33</v>
      </c>
      <c r="R751" s="2" t="s">
        <v>5172</v>
      </c>
      <c r="S751" s="2" t="s">
        <v>1681</v>
      </c>
      <c r="T751" s="2" t="s">
        <v>2606</v>
      </c>
      <c r="U751" s="2" t="s">
        <v>1681</v>
      </c>
      <c r="V751" s="2" t="s">
        <v>80</v>
      </c>
    </row>
    <row r="752" spans="1:22" ht="28.8">
      <c r="A752" s="2" t="s">
        <v>5173</v>
      </c>
      <c r="B752" s="2" t="s">
        <v>5174</v>
      </c>
      <c r="C752" s="2" t="s">
        <v>5175</v>
      </c>
      <c r="D752" s="2">
        <v>2025</v>
      </c>
      <c r="E752" s="3">
        <v>45913</v>
      </c>
      <c r="F752" s="2" t="s">
        <v>3046</v>
      </c>
      <c r="G752" s="2">
        <v>96</v>
      </c>
      <c r="H752" s="2">
        <v>5</v>
      </c>
      <c r="I752" s="2" t="s">
        <v>43</v>
      </c>
      <c r="J752" s="2" t="s">
        <v>3048</v>
      </c>
      <c r="K752" s="2" t="s">
        <v>3049</v>
      </c>
      <c r="L752" s="2" t="s">
        <v>1867</v>
      </c>
      <c r="M752" s="2" t="s">
        <v>1919</v>
      </c>
      <c r="N752" s="2" t="s">
        <v>3050</v>
      </c>
      <c r="O752" s="2" t="s">
        <v>3051</v>
      </c>
      <c r="P752" s="2" t="s">
        <v>5176</v>
      </c>
      <c r="Q752" s="2" t="s">
        <v>33</v>
      </c>
      <c r="R752" s="2" t="s">
        <v>5177</v>
      </c>
      <c r="S752" s="2" t="s">
        <v>5178</v>
      </c>
      <c r="T752" s="2" t="s">
        <v>5179</v>
      </c>
      <c r="U752" s="2" t="s">
        <v>5180</v>
      </c>
      <c r="V752" s="2" t="s">
        <v>80</v>
      </c>
    </row>
    <row r="753" spans="1:22">
      <c r="A753" s="2" t="s">
        <v>4414</v>
      </c>
      <c r="B753" s="2" t="s">
        <v>5181</v>
      </c>
      <c r="C753" s="2" t="s">
        <v>5182</v>
      </c>
      <c r="D753" s="2">
        <v>2025</v>
      </c>
      <c r="E753" s="3">
        <v>45839</v>
      </c>
      <c r="F753" s="2" t="s">
        <v>5183</v>
      </c>
      <c r="G753" s="2">
        <v>144</v>
      </c>
      <c r="H753" s="2" t="s">
        <v>43</v>
      </c>
      <c r="I753" s="2" t="s">
        <v>43</v>
      </c>
      <c r="J753" s="2" t="s">
        <v>5184</v>
      </c>
      <c r="K753" s="2" t="s">
        <v>45</v>
      </c>
      <c r="L753" s="2" t="s">
        <v>29</v>
      </c>
      <c r="M753" s="2" t="s">
        <v>2838</v>
      </c>
      <c r="N753" s="2" t="s">
        <v>2144</v>
      </c>
      <c r="O753" s="4">
        <v>1144</v>
      </c>
      <c r="P753" s="2" t="s">
        <v>5185</v>
      </c>
      <c r="Q753" s="2" t="s">
        <v>33</v>
      </c>
      <c r="R753" s="2" t="s">
        <v>5186</v>
      </c>
      <c r="S753" s="2" t="s">
        <v>5187</v>
      </c>
      <c r="T753" s="2" t="s">
        <v>5188</v>
      </c>
      <c r="U753" s="2" t="s">
        <v>5189</v>
      </c>
      <c r="V753" s="2" t="s">
        <v>80</v>
      </c>
    </row>
    <row r="754" spans="1:22">
      <c r="A754" s="2" t="s">
        <v>5190</v>
      </c>
      <c r="B754" s="2" t="s">
        <v>5191</v>
      </c>
      <c r="C754" s="2" t="s">
        <v>5192</v>
      </c>
      <c r="D754" s="2">
        <v>2025</v>
      </c>
      <c r="E754" s="3">
        <v>45658</v>
      </c>
      <c r="F754" s="2" t="s">
        <v>5193</v>
      </c>
      <c r="G754" s="2" t="s">
        <v>43</v>
      </c>
      <c r="H754" s="2">
        <v>61</v>
      </c>
      <c r="I754" s="2" t="s">
        <v>5194</v>
      </c>
      <c r="J754" s="2" t="s">
        <v>5195</v>
      </c>
      <c r="K754" s="2" t="s">
        <v>2768</v>
      </c>
      <c r="L754" s="2" t="s">
        <v>773</v>
      </c>
      <c r="M754" s="2" t="s">
        <v>4953</v>
      </c>
      <c r="N754" s="2" t="s">
        <v>3643</v>
      </c>
      <c r="O754" s="2" t="s">
        <v>5196</v>
      </c>
      <c r="P754" s="2" t="s">
        <v>5197</v>
      </c>
      <c r="Q754" s="2" t="s">
        <v>33</v>
      </c>
      <c r="R754" s="2" t="s">
        <v>5198</v>
      </c>
      <c r="S754" s="2" t="s">
        <v>79</v>
      </c>
      <c r="T754" s="5">
        <v>601053680000000</v>
      </c>
      <c r="U754" s="2" t="s">
        <v>79</v>
      </c>
      <c r="V754" s="2" t="s">
        <v>80</v>
      </c>
    </row>
    <row r="755" spans="1:22">
      <c r="A755" s="2" t="s">
        <v>5199</v>
      </c>
      <c r="B755" s="2" t="s">
        <v>5200</v>
      </c>
      <c r="C755" s="2" t="s">
        <v>5201</v>
      </c>
      <c r="D755" s="2">
        <v>2025</v>
      </c>
      <c r="E755" s="3">
        <v>45658</v>
      </c>
      <c r="F755" s="2" t="s">
        <v>5202</v>
      </c>
      <c r="G755" s="2">
        <v>35</v>
      </c>
      <c r="H755" s="2">
        <v>1</v>
      </c>
      <c r="I755" s="7">
        <v>11689</v>
      </c>
      <c r="J755" s="2" t="s">
        <v>5203</v>
      </c>
      <c r="K755" s="2" t="s">
        <v>5204</v>
      </c>
      <c r="L755" s="2" t="s">
        <v>1867</v>
      </c>
      <c r="M755" s="2" t="s">
        <v>3357</v>
      </c>
      <c r="N755" s="2" t="s">
        <v>2647</v>
      </c>
      <c r="O755" s="2" t="s">
        <v>3685</v>
      </c>
      <c r="P755" s="2" t="s">
        <v>5205</v>
      </c>
      <c r="Q755" s="2" t="s">
        <v>33</v>
      </c>
      <c r="R755" s="2" t="s">
        <v>5206</v>
      </c>
      <c r="S755" s="2" t="s">
        <v>79</v>
      </c>
      <c r="T755" s="5">
        <v>601053680000000</v>
      </c>
      <c r="U755" s="2" t="s">
        <v>79</v>
      </c>
      <c r="V755" s="2" t="s">
        <v>80</v>
      </c>
    </row>
    <row r="756" spans="1:22">
      <c r="A756" s="2" t="s">
        <v>5207</v>
      </c>
      <c r="B756" s="2" t="s">
        <v>5208</v>
      </c>
      <c r="C756" s="2" t="s">
        <v>5209</v>
      </c>
      <c r="D756" s="2">
        <v>2024</v>
      </c>
      <c r="E756" s="3">
        <v>45292</v>
      </c>
      <c r="F756" s="2" t="s">
        <v>5210</v>
      </c>
      <c r="G756" s="2" t="s">
        <v>43</v>
      </c>
      <c r="H756" s="2">
        <v>53</v>
      </c>
      <c r="I756" s="2" t="s">
        <v>5211</v>
      </c>
      <c r="J756" s="2" t="s">
        <v>5212</v>
      </c>
      <c r="K756" s="2" t="s">
        <v>5213</v>
      </c>
      <c r="L756" s="2" t="s">
        <v>1867</v>
      </c>
      <c r="M756" s="2" t="s">
        <v>3416</v>
      </c>
      <c r="N756" s="2" t="s">
        <v>3358</v>
      </c>
      <c r="O756" s="2" t="s">
        <v>2970</v>
      </c>
      <c r="P756" s="2" t="s">
        <v>43</v>
      </c>
      <c r="Q756" s="2" t="s">
        <v>33</v>
      </c>
      <c r="R756" s="2" t="s">
        <v>5214</v>
      </c>
      <c r="S756" s="2" t="s">
        <v>79</v>
      </c>
      <c r="T756" s="5">
        <v>601053680000000</v>
      </c>
      <c r="U756" s="2" t="s">
        <v>79</v>
      </c>
      <c r="V756" s="2" t="s">
        <v>80</v>
      </c>
    </row>
    <row r="757" spans="1:22">
      <c r="A757" s="2" t="s">
        <v>4100</v>
      </c>
      <c r="B757" s="2" t="s">
        <v>5208</v>
      </c>
      <c r="C757" s="2" t="s">
        <v>5209</v>
      </c>
      <c r="D757" s="2">
        <v>2024</v>
      </c>
      <c r="E757" s="3">
        <v>45292</v>
      </c>
      <c r="F757" s="2" t="s">
        <v>5210</v>
      </c>
      <c r="G757" s="2" t="s">
        <v>43</v>
      </c>
      <c r="H757" s="2">
        <v>53</v>
      </c>
      <c r="I757" s="2" t="s">
        <v>5211</v>
      </c>
      <c r="J757" s="2" t="s">
        <v>5212</v>
      </c>
      <c r="K757" s="2" t="s">
        <v>5213</v>
      </c>
      <c r="L757" s="2" t="s">
        <v>1867</v>
      </c>
      <c r="M757" s="2" t="s">
        <v>3416</v>
      </c>
      <c r="N757" s="2" t="s">
        <v>3358</v>
      </c>
      <c r="O757" s="2" t="s">
        <v>2970</v>
      </c>
      <c r="P757" s="2" t="s">
        <v>43</v>
      </c>
      <c r="Q757" s="2" t="s">
        <v>33</v>
      </c>
      <c r="R757" s="2" t="s">
        <v>5214</v>
      </c>
      <c r="S757" s="2" t="s">
        <v>79</v>
      </c>
      <c r="T757" s="5">
        <v>601053680000000</v>
      </c>
      <c r="U757" s="2" t="s">
        <v>79</v>
      </c>
      <c r="V757" s="2" t="s">
        <v>80</v>
      </c>
    </row>
    <row r="758" spans="1:22" ht="43.2">
      <c r="A758" s="2" t="s">
        <v>5215</v>
      </c>
      <c r="B758" s="2" t="s">
        <v>5216</v>
      </c>
      <c r="C758" s="2" t="s">
        <v>5217</v>
      </c>
      <c r="D758" s="2">
        <v>2024</v>
      </c>
      <c r="E758" s="3">
        <v>45413</v>
      </c>
      <c r="F758" s="2" t="s">
        <v>5218</v>
      </c>
      <c r="G758" s="2">
        <v>30</v>
      </c>
      <c r="H758" s="2">
        <v>5</v>
      </c>
      <c r="I758" s="2" t="s">
        <v>5219</v>
      </c>
      <c r="J758" s="2" t="s">
        <v>5220</v>
      </c>
      <c r="K758" s="2" t="s">
        <v>103</v>
      </c>
      <c r="L758" s="2" t="s">
        <v>29</v>
      </c>
      <c r="M758" s="2" t="s">
        <v>745</v>
      </c>
      <c r="N758" s="2" t="s">
        <v>234</v>
      </c>
      <c r="O758" s="4">
        <v>2195</v>
      </c>
      <c r="P758" s="2" t="s">
        <v>5221</v>
      </c>
      <c r="Q758" s="2" t="s">
        <v>49</v>
      </c>
      <c r="R758" s="2" t="s">
        <v>5222</v>
      </c>
      <c r="S758" s="2" t="s">
        <v>5223</v>
      </c>
      <c r="T758" s="2" t="s">
        <v>5224</v>
      </c>
      <c r="U758" s="2" t="s">
        <v>5225</v>
      </c>
      <c r="V758" s="2" t="s">
        <v>5226</v>
      </c>
    </row>
    <row r="759" spans="1:22">
      <c r="A759" s="2" t="s">
        <v>5227</v>
      </c>
      <c r="B759" s="2" t="s">
        <v>5228</v>
      </c>
      <c r="C759" s="2" t="s">
        <v>5229</v>
      </c>
      <c r="D759" s="2">
        <v>2024</v>
      </c>
      <c r="E759" s="3">
        <v>45471</v>
      </c>
      <c r="F759" s="2" t="s">
        <v>3389</v>
      </c>
      <c r="G759" s="2">
        <v>9</v>
      </c>
      <c r="H759" s="2" t="s">
        <v>43</v>
      </c>
      <c r="I759" s="2" t="s">
        <v>43</v>
      </c>
      <c r="J759" s="2" t="s">
        <v>3390</v>
      </c>
      <c r="K759" s="2" t="s">
        <v>3391</v>
      </c>
      <c r="L759" s="2" t="s">
        <v>1867</v>
      </c>
      <c r="M759" s="2" t="s">
        <v>3416</v>
      </c>
      <c r="N759" s="2" t="s">
        <v>5065</v>
      </c>
      <c r="O759" s="2" t="s">
        <v>3204</v>
      </c>
      <c r="P759" s="2" t="s">
        <v>5230</v>
      </c>
      <c r="Q759" s="2" t="s">
        <v>33</v>
      </c>
      <c r="R759" s="2" t="s">
        <v>5231</v>
      </c>
      <c r="S759" s="2" t="s">
        <v>79</v>
      </c>
      <c r="T759" s="5">
        <v>601053680000000</v>
      </c>
      <c r="U759" s="2" t="s">
        <v>79</v>
      </c>
      <c r="V759" s="2" t="s">
        <v>80</v>
      </c>
    </row>
    <row r="760" spans="1:22">
      <c r="A760" s="2" t="s">
        <v>5232</v>
      </c>
      <c r="B760" s="2" t="s">
        <v>5228</v>
      </c>
      <c r="C760" s="2" t="s">
        <v>5229</v>
      </c>
      <c r="D760" s="2">
        <v>2024</v>
      </c>
      <c r="E760" s="3">
        <v>45471</v>
      </c>
      <c r="F760" s="2" t="s">
        <v>3389</v>
      </c>
      <c r="G760" s="2">
        <v>9</v>
      </c>
      <c r="H760" s="2" t="s">
        <v>43</v>
      </c>
      <c r="I760" s="2" t="s">
        <v>43</v>
      </c>
      <c r="J760" s="2" t="s">
        <v>3390</v>
      </c>
      <c r="K760" s="2" t="s">
        <v>3391</v>
      </c>
      <c r="L760" s="2" t="s">
        <v>1867</v>
      </c>
      <c r="M760" s="2" t="s">
        <v>3416</v>
      </c>
      <c r="N760" s="2" t="s">
        <v>5065</v>
      </c>
      <c r="O760" s="2" t="s">
        <v>3204</v>
      </c>
      <c r="P760" s="2" t="s">
        <v>5230</v>
      </c>
      <c r="Q760" s="2" t="s">
        <v>33</v>
      </c>
      <c r="R760" s="2" t="s">
        <v>5231</v>
      </c>
      <c r="S760" s="2" t="s">
        <v>79</v>
      </c>
      <c r="T760" s="5">
        <v>601053680000000</v>
      </c>
      <c r="U760" s="2" t="s">
        <v>79</v>
      </c>
      <c r="V760" s="2" t="s">
        <v>80</v>
      </c>
    </row>
    <row r="761" spans="1:22">
      <c r="A761" s="2" t="s">
        <v>5233</v>
      </c>
      <c r="B761" s="2" t="s">
        <v>5228</v>
      </c>
      <c r="C761" s="2" t="s">
        <v>5229</v>
      </c>
      <c r="D761" s="2">
        <v>2024</v>
      </c>
      <c r="E761" s="3">
        <v>45471</v>
      </c>
      <c r="F761" s="2" t="s">
        <v>3389</v>
      </c>
      <c r="G761" s="2">
        <v>9</v>
      </c>
      <c r="H761" s="2" t="s">
        <v>43</v>
      </c>
      <c r="I761" s="2" t="s">
        <v>43</v>
      </c>
      <c r="J761" s="2" t="s">
        <v>3390</v>
      </c>
      <c r="K761" s="2" t="s">
        <v>3391</v>
      </c>
      <c r="L761" s="2" t="s">
        <v>1867</v>
      </c>
      <c r="M761" s="2" t="s">
        <v>3416</v>
      </c>
      <c r="N761" s="2" t="s">
        <v>5065</v>
      </c>
      <c r="O761" s="2" t="s">
        <v>3204</v>
      </c>
      <c r="P761" s="2" t="s">
        <v>5230</v>
      </c>
      <c r="Q761" s="2" t="s">
        <v>33</v>
      </c>
      <c r="R761" s="2" t="s">
        <v>5231</v>
      </c>
      <c r="S761" s="2" t="s">
        <v>79</v>
      </c>
      <c r="T761" s="5">
        <v>601053680000000</v>
      </c>
      <c r="U761" s="2" t="s">
        <v>79</v>
      </c>
      <c r="V761" s="2" t="s">
        <v>80</v>
      </c>
    </row>
    <row r="762" spans="1:22">
      <c r="A762" s="2" t="s">
        <v>834</v>
      </c>
      <c r="B762" s="2" t="s">
        <v>5234</v>
      </c>
      <c r="C762" s="2" t="s">
        <v>5235</v>
      </c>
      <c r="D762" s="2">
        <v>2025</v>
      </c>
      <c r="E762" s="3">
        <v>45658</v>
      </c>
      <c r="F762" s="2" t="s">
        <v>4161</v>
      </c>
      <c r="G762" s="2">
        <v>40</v>
      </c>
      <c r="H762" s="2">
        <v>1</v>
      </c>
      <c r="I762" s="2" t="s">
        <v>5236</v>
      </c>
      <c r="J762" s="2" t="s">
        <v>4163</v>
      </c>
      <c r="K762" s="2" t="s">
        <v>772</v>
      </c>
      <c r="L762" s="2" t="s">
        <v>773</v>
      </c>
      <c r="M762" s="2" t="s">
        <v>3416</v>
      </c>
      <c r="N762" s="2" t="s">
        <v>4165</v>
      </c>
      <c r="O762" s="2" t="s">
        <v>5237</v>
      </c>
      <c r="P762" s="2" t="s">
        <v>5238</v>
      </c>
      <c r="Q762" s="2" t="s">
        <v>33</v>
      </c>
      <c r="R762" s="2" t="s">
        <v>5239</v>
      </c>
      <c r="S762" s="2" t="s">
        <v>5240</v>
      </c>
      <c r="T762" s="2" t="s">
        <v>5241</v>
      </c>
      <c r="U762" s="2" t="s">
        <v>5242</v>
      </c>
      <c r="V762" s="2" t="s">
        <v>80</v>
      </c>
    </row>
    <row r="763" spans="1:22" ht="28.8">
      <c r="A763" s="2" t="s">
        <v>5243</v>
      </c>
      <c r="B763" s="2" t="s">
        <v>5244</v>
      </c>
      <c r="C763" s="2" t="s">
        <v>5245</v>
      </c>
      <c r="D763" s="2">
        <v>2025</v>
      </c>
      <c r="E763" s="3">
        <v>45992</v>
      </c>
      <c r="F763" s="2" t="s">
        <v>5246</v>
      </c>
      <c r="G763" s="2">
        <v>44</v>
      </c>
      <c r="H763" s="2" t="s">
        <v>43</v>
      </c>
      <c r="I763" s="2" t="s">
        <v>43</v>
      </c>
      <c r="J763" s="2" t="s">
        <v>5247</v>
      </c>
      <c r="K763" s="2" t="s">
        <v>103</v>
      </c>
      <c r="L763" s="2" t="s">
        <v>29</v>
      </c>
      <c r="M763" s="2" t="s">
        <v>1463</v>
      </c>
      <c r="N763" s="2" t="s">
        <v>234</v>
      </c>
      <c r="O763" s="2" t="s">
        <v>5248</v>
      </c>
      <c r="P763" s="2" t="s">
        <v>5249</v>
      </c>
      <c r="Q763" s="2" t="s">
        <v>33</v>
      </c>
      <c r="R763" s="2" t="s">
        <v>5250</v>
      </c>
      <c r="S763" s="2" t="s">
        <v>5251</v>
      </c>
      <c r="T763" s="2" t="s">
        <v>5252</v>
      </c>
      <c r="U763" s="2" t="s">
        <v>5253</v>
      </c>
      <c r="V763" s="2" t="s">
        <v>1249</v>
      </c>
    </row>
    <row r="764" spans="1:22">
      <c r="A764" s="2" t="s">
        <v>5254</v>
      </c>
      <c r="B764" s="2" t="s">
        <v>5255</v>
      </c>
      <c r="C764" s="2" t="s">
        <v>5256</v>
      </c>
      <c r="D764" s="2">
        <v>2024</v>
      </c>
      <c r="E764" s="3">
        <v>45566</v>
      </c>
      <c r="F764" s="2" t="s">
        <v>5257</v>
      </c>
      <c r="G764" s="2">
        <v>130</v>
      </c>
      <c r="H764" s="2">
        <v>5</v>
      </c>
      <c r="I764" s="2" t="s">
        <v>5258</v>
      </c>
      <c r="J764" s="2" t="s">
        <v>5259</v>
      </c>
      <c r="K764" s="2" t="s">
        <v>119</v>
      </c>
      <c r="L764" s="2" t="s">
        <v>29</v>
      </c>
      <c r="M764" s="2" t="s">
        <v>2040</v>
      </c>
      <c r="N764" s="2" t="s">
        <v>1544</v>
      </c>
      <c r="O764" s="2" t="s">
        <v>5260</v>
      </c>
      <c r="P764" s="2" t="s">
        <v>5261</v>
      </c>
      <c r="Q764" s="2" t="s">
        <v>33</v>
      </c>
      <c r="R764" s="2" t="s">
        <v>5262</v>
      </c>
      <c r="S764" s="2" t="s">
        <v>5263</v>
      </c>
      <c r="T764" s="2" t="s">
        <v>5264</v>
      </c>
      <c r="U764" s="2" t="s">
        <v>5265</v>
      </c>
      <c r="V764" s="2" t="s">
        <v>621</v>
      </c>
    </row>
    <row r="765" spans="1:22">
      <c r="A765" s="2" t="s">
        <v>5266</v>
      </c>
      <c r="B765" s="2" t="s">
        <v>5267</v>
      </c>
      <c r="C765" s="2" t="s">
        <v>5268</v>
      </c>
      <c r="D765" s="2">
        <v>2024</v>
      </c>
      <c r="E765" s="3">
        <v>45536</v>
      </c>
      <c r="F765" s="2" t="s">
        <v>3473</v>
      </c>
      <c r="G765" s="2">
        <v>25</v>
      </c>
      <c r="H765" s="2">
        <v>5</v>
      </c>
      <c r="I765" s="2" t="s">
        <v>43</v>
      </c>
      <c r="J765" s="2" t="s">
        <v>3474</v>
      </c>
      <c r="K765" s="2" t="s">
        <v>392</v>
      </c>
      <c r="L765" s="2" t="s">
        <v>773</v>
      </c>
      <c r="M765" s="2" t="s">
        <v>3475</v>
      </c>
      <c r="N765" s="2" t="s">
        <v>1136</v>
      </c>
      <c r="O765" s="2" t="s">
        <v>3476</v>
      </c>
      <c r="P765" s="2" t="s">
        <v>5269</v>
      </c>
      <c r="Q765" s="2" t="s">
        <v>33</v>
      </c>
      <c r="R765" s="2" t="s">
        <v>5270</v>
      </c>
      <c r="S765" s="2" t="s">
        <v>5271</v>
      </c>
      <c r="T765" s="2" t="s">
        <v>5272</v>
      </c>
      <c r="U765" s="2" t="s">
        <v>5273</v>
      </c>
      <c r="V765" s="2" t="s">
        <v>80</v>
      </c>
    </row>
    <row r="766" spans="1:22">
      <c r="A766" s="2" t="s">
        <v>5274</v>
      </c>
      <c r="B766" s="2" t="s">
        <v>5267</v>
      </c>
      <c r="C766" s="2" t="s">
        <v>5268</v>
      </c>
      <c r="D766" s="2">
        <v>2024</v>
      </c>
      <c r="E766" s="3">
        <v>45536</v>
      </c>
      <c r="F766" s="2" t="s">
        <v>3473</v>
      </c>
      <c r="G766" s="2">
        <v>25</v>
      </c>
      <c r="H766" s="2">
        <v>5</v>
      </c>
      <c r="I766" s="2" t="s">
        <v>43</v>
      </c>
      <c r="J766" s="2" t="s">
        <v>3474</v>
      </c>
      <c r="K766" s="2" t="s">
        <v>392</v>
      </c>
      <c r="L766" s="2" t="s">
        <v>773</v>
      </c>
      <c r="M766" s="2" t="s">
        <v>3475</v>
      </c>
      <c r="N766" s="2" t="s">
        <v>1136</v>
      </c>
      <c r="O766" s="2" t="s">
        <v>3476</v>
      </c>
      <c r="P766" s="2" t="s">
        <v>5269</v>
      </c>
      <c r="Q766" s="2" t="s">
        <v>33</v>
      </c>
      <c r="R766" s="2" t="s">
        <v>5270</v>
      </c>
      <c r="S766" s="2" t="s">
        <v>5271</v>
      </c>
      <c r="T766" s="2" t="s">
        <v>5272</v>
      </c>
      <c r="U766" s="2" t="s">
        <v>5273</v>
      </c>
      <c r="V766" s="2" t="s">
        <v>80</v>
      </c>
    </row>
    <row r="767" spans="1:22">
      <c r="A767" s="2" t="s">
        <v>5275</v>
      </c>
      <c r="B767" s="2" t="s">
        <v>5276</v>
      </c>
      <c r="C767" s="2" t="s">
        <v>5277</v>
      </c>
      <c r="D767" s="2">
        <v>2024</v>
      </c>
      <c r="E767" s="3">
        <v>45292</v>
      </c>
      <c r="F767" s="2" t="s">
        <v>5278</v>
      </c>
      <c r="G767" s="2">
        <v>36</v>
      </c>
      <c r="H767" s="2">
        <v>3</v>
      </c>
      <c r="I767" s="2" t="s">
        <v>5279</v>
      </c>
      <c r="J767" s="2" t="s">
        <v>5280</v>
      </c>
      <c r="K767" s="2" t="s">
        <v>5281</v>
      </c>
      <c r="L767" s="2" t="s">
        <v>1867</v>
      </c>
      <c r="M767" s="2" t="s">
        <v>3203</v>
      </c>
      <c r="N767" s="2" t="s">
        <v>807</v>
      </c>
      <c r="O767" s="2" t="s">
        <v>5282</v>
      </c>
      <c r="P767" s="2" t="s">
        <v>5283</v>
      </c>
      <c r="Q767" s="2" t="s">
        <v>33</v>
      </c>
      <c r="R767" s="2" t="s">
        <v>5284</v>
      </c>
      <c r="S767" s="2" t="s">
        <v>398</v>
      </c>
      <c r="T767" s="2" t="s">
        <v>4978</v>
      </c>
      <c r="U767" s="2" t="s">
        <v>398</v>
      </c>
      <c r="V767" s="2" t="s">
        <v>80</v>
      </c>
    </row>
    <row r="768" spans="1:22">
      <c r="A768" s="2" t="s">
        <v>5285</v>
      </c>
      <c r="B768" s="2" t="s">
        <v>5286</v>
      </c>
      <c r="C768" s="2" t="s">
        <v>5287</v>
      </c>
      <c r="D768" s="2">
        <v>2025</v>
      </c>
      <c r="E768" s="3">
        <v>45658</v>
      </c>
      <c r="F768" s="2" t="s">
        <v>5288</v>
      </c>
      <c r="G768" s="2" t="s">
        <v>43</v>
      </c>
      <c r="H768" s="2" t="s">
        <v>43</v>
      </c>
      <c r="I768" s="2" t="s">
        <v>43</v>
      </c>
      <c r="J768" s="2" t="s">
        <v>5289</v>
      </c>
      <c r="K768" s="2" t="s">
        <v>666</v>
      </c>
      <c r="L768" s="2" t="s">
        <v>29</v>
      </c>
      <c r="M768" s="2" t="s">
        <v>3203</v>
      </c>
      <c r="N768" s="2" t="s">
        <v>1581</v>
      </c>
      <c r="O768" s="2" t="s">
        <v>4166</v>
      </c>
      <c r="P768" s="2" t="s">
        <v>5290</v>
      </c>
      <c r="Q768" s="2" t="s">
        <v>33</v>
      </c>
      <c r="R768" s="2" t="s">
        <v>5291</v>
      </c>
      <c r="S768" s="2" t="s">
        <v>3289</v>
      </c>
      <c r="T768" s="2" t="s">
        <v>3290</v>
      </c>
      <c r="U768" s="2" t="s">
        <v>3291</v>
      </c>
      <c r="V768" s="2" t="s">
        <v>594</v>
      </c>
    </row>
    <row r="769" spans="1:22" ht="28.8">
      <c r="A769" s="2" t="s">
        <v>5098</v>
      </c>
      <c r="B769" s="2" t="s">
        <v>5292</v>
      </c>
      <c r="C769" s="2" t="s">
        <v>5293</v>
      </c>
      <c r="D769" s="2">
        <v>2025</v>
      </c>
      <c r="E769" s="3">
        <v>45658</v>
      </c>
      <c r="F769" s="2" t="s">
        <v>4678</v>
      </c>
      <c r="G769" s="2">
        <v>28</v>
      </c>
      <c r="H769" s="2">
        <v>5</v>
      </c>
      <c r="I769" s="2" t="s">
        <v>5294</v>
      </c>
      <c r="J769" s="2" t="s">
        <v>4680</v>
      </c>
      <c r="K769" s="2" t="s">
        <v>1134</v>
      </c>
      <c r="L769" s="2" t="s">
        <v>29</v>
      </c>
      <c r="M769" s="2" t="s">
        <v>121</v>
      </c>
      <c r="N769" s="2" t="s">
        <v>247</v>
      </c>
      <c r="O769" s="4">
        <v>1094</v>
      </c>
      <c r="P769" s="2" t="s">
        <v>5295</v>
      </c>
      <c r="Q769" s="2" t="s">
        <v>49</v>
      </c>
      <c r="R769" s="2" t="s">
        <v>5296</v>
      </c>
      <c r="S769" s="2" t="s">
        <v>5297</v>
      </c>
      <c r="T769" s="2" t="s">
        <v>5298</v>
      </c>
      <c r="U769" s="2" t="s">
        <v>5299</v>
      </c>
      <c r="V769" s="2" t="s">
        <v>5300</v>
      </c>
    </row>
    <row r="770" spans="1:22">
      <c r="A770" s="2" t="s">
        <v>635</v>
      </c>
      <c r="B770" s="2" t="s">
        <v>5301</v>
      </c>
      <c r="C770" s="2" t="s">
        <v>5014</v>
      </c>
      <c r="D770" s="2">
        <v>2025</v>
      </c>
      <c r="E770" s="3">
        <v>45839</v>
      </c>
      <c r="F770" s="2" t="s">
        <v>3046</v>
      </c>
      <c r="G770" s="2">
        <v>96</v>
      </c>
      <c r="H770" s="2">
        <v>4</v>
      </c>
      <c r="I770" s="2" t="s">
        <v>43</v>
      </c>
      <c r="J770" s="2" t="s">
        <v>3048</v>
      </c>
      <c r="K770" s="2" t="s">
        <v>3049</v>
      </c>
      <c r="L770" s="2" t="s">
        <v>1867</v>
      </c>
      <c r="M770" s="2" t="s">
        <v>1919</v>
      </c>
      <c r="N770" s="2" t="s">
        <v>3050</v>
      </c>
      <c r="O770" s="2" t="s">
        <v>3051</v>
      </c>
      <c r="P770" s="2" t="s">
        <v>5302</v>
      </c>
      <c r="Q770" s="2" t="s">
        <v>33</v>
      </c>
      <c r="R770" s="2" t="s">
        <v>5303</v>
      </c>
      <c r="S770" s="2" t="s">
        <v>79</v>
      </c>
      <c r="T770" s="2" t="s">
        <v>3054</v>
      </c>
      <c r="U770" s="2" t="s">
        <v>3055</v>
      </c>
      <c r="V770" s="2" t="s">
        <v>80</v>
      </c>
    </row>
    <row r="771" spans="1:22">
      <c r="A771" s="2" t="s">
        <v>5304</v>
      </c>
      <c r="B771" s="2" t="s">
        <v>5305</v>
      </c>
      <c r="C771" s="2" t="s">
        <v>5306</v>
      </c>
      <c r="D771" s="2">
        <v>2025</v>
      </c>
      <c r="E771" s="3">
        <v>45658</v>
      </c>
      <c r="F771" s="2" t="s">
        <v>3000</v>
      </c>
      <c r="G771" s="2">
        <v>2025</v>
      </c>
      <c r="H771" s="2">
        <v>179</v>
      </c>
      <c r="I771" s="7">
        <v>14489</v>
      </c>
      <c r="J771" s="2" t="s">
        <v>3001</v>
      </c>
      <c r="K771" s="2" t="s">
        <v>3002</v>
      </c>
      <c r="L771" s="2" t="s">
        <v>1867</v>
      </c>
      <c r="M771" s="2" t="s">
        <v>3357</v>
      </c>
      <c r="N771" s="2" t="s">
        <v>3079</v>
      </c>
      <c r="O771" s="2" t="s">
        <v>43</v>
      </c>
      <c r="P771" s="2" t="s">
        <v>5307</v>
      </c>
      <c r="Q771" s="2" t="s">
        <v>33</v>
      </c>
      <c r="R771" s="2" t="s">
        <v>5308</v>
      </c>
      <c r="S771" s="2" t="s">
        <v>79</v>
      </c>
      <c r="T771" s="5">
        <v>601053680000000</v>
      </c>
      <c r="U771" s="2" t="s">
        <v>79</v>
      </c>
      <c r="V771" s="2" t="s">
        <v>80</v>
      </c>
    </row>
    <row r="772" spans="1:22">
      <c r="B772" s="2" t="s">
        <v>5309</v>
      </c>
      <c r="C772" s="2" t="s">
        <v>5310</v>
      </c>
      <c r="D772" s="2">
        <v>2024</v>
      </c>
      <c r="E772" s="3">
        <v>45292</v>
      </c>
      <c r="F772" s="2" t="s">
        <v>1421</v>
      </c>
      <c r="G772" s="2" t="s">
        <v>43</v>
      </c>
      <c r="H772" s="2" t="s">
        <v>43</v>
      </c>
      <c r="I772" s="2" t="s">
        <v>5311</v>
      </c>
      <c r="J772" s="2" t="s">
        <v>43</v>
      </c>
      <c r="K772" s="2" t="s">
        <v>1423</v>
      </c>
      <c r="L772" s="2" t="s">
        <v>29</v>
      </c>
      <c r="M772" s="2" t="s">
        <v>43</v>
      </c>
      <c r="N772" s="2" t="s">
        <v>43</v>
      </c>
      <c r="O772" s="2" t="s">
        <v>43</v>
      </c>
      <c r="P772" s="2" t="s">
        <v>43</v>
      </c>
      <c r="Q772" s="2" t="s">
        <v>1125</v>
      </c>
      <c r="R772" s="2" t="s">
        <v>5312</v>
      </c>
      <c r="S772" s="2" t="s">
        <v>5313</v>
      </c>
      <c r="T772" s="2" t="s">
        <v>5314</v>
      </c>
      <c r="U772" s="2" t="s">
        <v>5315</v>
      </c>
      <c r="V772" s="2" t="s">
        <v>141</v>
      </c>
    </row>
    <row r="773" spans="1:22">
      <c r="A773" s="2" t="s">
        <v>5316</v>
      </c>
      <c r="B773" s="2" t="s">
        <v>5317</v>
      </c>
      <c r="C773" s="2" t="s">
        <v>5318</v>
      </c>
      <c r="D773" s="2">
        <v>2025</v>
      </c>
      <c r="E773" s="3">
        <v>45901</v>
      </c>
      <c r="F773" s="2" t="s">
        <v>5319</v>
      </c>
      <c r="G773" s="2">
        <v>49</v>
      </c>
      <c r="H773" s="2">
        <v>18</v>
      </c>
      <c r="I773" s="2" t="s">
        <v>5320</v>
      </c>
      <c r="J773" s="2" t="s">
        <v>5321</v>
      </c>
      <c r="K773" s="2" t="s">
        <v>1624</v>
      </c>
      <c r="L773" s="2" t="s">
        <v>29</v>
      </c>
      <c r="M773" s="2" t="s">
        <v>2052</v>
      </c>
      <c r="N773" s="2" t="s">
        <v>331</v>
      </c>
      <c r="O773" s="2" t="s">
        <v>5322</v>
      </c>
      <c r="P773" s="2" t="s">
        <v>5323</v>
      </c>
      <c r="Q773" s="2" t="s">
        <v>49</v>
      </c>
      <c r="R773" s="2" t="s">
        <v>5324</v>
      </c>
      <c r="S773" s="2" t="s">
        <v>79</v>
      </c>
      <c r="T773" s="5">
        <v>601053680000000</v>
      </c>
      <c r="U773" s="2" t="s">
        <v>79</v>
      </c>
      <c r="V773" s="2" t="s">
        <v>80</v>
      </c>
    </row>
    <row r="774" spans="1:22">
      <c r="A774" s="2" t="s">
        <v>5325</v>
      </c>
      <c r="B774" s="2" t="s">
        <v>5317</v>
      </c>
      <c r="C774" s="2" t="s">
        <v>5318</v>
      </c>
      <c r="D774" s="2">
        <v>2025</v>
      </c>
      <c r="E774" s="3">
        <v>45901</v>
      </c>
      <c r="F774" s="2" t="s">
        <v>5319</v>
      </c>
      <c r="G774" s="2">
        <v>49</v>
      </c>
      <c r="H774" s="2">
        <v>18</v>
      </c>
      <c r="I774" s="2" t="s">
        <v>5320</v>
      </c>
      <c r="J774" s="2" t="s">
        <v>5321</v>
      </c>
      <c r="K774" s="2" t="s">
        <v>1624</v>
      </c>
      <c r="L774" s="2" t="s">
        <v>29</v>
      </c>
      <c r="M774" s="2" t="s">
        <v>2052</v>
      </c>
      <c r="N774" s="2" t="s">
        <v>331</v>
      </c>
      <c r="O774" s="2" t="s">
        <v>5322</v>
      </c>
      <c r="P774" s="2" t="s">
        <v>5323</v>
      </c>
      <c r="Q774" s="2" t="s">
        <v>49</v>
      </c>
      <c r="R774" s="2" t="s">
        <v>5324</v>
      </c>
      <c r="S774" s="2" t="s">
        <v>79</v>
      </c>
      <c r="T774" s="5">
        <v>601053680000000</v>
      </c>
      <c r="U774" s="2" t="s">
        <v>79</v>
      </c>
      <c r="V774" s="2" t="s">
        <v>80</v>
      </c>
    </row>
    <row r="775" spans="1:22">
      <c r="A775" s="2" t="s">
        <v>5326</v>
      </c>
      <c r="B775" s="2" t="s">
        <v>5317</v>
      </c>
      <c r="C775" s="2" t="s">
        <v>5318</v>
      </c>
      <c r="D775" s="2">
        <v>2025</v>
      </c>
      <c r="E775" s="3">
        <v>45901</v>
      </c>
      <c r="F775" s="2" t="s">
        <v>5319</v>
      </c>
      <c r="G775" s="2">
        <v>49</v>
      </c>
      <c r="H775" s="2">
        <v>18</v>
      </c>
      <c r="I775" s="2" t="s">
        <v>5320</v>
      </c>
      <c r="J775" s="2" t="s">
        <v>5321</v>
      </c>
      <c r="K775" s="2" t="s">
        <v>1624</v>
      </c>
      <c r="L775" s="2" t="s">
        <v>29</v>
      </c>
      <c r="M775" s="2" t="s">
        <v>2052</v>
      </c>
      <c r="N775" s="2" t="s">
        <v>331</v>
      </c>
      <c r="O775" s="2" t="s">
        <v>5322</v>
      </c>
      <c r="P775" s="2" t="s">
        <v>5323</v>
      </c>
      <c r="Q775" s="2" t="s">
        <v>49</v>
      </c>
      <c r="R775" s="2" t="s">
        <v>5324</v>
      </c>
      <c r="S775" s="2" t="s">
        <v>79</v>
      </c>
      <c r="T775" s="5">
        <v>601053680000000</v>
      </c>
      <c r="U775" s="2" t="s">
        <v>79</v>
      </c>
      <c r="V775" s="2" t="s">
        <v>80</v>
      </c>
    </row>
    <row r="776" spans="1:22">
      <c r="A776" s="2" t="s">
        <v>5327</v>
      </c>
      <c r="B776" s="2" t="s">
        <v>5317</v>
      </c>
      <c r="C776" s="2" t="s">
        <v>5318</v>
      </c>
      <c r="D776" s="2">
        <v>2025</v>
      </c>
      <c r="E776" s="3">
        <v>45901</v>
      </c>
      <c r="F776" s="2" t="s">
        <v>5319</v>
      </c>
      <c r="G776" s="2">
        <v>49</v>
      </c>
      <c r="H776" s="2">
        <v>18</v>
      </c>
      <c r="I776" s="2" t="s">
        <v>5320</v>
      </c>
      <c r="J776" s="2" t="s">
        <v>5321</v>
      </c>
      <c r="K776" s="2" t="s">
        <v>1624</v>
      </c>
      <c r="L776" s="2" t="s">
        <v>29</v>
      </c>
      <c r="M776" s="2" t="s">
        <v>2052</v>
      </c>
      <c r="N776" s="2" t="s">
        <v>331</v>
      </c>
      <c r="O776" s="2" t="s">
        <v>5322</v>
      </c>
      <c r="P776" s="2" t="s">
        <v>5323</v>
      </c>
      <c r="Q776" s="2" t="s">
        <v>49</v>
      </c>
      <c r="R776" s="2" t="s">
        <v>5324</v>
      </c>
      <c r="S776" s="2" t="s">
        <v>79</v>
      </c>
      <c r="T776" s="5">
        <v>601053680000000</v>
      </c>
      <c r="U776" s="2" t="s">
        <v>79</v>
      </c>
      <c r="V776" s="2" t="s">
        <v>80</v>
      </c>
    </row>
    <row r="777" spans="1:22">
      <c r="A777" s="2" t="s">
        <v>5328</v>
      </c>
      <c r="B777" s="2" t="s">
        <v>5317</v>
      </c>
      <c r="C777" s="2" t="s">
        <v>5318</v>
      </c>
      <c r="D777" s="2">
        <v>2025</v>
      </c>
      <c r="E777" s="3">
        <v>45901</v>
      </c>
      <c r="F777" s="2" t="s">
        <v>5319</v>
      </c>
      <c r="G777" s="2">
        <v>49</v>
      </c>
      <c r="H777" s="2">
        <v>18</v>
      </c>
      <c r="I777" s="2" t="s">
        <v>5320</v>
      </c>
      <c r="J777" s="2" t="s">
        <v>5321</v>
      </c>
      <c r="K777" s="2" t="s">
        <v>1624</v>
      </c>
      <c r="L777" s="2" t="s">
        <v>29</v>
      </c>
      <c r="M777" s="2" t="s">
        <v>2052</v>
      </c>
      <c r="N777" s="2" t="s">
        <v>331</v>
      </c>
      <c r="O777" s="2" t="s">
        <v>5322</v>
      </c>
      <c r="P777" s="2" t="s">
        <v>5323</v>
      </c>
      <c r="Q777" s="2" t="s">
        <v>49</v>
      </c>
      <c r="R777" s="2" t="s">
        <v>5324</v>
      </c>
      <c r="S777" s="2" t="s">
        <v>79</v>
      </c>
      <c r="T777" s="5">
        <v>601053680000000</v>
      </c>
      <c r="U777" s="2" t="s">
        <v>79</v>
      </c>
      <c r="V777" s="2" t="s">
        <v>80</v>
      </c>
    </row>
    <row r="778" spans="1:22">
      <c r="A778" s="2" t="s">
        <v>5329</v>
      </c>
      <c r="B778" s="2" t="s">
        <v>5317</v>
      </c>
      <c r="C778" s="2" t="s">
        <v>5318</v>
      </c>
      <c r="D778" s="2">
        <v>2025</v>
      </c>
      <c r="E778" s="3">
        <v>45901</v>
      </c>
      <c r="F778" s="2" t="s">
        <v>5319</v>
      </c>
      <c r="G778" s="2">
        <v>49</v>
      </c>
      <c r="H778" s="2">
        <v>18</v>
      </c>
      <c r="I778" s="2" t="s">
        <v>5320</v>
      </c>
      <c r="J778" s="2" t="s">
        <v>5321</v>
      </c>
      <c r="K778" s="2" t="s">
        <v>1624</v>
      </c>
      <c r="L778" s="2" t="s">
        <v>29</v>
      </c>
      <c r="M778" s="2" t="s">
        <v>2052</v>
      </c>
      <c r="N778" s="2" t="s">
        <v>331</v>
      </c>
      <c r="O778" s="2" t="s">
        <v>5322</v>
      </c>
      <c r="P778" s="2" t="s">
        <v>5323</v>
      </c>
      <c r="Q778" s="2" t="s">
        <v>49</v>
      </c>
      <c r="R778" s="2" t="s">
        <v>5324</v>
      </c>
      <c r="S778" s="2" t="s">
        <v>79</v>
      </c>
      <c r="T778" s="5">
        <v>601053680000000</v>
      </c>
      <c r="U778" s="2" t="s">
        <v>79</v>
      </c>
      <c r="V778" s="2" t="s">
        <v>80</v>
      </c>
    </row>
    <row r="779" spans="1:22">
      <c r="A779" s="2" t="s">
        <v>5199</v>
      </c>
      <c r="B779" s="2" t="s">
        <v>5330</v>
      </c>
      <c r="C779" s="2" t="s">
        <v>5201</v>
      </c>
      <c r="D779" s="2">
        <v>2025</v>
      </c>
      <c r="E779" s="3">
        <v>45658</v>
      </c>
      <c r="F779" s="2" t="s">
        <v>3413</v>
      </c>
      <c r="G779" s="2" t="s">
        <v>43</v>
      </c>
      <c r="H779" s="2">
        <v>44</v>
      </c>
      <c r="I779" s="2" t="s">
        <v>5331</v>
      </c>
      <c r="J779" s="2" t="s">
        <v>3415</v>
      </c>
      <c r="K779" s="2" t="s">
        <v>2768</v>
      </c>
      <c r="L779" s="2" t="s">
        <v>773</v>
      </c>
      <c r="M779" s="2" t="s">
        <v>3416</v>
      </c>
      <c r="N779" s="2" t="s">
        <v>2407</v>
      </c>
      <c r="O779" s="2" t="s">
        <v>3417</v>
      </c>
      <c r="P779" s="2" t="s">
        <v>5332</v>
      </c>
      <c r="Q779" s="2" t="s">
        <v>33</v>
      </c>
      <c r="R779" s="2" t="s">
        <v>5333</v>
      </c>
      <c r="S779" s="2" t="s">
        <v>79</v>
      </c>
      <c r="T779" s="5">
        <v>601053680000000</v>
      </c>
      <c r="U779" s="2" t="s">
        <v>79</v>
      </c>
      <c r="V779" s="2" t="s">
        <v>80</v>
      </c>
    </row>
    <row r="780" spans="1:22">
      <c r="A780" s="2" t="s">
        <v>386</v>
      </c>
      <c r="B780" s="2" t="s">
        <v>5334</v>
      </c>
      <c r="C780" s="2" t="s">
        <v>388</v>
      </c>
      <c r="D780" s="2">
        <v>2024</v>
      </c>
      <c r="E780" s="3">
        <v>45597</v>
      </c>
      <c r="F780" s="2" t="s">
        <v>4161</v>
      </c>
      <c r="G780" s="2">
        <v>39</v>
      </c>
      <c r="H780" s="2">
        <v>9</v>
      </c>
      <c r="I780" s="2" t="s">
        <v>5335</v>
      </c>
      <c r="J780" s="2" t="s">
        <v>4163</v>
      </c>
      <c r="K780" s="2" t="s">
        <v>772</v>
      </c>
      <c r="L780" s="2" t="s">
        <v>773</v>
      </c>
      <c r="M780" s="2" t="s">
        <v>3416</v>
      </c>
      <c r="N780" s="2" t="s">
        <v>4165</v>
      </c>
      <c r="O780" s="2" t="s">
        <v>4166</v>
      </c>
      <c r="P780" s="2" t="s">
        <v>5336</v>
      </c>
      <c r="Q780" s="2" t="s">
        <v>49</v>
      </c>
      <c r="R780" s="2" t="s">
        <v>5337</v>
      </c>
      <c r="S780" s="2" t="s">
        <v>398</v>
      </c>
      <c r="T780" s="2" t="s">
        <v>399</v>
      </c>
      <c r="U780" s="2" t="s">
        <v>400</v>
      </c>
      <c r="V780" s="2" t="s">
        <v>80</v>
      </c>
    </row>
    <row r="781" spans="1:22">
      <c r="A781" s="2" t="s">
        <v>864</v>
      </c>
      <c r="B781" s="2" t="s">
        <v>5338</v>
      </c>
      <c r="C781" s="2" t="s">
        <v>5339</v>
      </c>
      <c r="D781" s="2">
        <v>2025</v>
      </c>
      <c r="E781" s="3">
        <v>45658</v>
      </c>
      <c r="F781" s="2" t="s">
        <v>5340</v>
      </c>
      <c r="G781" s="2" t="s">
        <v>43</v>
      </c>
      <c r="H781" s="2" t="s">
        <v>43</v>
      </c>
      <c r="I781" s="2" t="s">
        <v>5341</v>
      </c>
      <c r="J781" s="2" t="s">
        <v>43</v>
      </c>
      <c r="K781" s="2" t="s">
        <v>4265</v>
      </c>
      <c r="L781" s="2" t="s">
        <v>29</v>
      </c>
      <c r="M781" s="2" t="s">
        <v>43</v>
      </c>
      <c r="N781" s="2" t="s">
        <v>43</v>
      </c>
      <c r="O781" s="2" t="s">
        <v>43</v>
      </c>
      <c r="P781" s="2" t="s">
        <v>5342</v>
      </c>
      <c r="Q781" s="2" t="s">
        <v>1125</v>
      </c>
      <c r="R781" s="2" t="s">
        <v>5343</v>
      </c>
      <c r="S781" s="2" t="s">
        <v>5344</v>
      </c>
      <c r="T781" s="2" t="s">
        <v>5345</v>
      </c>
      <c r="U781" s="2" t="s">
        <v>5346</v>
      </c>
      <c r="V781" s="2" t="s">
        <v>80</v>
      </c>
    </row>
    <row r="782" spans="1:22">
      <c r="A782" s="2" t="s">
        <v>5347</v>
      </c>
      <c r="B782" s="2" t="s">
        <v>5348</v>
      </c>
      <c r="C782" s="2" t="s">
        <v>5349</v>
      </c>
      <c r="D782" s="2">
        <v>2025</v>
      </c>
      <c r="E782" s="3">
        <v>45809</v>
      </c>
      <c r="F782" s="2" t="s">
        <v>4042</v>
      </c>
      <c r="G782" s="2" t="s">
        <v>43</v>
      </c>
      <c r="H782" s="2">
        <v>62</v>
      </c>
      <c r="I782" s="2" t="s">
        <v>5350</v>
      </c>
      <c r="J782" s="2" t="s">
        <v>4044</v>
      </c>
      <c r="K782" s="2" t="s">
        <v>4045</v>
      </c>
      <c r="L782" s="2" t="s">
        <v>1867</v>
      </c>
      <c r="M782" s="2" t="s">
        <v>2203</v>
      </c>
      <c r="N782" s="2" t="s">
        <v>1473</v>
      </c>
      <c r="O782" s="2" t="s">
        <v>3051</v>
      </c>
      <c r="P782" s="2" t="s">
        <v>5351</v>
      </c>
      <c r="Q782" s="2" t="s">
        <v>33</v>
      </c>
      <c r="R782" s="2" t="s">
        <v>5352</v>
      </c>
      <c r="S782" s="2" t="s">
        <v>1366</v>
      </c>
      <c r="T782" s="2" t="s">
        <v>5353</v>
      </c>
      <c r="U782" s="2" t="s">
        <v>5354</v>
      </c>
      <c r="V782" s="2" t="s">
        <v>80</v>
      </c>
    </row>
    <row r="783" spans="1:22">
      <c r="A783" s="2" t="s">
        <v>5355</v>
      </c>
      <c r="B783" s="2" t="s">
        <v>5356</v>
      </c>
      <c r="C783" s="2" t="s">
        <v>5357</v>
      </c>
      <c r="D783" s="2">
        <v>2025</v>
      </c>
      <c r="E783" s="3">
        <v>45717</v>
      </c>
      <c r="F783" s="2" t="s">
        <v>3046</v>
      </c>
      <c r="G783" s="2">
        <v>96</v>
      </c>
      <c r="H783" s="2">
        <v>2</v>
      </c>
      <c r="I783" s="2" t="s">
        <v>5358</v>
      </c>
      <c r="J783" s="2" t="s">
        <v>3048</v>
      </c>
      <c r="K783" s="2" t="s">
        <v>3049</v>
      </c>
      <c r="L783" s="2" t="s">
        <v>773</v>
      </c>
      <c r="M783" s="2" t="s">
        <v>1919</v>
      </c>
      <c r="N783" s="2" t="s">
        <v>3050</v>
      </c>
      <c r="O783" s="2" t="s">
        <v>3051</v>
      </c>
      <c r="P783" s="2" t="s">
        <v>5359</v>
      </c>
      <c r="Q783" s="2" t="s">
        <v>644</v>
      </c>
      <c r="R783" s="2" t="s">
        <v>5360</v>
      </c>
      <c r="S783" s="2" t="s">
        <v>79</v>
      </c>
      <c r="T783" s="2" t="s">
        <v>5361</v>
      </c>
      <c r="U783" s="2" t="s">
        <v>5362</v>
      </c>
      <c r="V783" s="2" t="s">
        <v>3927</v>
      </c>
    </row>
    <row r="784" spans="1:22">
      <c r="A784" s="2" t="s">
        <v>635</v>
      </c>
      <c r="B784" s="2" t="s">
        <v>5356</v>
      </c>
      <c r="C784" s="2" t="s">
        <v>5357</v>
      </c>
      <c r="D784" s="2">
        <v>2025</v>
      </c>
      <c r="E784" s="3">
        <v>45717</v>
      </c>
      <c r="F784" s="2" t="s">
        <v>3046</v>
      </c>
      <c r="G784" s="2">
        <v>96</v>
      </c>
      <c r="H784" s="2">
        <v>2</v>
      </c>
      <c r="I784" s="2" t="s">
        <v>5358</v>
      </c>
      <c r="J784" s="2" t="s">
        <v>3048</v>
      </c>
      <c r="K784" s="2" t="s">
        <v>3049</v>
      </c>
      <c r="L784" s="2" t="s">
        <v>773</v>
      </c>
      <c r="M784" s="2" t="s">
        <v>1919</v>
      </c>
      <c r="N784" s="2" t="s">
        <v>3050</v>
      </c>
      <c r="O784" s="2" t="s">
        <v>3051</v>
      </c>
      <c r="P784" s="2" t="s">
        <v>5359</v>
      </c>
      <c r="Q784" s="2" t="s">
        <v>644</v>
      </c>
      <c r="R784" s="2" t="s">
        <v>5360</v>
      </c>
      <c r="S784" s="2" t="s">
        <v>79</v>
      </c>
      <c r="T784" s="2" t="s">
        <v>5361</v>
      </c>
      <c r="U784" s="2" t="s">
        <v>5362</v>
      </c>
      <c r="V784" s="2" t="s">
        <v>3927</v>
      </c>
    </row>
    <row r="785" spans="1:22">
      <c r="A785" s="2" t="s">
        <v>5347</v>
      </c>
      <c r="B785" s="2" t="s">
        <v>5363</v>
      </c>
      <c r="C785" s="2" t="s">
        <v>5364</v>
      </c>
      <c r="D785" s="2">
        <v>2025</v>
      </c>
      <c r="E785" s="3">
        <v>45658</v>
      </c>
      <c r="F785" s="2" t="s">
        <v>5365</v>
      </c>
      <c r="G785" s="2" t="s">
        <v>43</v>
      </c>
      <c r="H785" s="2">
        <v>51</v>
      </c>
      <c r="I785" s="2" t="s">
        <v>5366</v>
      </c>
      <c r="J785" s="2" t="s">
        <v>5367</v>
      </c>
      <c r="K785" s="2" t="s">
        <v>5368</v>
      </c>
      <c r="L785" s="2" t="s">
        <v>1867</v>
      </c>
      <c r="M785" s="2" t="s">
        <v>2423</v>
      </c>
      <c r="N785" s="2" t="s">
        <v>4337</v>
      </c>
      <c r="O785" s="2" t="s">
        <v>5059</v>
      </c>
      <c r="P785" s="2" t="s">
        <v>5369</v>
      </c>
      <c r="Q785" s="2" t="s">
        <v>33</v>
      </c>
      <c r="R785" s="2" t="s">
        <v>5370</v>
      </c>
      <c r="S785" s="2" t="s">
        <v>79</v>
      </c>
      <c r="T785" s="5">
        <v>601053680000000</v>
      </c>
      <c r="U785" s="2" t="s">
        <v>79</v>
      </c>
      <c r="V785" s="2" t="s">
        <v>80</v>
      </c>
    </row>
    <row r="786" spans="1:22">
      <c r="A786" s="2" t="s">
        <v>2763</v>
      </c>
      <c r="B786" s="2" t="s">
        <v>5371</v>
      </c>
      <c r="C786" s="2" t="s">
        <v>5372</v>
      </c>
      <c r="D786" s="2">
        <v>2025</v>
      </c>
      <c r="E786" s="3">
        <v>45674</v>
      </c>
      <c r="F786" s="2" t="s">
        <v>5373</v>
      </c>
      <c r="G786" s="2">
        <v>35</v>
      </c>
      <c r="H786" s="2">
        <v>1</v>
      </c>
      <c r="I786" s="7">
        <v>46023</v>
      </c>
      <c r="J786" s="2" t="s">
        <v>5374</v>
      </c>
      <c r="K786" s="2" t="s">
        <v>5375</v>
      </c>
      <c r="L786" s="2" t="s">
        <v>1867</v>
      </c>
      <c r="M786" s="2" t="s">
        <v>4498</v>
      </c>
      <c r="N786" s="2" t="s">
        <v>3079</v>
      </c>
      <c r="O786" s="2" t="s">
        <v>5376</v>
      </c>
      <c r="P786" s="2" t="s">
        <v>5377</v>
      </c>
      <c r="Q786" s="2" t="s">
        <v>33</v>
      </c>
      <c r="R786" s="2" t="s">
        <v>5378</v>
      </c>
      <c r="S786" s="2" t="s">
        <v>5379</v>
      </c>
      <c r="T786" s="2" t="s">
        <v>5380</v>
      </c>
      <c r="U786" s="2" t="s">
        <v>5381</v>
      </c>
      <c r="V786" s="2" t="s">
        <v>80</v>
      </c>
    </row>
    <row r="787" spans="1:22">
      <c r="A787" s="2" t="s">
        <v>1619</v>
      </c>
      <c r="B787" s="2" t="s">
        <v>5382</v>
      </c>
      <c r="C787" s="2" t="s">
        <v>5383</v>
      </c>
      <c r="D787" s="2">
        <v>2025</v>
      </c>
      <c r="E787" s="3">
        <v>45747</v>
      </c>
      <c r="F787" s="2" t="s">
        <v>5384</v>
      </c>
      <c r="G787" s="2">
        <v>45</v>
      </c>
      <c r="H787" s="2">
        <v>1</v>
      </c>
      <c r="I787" s="2" t="s">
        <v>43</v>
      </c>
      <c r="J787" s="2" t="s">
        <v>5385</v>
      </c>
      <c r="K787" s="2" t="s">
        <v>5386</v>
      </c>
      <c r="L787" s="2" t="s">
        <v>29</v>
      </c>
      <c r="M787" s="2" t="s">
        <v>2177</v>
      </c>
      <c r="N787" s="2" t="s">
        <v>3050</v>
      </c>
      <c r="O787" s="2" t="s">
        <v>5387</v>
      </c>
      <c r="P787" s="2" t="s">
        <v>5388</v>
      </c>
      <c r="Q787" s="2" t="s">
        <v>33</v>
      </c>
      <c r="R787" s="2" t="s">
        <v>5389</v>
      </c>
      <c r="S787" s="2" t="s">
        <v>3116</v>
      </c>
      <c r="T787" s="2" t="s">
        <v>5390</v>
      </c>
      <c r="U787" s="2" t="s">
        <v>5391</v>
      </c>
      <c r="V787" s="2" t="s">
        <v>594</v>
      </c>
    </row>
    <row r="788" spans="1:22">
      <c r="A788" s="2" t="s">
        <v>5392</v>
      </c>
      <c r="B788" s="2" t="s">
        <v>5393</v>
      </c>
      <c r="C788" s="2" t="s">
        <v>5394</v>
      </c>
      <c r="D788" s="2">
        <v>2025</v>
      </c>
      <c r="E788" s="3">
        <v>45658</v>
      </c>
      <c r="F788" s="2" t="s">
        <v>5395</v>
      </c>
      <c r="G788" s="2">
        <v>15</v>
      </c>
      <c r="H788" s="2" t="s">
        <v>43</v>
      </c>
      <c r="I788" s="2" t="s">
        <v>43</v>
      </c>
      <c r="J788" s="2" t="s">
        <v>5396</v>
      </c>
      <c r="K788" s="2" t="s">
        <v>5397</v>
      </c>
      <c r="L788" s="2" t="s">
        <v>29</v>
      </c>
      <c r="M788" s="2" t="s">
        <v>3416</v>
      </c>
      <c r="N788" s="2" t="s">
        <v>5398</v>
      </c>
      <c r="O788" s="2" t="s">
        <v>5237</v>
      </c>
      <c r="P788" s="2" t="s">
        <v>5399</v>
      </c>
      <c r="Q788" s="2" t="s">
        <v>49</v>
      </c>
      <c r="R788" s="2" t="s">
        <v>5400</v>
      </c>
      <c r="S788" s="2" t="s">
        <v>79</v>
      </c>
      <c r="T788" s="2" t="s">
        <v>5401</v>
      </c>
      <c r="U788" s="2" t="s">
        <v>5402</v>
      </c>
      <c r="V788" s="2" t="s">
        <v>80</v>
      </c>
    </row>
    <row r="789" spans="1:22">
      <c r="A789" s="2" t="s">
        <v>5403</v>
      </c>
      <c r="B789" s="2" t="s">
        <v>5404</v>
      </c>
      <c r="C789" s="2" t="s">
        <v>5405</v>
      </c>
      <c r="D789" s="2">
        <v>2025</v>
      </c>
      <c r="E789" s="3">
        <v>45748</v>
      </c>
      <c r="F789" s="2" t="s">
        <v>5406</v>
      </c>
      <c r="G789" s="2" t="s">
        <v>43</v>
      </c>
      <c r="H789" s="2">
        <v>95</v>
      </c>
      <c r="I789" s="2" t="s">
        <v>43</v>
      </c>
      <c r="J789" s="2" t="s">
        <v>5407</v>
      </c>
      <c r="K789" s="2" t="s">
        <v>5408</v>
      </c>
      <c r="L789" s="2" t="s">
        <v>29</v>
      </c>
      <c r="M789" s="2" t="s">
        <v>1948</v>
      </c>
      <c r="N789" s="2" t="s">
        <v>3674</v>
      </c>
      <c r="O789" s="2" t="s">
        <v>5409</v>
      </c>
      <c r="P789" s="2" t="s">
        <v>5410</v>
      </c>
      <c r="Q789" s="2" t="s">
        <v>33</v>
      </c>
      <c r="R789" s="2" t="s">
        <v>5411</v>
      </c>
      <c r="S789" s="2" t="s">
        <v>682</v>
      </c>
      <c r="T789" s="2" t="s">
        <v>5412</v>
      </c>
      <c r="U789" s="2" t="s">
        <v>5413</v>
      </c>
      <c r="V789" s="2" t="s">
        <v>2357</v>
      </c>
    </row>
    <row r="790" spans="1:22">
      <c r="A790" s="2" t="s">
        <v>2683</v>
      </c>
      <c r="B790" s="2" t="s">
        <v>5404</v>
      </c>
      <c r="C790" s="2" t="s">
        <v>5405</v>
      </c>
      <c r="D790" s="2">
        <v>2025</v>
      </c>
      <c r="E790" s="3">
        <v>45748</v>
      </c>
      <c r="F790" s="2" t="s">
        <v>5406</v>
      </c>
      <c r="G790" s="2" t="s">
        <v>43</v>
      </c>
      <c r="H790" s="2">
        <v>95</v>
      </c>
      <c r="I790" s="2" t="s">
        <v>43</v>
      </c>
      <c r="J790" s="2" t="s">
        <v>5407</v>
      </c>
      <c r="K790" s="2" t="s">
        <v>5408</v>
      </c>
      <c r="L790" s="2" t="s">
        <v>29</v>
      </c>
      <c r="M790" s="2" t="s">
        <v>1948</v>
      </c>
      <c r="N790" s="2" t="s">
        <v>3674</v>
      </c>
      <c r="O790" s="2" t="s">
        <v>5409</v>
      </c>
      <c r="P790" s="2" t="s">
        <v>5410</v>
      </c>
      <c r="Q790" s="2" t="s">
        <v>33</v>
      </c>
      <c r="R790" s="2" t="s">
        <v>5411</v>
      </c>
      <c r="S790" s="2" t="s">
        <v>682</v>
      </c>
      <c r="T790" s="2" t="s">
        <v>5412</v>
      </c>
      <c r="U790" s="2" t="s">
        <v>5413</v>
      </c>
      <c r="V790" s="2" t="s">
        <v>2357</v>
      </c>
    </row>
    <row r="791" spans="1:22">
      <c r="A791" s="2" t="s">
        <v>5414</v>
      </c>
      <c r="B791" s="2" t="s">
        <v>5415</v>
      </c>
      <c r="C791" s="2" t="s">
        <v>5416</v>
      </c>
      <c r="D791" s="2">
        <v>2025</v>
      </c>
      <c r="E791" s="3">
        <v>45839</v>
      </c>
      <c r="F791" s="2" t="s">
        <v>1323</v>
      </c>
      <c r="G791" s="2">
        <v>78</v>
      </c>
      <c r="H791" s="2">
        <v>7</v>
      </c>
      <c r="I791" s="2" t="s">
        <v>5417</v>
      </c>
      <c r="J791" s="2" t="s">
        <v>1325</v>
      </c>
      <c r="K791" s="2" t="s">
        <v>772</v>
      </c>
      <c r="L791" s="2" t="s">
        <v>773</v>
      </c>
      <c r="M791" s="2" t="s">
        <v>3038</v>
      </c>
      <c r="N791" s="2" t="s">
        <v>3079</v>
      </c>
      <c r="O791" s="2" t="s">
        <v>5418</v>
      </c>
      <c r="P791" s="2" t="s">
        <v>5419</v>
      </c>
      <c r="Q791" s="2" t="s">
        <v>33</v>
      </c>
      <c r="R791" s="2" t="s">
        <v>5420</v>
      </c>
      <c r="S791" s="2" t="s">
        <v>5421</v>
      </c>
      <c r="T791" s="2" t="s">
        <v>5422</v>
      </c>
      <c r="U791" s="2" t="s">
        <v>5423</v>
      </c>
      <c r="V791" s="2" t="s">
        <v>80</v>
      </c>
    </row>
    <row r="792" spans="1:22">
      <c r="A792" s="2" t="s">
        <v>5424</v>
      </c>
      <c r="B792" s="2" t="s">
        <v>5425</v>
      </c>
      <c r="C792" s="2" t="s">
        <v>5426</v>
      </c>
      <c r="D792" s="2">
        <v>2024</v>
      </c>
      <c r="E792" s="3">
        <v>45306</v>
      </c>
      <c r="F792" s="2" t="s">
        <v>5427</v>
      </c>
      <c r="G792" s="2">
        <v>16</v>
      </c>
      <c r="H792" s="2" t="s">
        <v>43</v>
      </c>
      <c r="I792" s="2" t="s">
        <v>43</v>
      </c>
      <c r="J792" s="2" t="s">
        <v>5428</v>
      </c>
      <c r="K792" s="2" t="s">
        <v>5429</v>
      </c>
      <c r="L792" s="2" t="s">
        <v>1867</v>
      </c>
      <c r="M792" s="2" t="s">
        <v>43</v>
      </c>
      <c r="N792" s="2" t="s">
        <v>43</v>
      </c>
      <c r="O792" s="2" t="s">
        <v>43</v>
      </c>
      <c r="P792" s="2" t="s">
        <v>5430</v>
      </c>
      <c r="Q792" s="2" t="s">
        <v>33</v>
      </c>
      <c r="R792" s="2" t="s">
        <v>5431</v>
      </c>
      <c r="S792" s="2" t="s">
        <v>79</v>
      </c>
      <c r="T792" s="5">
        <v>601053680000000</v>
      </c>
      <c r="U792" s="2" t="s">
        <v>79</v>
      </c>
      <c r="V792" s="2" t="s">
        <v>80</v>
      </c>
    </row>
    <row r="793" spans="1:22">
      <c r="A793" s="2" t="s">
        <v>5432</v>
      </c>
      <c r="B793" s="2" t="s">
        <v>5433</v>
      </c>
      <c r="C793" s="2" t="s">
        <v>5434</v>
      </c>
      <c r="D793" s="2">
        <v>2025</v>
      </c>
      <c r="E793" s="3">
        <v>45658</v>
      </c>
      <c r="F793" s="2" t="s">
        <v>5435</v>
      </c>
      <c r="G793" s="2" t="s">
        <v>43</v>
      </c>
      <c r="H793" s="2">
        <v>76</v>
      </c>
      <c r="I793" s="2" t="s">
        <v>5436</v>
      </c>
      <c r="J793" s="2" t="s">
        <v>5437</v>
      </c>
      <c r="K793" s="2" t="s">
        <v>4152</v>
      </c>
      <c r="L793" s="2" t="s">
        <v>773</v>
      </c>
      <c r="M793" s="2" t="s">
        <v>4498</v>
      </c>
      <c r="N793" s="2" t="s">
        <v>827</v>
      </c>
      <c r="O793" s="2" t="s">
        <v>5438</v>
      </c>
      <c r="P793" s="2" t="s">
        <v>5439</v>
      </c>
      <c r="Q793" s="2" t="s">
        <v>33</v>
      </c>
      <c r="R793" s="2" t="s">
        <v>5440</v>
      </c>
      <c r="S793" s="2" t="s">
        <v>79</v>
      </c>
      <c r="T793" s="5">
        <v>601053680000000</v>
      </c>
      <c r="U793" s="2" t="s">
        <v>79</v>
      </c>
      <c r="V793" s="2" t="s">
        <v>80</v>
      </c>
    </row>
    <row r="794" spans="1:22">
      <c r="A794" s="2" t="s">
        <v>3023</v>
      </c>
      <c r="B794" s="2" t="s">
        <v>5441</v>
      </c>
      <c r="C794" s="2" t="s">
        <v>5442</v>
      </c>
      <c r="D794" s="2">
        <v>2025</v>
      </c>
      <c r="E794" s="3">
        <v>45992</v>
      </c>
      <c r="F794" s="2" t="s">
        <v>167</v>
      </c>
      <c r="G794" s="2">
        <v>12</v>
      </c>
      <c r="H794" s="2">
        <v>1</v>
      </c>
      <c r="I794" s="2" t="s">
        <v>43</v>
      </c>
      <c r="J794" s="2" t="s">
        <v>5443</v>
      </c>
      <c r="K794" s="2" t="s">
        <v>220</v>
      </c>
      <c r="L794" s="2" t="s">
        <v>29</v>
      </c>
      <c r="M794" s="2" t="s">
        <v>1244</v>
      </c>
      <c r="N794" s="2" t="s">
        <v>31</v>
      </c>
      <c r="O794" s="4">
        <v>1907</v>
      </c>
      <c r="P794" s="2" t="s">
        <v>5444</v>
      </c>
      <c r="Q794" s="2" t="s">
        <v>33</v>
      </c>
      <c r="R794" s="2" t="s">
        <v>5445</v>
      </c>
      <c r="S794" s="2" t="s">
        <v>5446</v>
      </c>
      <c r="T794" s="2" t="s">
        <v>5447</v>
      </c>
      <c r="U794" s="2" t="s">
        <v>5448</v>
      </c>
      <c r="V794" s="2" t="s">
        <v>80</v>
      </c>
    </row>
    <row r="795" spans="1:22">
      <c r="A795" s="2" t="s">
        <v>5449</v>
      </c>
      <c r="B795" s="2" t="s">
        <v>5450</v>
      </c>
      <c r="C795" s="2" t="s">
        <v>5451</v>
      </c>
      <c r="D795" s="2">
        <v>2025</v>
      </c>
      <c r="E795" s="3">
        <v>45778</v>
      </c>
      <c r="F795" s="2" t="s">
        <v>2392</v>
      </c>
      <c r="G795" s="2">
        <v>36</v>
      </c>
      <c r="H795" s="2">
        <v>3</v>
      </c>
      <c r="I795" s="2" t="s">
        <v>5452</v>
      </c>
      <c r="J795" s="2" t="s">
        <v>2394</v>
      </c>
      <c r="K795" s="2" t="s">
        <v>392</v>
      </c>
      <c r="L795" s="2" t="s">
        <v>773</v>
      </c>
      <c r="M795" s="2" t="s">
        <v>1948</v>
      </c>
      <c r="N795" s="2" t="s">
        <v>2156</v>
      </c>
      <c r="O795" s="2" t="s">
        <v>3438</v>
      </c>
      <c r="P795" s="2" t="s">
        <v>5453</v>
      </c>
      <c r="Q795" s="2" t="s">
        <v>49</v>
      </c>
      <c r="R795" s="2" t="s">
        <v>5454</v>
      </c>
      <c r="S795" s="2" t="s">
        <v>1681</v>
      </c>
      <c r="T795" s="2" t="s">
        <v>2561</v>
      </c>
      <c r="U795" s="2" t="s">
        <v>2562</v>
      </c>
      <c r="V795" s="2" t="s">
        <v>80</v>
      </c>
    </row>
    <row r="796" spans="1:22">
      <c r="A796" s="2" t="s">
        <v>2100</v>
      </c>
      <c r="B796" s="2" t="s">
        <v>5455</v>
      </c>
      <c r="C796" s="2" t="s">
        <v>5456</v>
      </c>
      <c r="D796" s="2">
        <v>2025</v>
      </c>
      <c r="E796" s="3">
        <v>45839</v>
      </c>
      <c r="F796" s="2" t="s">
        <v>3598</v>
      </c>
      <c r="G796" s="2">
        <v>10</v>
      </c>
      <c r="H796" s="2">
        <v>7</v>
      </c>
      <c r="I796" s="2" t="s">
        <v>43</v>
      </c>
      <c r="J796" s="2" t="s">
        <v>3599</v>
      </c>
      <c r="K796" s="2" t="s">
        <v>61</v>
      </c>
      <c r="L796" s="2" t="s">
        <v>29</v>
      </c>
      <c r="M796" s="2" t="s">
        <v>2119</v>
      </c>
      <c r="N796" s="2" t="s">
        <v>134</v>
      </c>
      <c r="O796" s="2" t="s">
        <v>3600</v>
      </c>
      <c r="P796" s="2" t="s">
        <v>5457</v>
      </c>
      <c r="Q796" s="2" t="s">
        <v>33</v>
      </c>
      <c r="R796" s="2" t="s">
        <v>5458</v>
      </c>
      <c r="S796" s="2" t="s">
        <v>5459</v>
      </c>
      <c r="T796" s="2" t="s">
        <v>5460</v>
      </c>
      <c r="U796" s="2" t="s">
        <v>5461</v>
      </c>
      <c r="V796" s="2" t="s">
        <v>4323</v>
      </c>
    </row>
    <row r="797" spans="1:22">
      <c r="A797" s="2" t="s">
        <v>2877</v>
      </c>
      <c r="B797" s="2" t="s">
        <v>5462</v>
      </c>
      <c r="C797" s="2" t="s">
        <v>5463</v>
      </c>
      <c r="D797" s="2">
        <v>2024</v>
      </c>
      <c r="E797" s="3">
        <v>45292</v>
      </c>
      <c r="F797" s="2" t="s">
        <v>5464</v>
      </c>
      <c r="G797" s="2" t="s">
        <v>43</v>
      </c>
      <c r="H797" s="2" t="s">
        <v>43</v>
      </c>
      <c r="I797" s="2" t="s">
        <v>5465</v>
      </c>
      <c r="J797" s="2" t="s">
        <v>43</v>
      </c>
      <c r="K797" s="2" t="s">
        <v>2154</v>
      </c>
      <c r="L797" s="2" t="s">
        <v>29</v>
      </c>
      <c r="M797" s="2" t="s">
        <v>43</v>
      </c>
      <c r="N797" s="2" t="s">
        <v>43</v>
      </c>
      <c r="O797" s="2" t="s">
        <v>43</v>
      </c>
      <c r="P797" s="2" t="s">
        <v>5466</v>
      </c>
      <c r="Q797" s="2" t="s">
        <v>1125</v>
      </c>
      <c r="R797" s="2" t="s">
        <v>5467</v>
      </c>
      <c r="S797" s="2" t="s">
        <v>5468</v>
      </c>
      <c r="T797" s="2" t="s">
        <v>5469</v>
      </c>
      <c r="U797" s="2" t="s">
        <v>5470</v>
      </c>
      <c r="V797" s="2" t="s">
        <v>80</v>
      </c>
    </row>
    <row r="798" spans="1:22">
      <c r="A798" s="2" t="s">
        <v>5471</v>
      </c>
      <c r="B798" s="2" t="s">
        <v>5472</v>
      </c>
      <c r="C798" s="2" t="s">
        <v>5473</v>
      </c>
      <c r="D798" s="2">
        <v>2025</v>
      </c>
      <c r="E798" s="3">
        <v>45962</v>
      </c>
      <c r="F798" s="2" t="s">
        <v>2392</v>
      </c>
      <c r="G798" s="2">
        <v>36</v>
      </c>
      <c r="H798" s="2">
        <v>6</v>
      </c>
      <c r="I798" s="2" t="s">
        <v>5474</v>
      </c>
      <c r="J798" s="2" t="s">
        <v>2394</v>
      </c>
      <c r="K798" s="2" t="s">
        <v>392</v>
      </c>
      <c r="L798" s="2" t="s">
        <v>1867</v>
      </c>
      <c r="M798" s="2" t="s">
        <v>1948</v>
      </c>
      <c r="N798" s="2" t="s">
        <v>2156</v>
      </c>
      <c r="O798" s="2" t="s">
        <v>3438</v>
      </c>
      <c r="P798" s="2" t="s">
        <v>5475</v>
      </c>
      <c r="Q798" s="2" t="s">
        <v>33</v>
      </c>
      <c r="R798" s="2" t="s">
        <v>5476</v>
      </c>
      <c r="S798" s="2" t="s">
        <v>79</v>
      </c>
      <c r="T798" s="2" t="s">
        <v>5477</v>
      </c>
      <c r="U798" s="2" t="s">
        <v>5478</v>
      </c>
      <c r="V798" s="2" t="s">
        <v>80</v>
      </c>
    </row>
    <row r="799" spans="1:22">
      <c r="A799" s="2" t="s">
        <v>5479</v>
      </c>
      <c r="B799" s="2" t="s">
        <v>5480</v>
      </c>
      <c r="C799" s="2" t="s">
        <v>5481</v>
      </c>
      <c r="D799" s="2">
        <v>2024</v>
      </c>
      <c r="E799" s="3">
        <v>45536</v>
      </c>
      <c r="F799" s="2" t="s">
        <v>5482</v>
      </c>
      <c r="G799" s="2">
        <v>92</v>
      </c>
      <c r="H799" s="2">
        <v>4</v>
      </c>
      <c r="I799" s="2" t="s">
        <v>5483</v>
      </c>
      <c r="J799" s="2" t="s">
        <v>5484</v>
      </c>
      <c r="K799" s="2" t="s">
        <v>5485</v>
      </c>
      <c r="L799" s="2" t="s">
        <v>773</v>
      </c>
      <c r="M799" s="2" t="s">
        <v>4498</v>
      </c>
      <c r="N799" s="2" t="s">
        <v>3358</v>
      </c>
      <c r="O799" s="2" t="s">
        <v>5486</v>
      </c>
      <c r="P799" s="2" t="s">
        <v>5487</v>
      </c>
      <c r="Q799" s="2" t="s">
        <v>644</v>
      </c>
      <c r="R799" s="2" t="s">
        <v>5488</v>
      </c>
      <c r="S799" s="2" t="s">
        <v>5489</v>
      </c>
      <c r="T799" s="2" t="s">
        <v>5490</v>
      </c>
      <c r="U799" s="2" t="s">
        <v>5489</v>
      </c>
      <c r="V799" s="2" t="s">
        <v>80</v>
      </c>
    </row>
    <row r="800" spans="1:22" ht="28.8">
      <c r="A800" s="2" t="s">
        <v>5491</v>
      </c>
      <c r="B800" s="2" t="s">
        <v>5492</v>
      </c>
      <c r="C800" s="2" t="s">
        <v>5493</v>
      </c>
      <c r="D800" s="2">
        <v>2025</v>
      </c>
      <c r="E800" s="3">
        <v>45778</v>
      </c>
      <c r="F800" s="2" t="s">
        <v>3883</v>
      </c>
      <c r="G800" s="2">
        <v>38</v>
      </c>
      <c r="H800" s="2">
        <v>55</v>
      </c>
      <c r="I800" s="2" t="s">
        <v>43</v>
      </c>
      <c r="J800" s="2" t="s">
        <v>3884</v>
      </c>
      <c r="K800" s="2" t="s">
        <v>3885</v>
      </c>
      <c r="L800" s="2" t="s">
        <v>1867</v>
      </c>
      <c r="M800" s="2" t="s">
        <v>2423</v>
      </c>
      <c r="N800" s="2" t="s">
        <v>4351</v>
      </c>
      <c r="O800" s="2" t="s">
        <v>5494</v>
      </c>
      <c r="P800" s="2" t="s">
        <v>43</v>
      </c>
      <c r="Q800" s="2" t="s">
        <v>33</v>
      </c>
      <c r="R800" s="2" t="s">
        <v>5495</v>
      </c>
      <c r="S800" s="2" t="s">
        <v>5496</v>
      </c>
      <c r="T800" s="2" t="s">
        <v>5497</v>
      </c>
      <c r="U800" s="2" t="s">
        <v>5498</v>
      </c>
      <c r="V800" s="2" t="s">
        <v>5499</v>
      </c>
    </row>
    <row r="801" spans="1:22" ht="28.8">
      <c r="A801" s="2" t="s">
        <v>5500</v>
      </c>
      <c r="B801" s="2" t="s">
        <v>5492</v>
      </c>
      <c r="C801" s="2" t="s">
        <v>5493</v>
      </c>
      <c r="D801" s="2">
        <v>2025</v>
      </c>
      <c r="E801" s="3">
        <v>45778</v>
      </c>
      <c r="F801" s="2" t="s">
        <v>3883</v>
      </c>
      <c r="G801" s="2">
        <v>38</v>
      </c>
      <c r="H801" s="2">
        <v>55</v>
      </c>
      <c r="I801" s="2" t="s">
        <v>43</v>
      </c>
      <c r="J801" s="2" t="s">
        <v>3884</v>
      </c>
      <c r="K801" s="2" t="s">
        <v>3885</v>
      </c>
      <c r="L801" s="2" t="s">
        <v>1867</v>
      </c>
      <c r="M801" s="2" t="s">
        <v>2423</v>
      </c>
      <c r="N801" s="2" t="s">
        <v>4351</v>
      </c>
      <c r="O801" s="2" t="s">
        <v>5494</v>
      </c>
      <c r="P801" s="2" t="s">
        <v>43</v>
      </c>
      <c r="Q801" s="2" t="s">
        <v>33</v>
      </c>
      <c r="R801" s="2" t="s">
        <v>5495</v>
      </c>
      <c r="S801" s="2" t="s">
        <v>5496</v>
      </c>
      <c r="T801" s="2" t="s">
        <v>5497</v>
      </c>
      <c r="U801" s="2" t="s">
        <v>5498</v>
      </c>
      <c r="V801" s="2" t="s">
        <v>5499</v>
      </c>
    </row>
    <row r="802" spans="1:22">
      <c r="A802" s="2" t="s">
        <v>5501</v>
      </c>
      <c r="B802" s="2" t="s">
        <v>5502</v>
      </c>
      <c r="C802" s="2" t="s">
        <v>5503</v>
      </c>
      <c r="D802" s="2">
        <v>2025</v>
      </c>
      <c r="E802" s="3">
        <v>45778</v>
      </c>
      <c r="F802" s="2" t="s">
        <v>2392</v>
      </c>
      <c r="G802" s="2">
        <v>36</v>
      </c>
      <c r="H802" s="2">
        <v>3</v>
      </c>
      <c r="I802" s="2" t="s">
        <v>5504</v>
      </c>
      <c r="J802" s="2" t="s">
        <v>2394</v>
      </c>
      <c r="K802" s="2" t="s">
        <v>392</v>
      </c>
      <c r="L802" s="2" t="s">
        <v>773</v>
      </c>
      <c r="M802" s="2" t="s">
        <v>1948</v>
      </c>
      <c r="N802" s="2" t="s">
        <v>2156</v>
      </c>
      <c r="O802" s="2" t="s">
        <v>3438</v>
      </c>
      <c r="P802" s="2" t="s">
        <v>5505</v>
      </c>
      <c r="Q802" s="2" t="s">
        <v>49</v>
      </c>
      <c r="R802" s="2" t="s">
        <v>5506</v>
      </c>
      <c r="S802" s="2" t="s">
        <v>1681</v>
      </c>
      <c r="T802" s="2" t="s">
        <v>5507</v>
      </c>
      <c r="U802" s="2" t="s">
        <v>5508</v>
      </c>
      <c r="V802" s="2" t="s">
        <v>80</v>
      </c>
    </row>
    <row r="803" spans="1:22">
      <c r="A803" s="2" t="s">
        <v>2018</v>
      </c>
      <c r="B803" s="2" t="s">
        <v>5509</v>
      </c>
      <c r="C803" s="2" t="s">
        <v>5510</v>
      </c>
      <c r="D803" s="2">
        <v>2025</v>
      </c>
      <c r="E803" s="3">
        <v>45658</v>
      </c>
      <c r="F803" s="2" t="s">
        <v>5511</v>
      </c>
      <c r="G803" s="2">
        <v>22</v>
      </c>
      <c r="H803" s="2">
        <v>3</v>
      </c>
      <c r="I803" s="7">
        <v>44197</v>
      </c>
      <c r="J803" s="2" t="s">
        <v>5512</v>
      </c>
      <c r="K803" s="2" t="s">
        <v>5513</v>
      </c>
      <c r="L803" s="2" t="s">
        <v>773</v>
      </c>
      <c r="M803" s="2" t="s">
        <v>4565</v>
      </c>
      <c r="N803" s="2" t="s">
        <v>5042</v>
      </c>
      <c r="O803" s="2" t="s">
        <v>5514</v>
      </c>
      <c r="P803" s="2" t="s">
        <v>5515</v>
      </c>
      <c r="Q803" s="2" t="s">
        <v>33</v>
      </c>
      <c r="R803" s="2" t="s">
        <v>5516</v>
      </c>
      <c r="S803" s="2" t="s">
        <v>5517</v>
      </c>
      <c r="T803" s="2" t="s">
        <v>5518</v>
      </c>
      <c r="U803" s="2" t="s">
        <v>5519</v>
      </c>
      <c r="V803" s="2" t="s">
        <v>621</v>
      </c>
    </row>
    <row r="804" spans="1:22">
      <c r="A804" s="2" t="s">
        <v>834</v>
      </c>
      <c r="B804" s="2" t="s">
        <v>5520</v>
      </c>
      <c r="C804" s="2" t="s">
        <v>5521</v>
      </c>
      <c r="D804" s="2">
        <v>2025</v>
      </c>
      <c r="E804" s="3">
        <v>45689</v>
      </c>
      <c r="F804" s="2" t="s">
        <v>4161</v>
      </c>
      <c r="G804" s="2">
        <v>40</v>
      </c>
      <c r="H804" s="2">
        <v>2</v>
      </c>
      <c r="I804" s="2" t="s">
        <v>5522</v>
      </c>
      <c r="J804" s="2" t="s">
        <v>4163</v>
      </c>
      <c r="K804" s="2" t="s">
        <v>772</v>
      </c>
      <c r="L804" s="2" t="s">
        <v>5523</v>
      </c>
      <c r="M804" s="2" t="s">
        <v>3416</v>
      </c>
      <c r="N804" s="2" t="s">
        <v>4165</v>
      </c>
      <c r="O804" s="2" t="s">
        <v>5237</v>
      </c>
      <c r="P804" s="2" t="s">
        <v>5524</v>
      </c>
      <c r="Q804" s="2" t="s">
        <v>33</v>
      </c>
      <c r="R804" s="2" t="s">
        <v>5525</v>
      </c>
      <c r="S804" s="2" t="s">
        <v>5240</v>
      </c>
      <c r="T804" s="2" t="s">
        <v>5526</v>
      </c>
      <c r="U804" s="2" t="s">
        <v>5527</v>
      </c>
      <c r="V804" s="2" t="s">
        <v>80</v>
      </c>
    </row>
    <row r="805" spans="1:22">
      <c r="A805" s="2" t="s">
        <v>5528</v>
      </c>
      <c r="B805" s="2" t="s">
        <v>5529</v>
      </c>
      <c r="C805" s="2" t="s">
        <v>5530</v>
      </c>
      <c r="D805" s="2">
        <v>2025</v>
      </c>
      <c r="E805" s="3">
        <v>45658</v>
      </c>
      <c r="F805" s="2" t="s">
        <v>5531</v>
      </c>
      <c r="G805" s="2">
        <v>31</v>
      </c>
      <c r="H805" s="2">
        <v>2</v>
      </c>
      <c r="I805" s="2" t="s">
        <v>5532</v>
      </c>
      <c r="J805" s="2" t="s">
        <v>5533</v>
      </c>
      <c r="K805" s="2" t="s">
        <v>4350</v>
      </c>
      <c r="L805" s="2" t="s">
        <v>1867</v>
      </c>
      <c r="M805" s="2" t="s">
        <v>4565</v>
      </c>
      <c r="N805" s="2" t="s">
        <v>63</v>
      </c>
      <c r="O805" s="2" t="s">
        <v>5534</v>
      </c>
      <c r="P805" s="2" t="s">
        <v>5535</v>
      </c>
      <c r="Q805" s="2" t="s">
        <v>33</v>
      </c>
      <c r="R805" s="2" t="s">
        <v>5536</v>
      </c>
      <c r="S805" s="2" t="s">
        <v>5537</v>
      </c>
      <c r="T805" s="2" t="s">
        <v>5538</v>
      </c>
      <c r="U805" s="2" t="s">
        <v>5537</v>
      </c>
      <c r="V805" s="2" t="s">
        <v>594</v>
      </c>
    </row>
    <row r="806" spans="1:22" ht="28.8">
      <c r="A806" s="2" t="s">
        <v>1723</v>
      </c>
      <c r="B806" s="2" t="s">
        <v>5539</v>
      </c>
      <c r="C806" s="2" t="s">
        <v>5540</v>
      </c>
      <c r="D806" s="2">
        <v>2025</v>
      </c>
      <c r="E806" s="3">
        <v>45717</v>
      </c>
      <c r="F806" s="2" t="s">
        <v>5541</v>
      </c>
      <c r="G806" s="2">
        <v>48</v>
      </c>
      <c r="H806" s="2" t="s">
        <v>43</v>
      </c>
      <c r="I806" s="2" t="s">
        <v>43</v>
      </c>
      <c r="J806" s="2" t="s">
        <v>5542</v>
      </c>
      <c r="K806" s="2" t="s">
        <v>45</v>
      </c>
      <c r="L806" s="2" t="s">
        <v>29</v>
      </c>
      <c r="M806" s="2" t="s">
        <v>2131</v>
      </c>
      <c r="N806" s="2" t="s">
        <v>807</v>
      </c>
      <c r="O806" s="2" t="s">
        <v>5543</v>
      </c>
      <c r="P806" s="2" t="s">
        <v>5544</v>
      </c>
      <c r="Q806" s="2" t="s">
        <v>33</v>
      </c>
      <c r="R806" s="2" t="s">
        <v>5545</v>
      </c>
      <c r="S806" s="2" t="s">
        <v>5546</v>
      </c>
      <c r="T806" s="2" t="s">
        <v>5547</v>
      </c>
      <c r="U806" s="2" t="s">
        <v>5548</v>
      </c>
      <c r="V806" s="2" t="s">
        <v>5549</v>
      </c>
    </row>
    <row r="807" spans="1:22">
      <c r="A807" s="2" t="s">
        <v>5550</v>
      </c>
      <c r="B807" s="2" t="s">
        <v>5551</v>
      </c>
      <c r="C807" s="2" t="s">
        <v>5552</v>
      </c>
      <c r="D807" s="2">
        <v>2025</v>
      </c>
      <c r="E807" s="3">
        <v>45658</v>
      </c>
      <c r="F807" s="2" t="s">
        <v>5553</v>
      </c>
      <c r="G807" s="2" t="s">
        <v>43</v>
      </c>
      <c r="H807" s="2">
        <v>24</v>
      </c>
      <c r="I807" s="2" t="s">
        <v>5554</v>
      </c>
      <c r="J807" s="2" t="s">
        <v>5555</v>
      </c>
      <c r="K807" s="2" t="s">
        <v>5556</v>
      </c>
      <c r="L807" s="2" t="s">
        <v>1867</v>
      </c>
      <c r="M807" s="2" t="s">
        <v>3357</v>
      </c>
      <c r="N807" s="2" t="s">
        <v>3674</v>
      </c>
      <c r="O807" s="2" t="s">
        <v>5557</v>
      </c>
      <c r="P807" s="2" t="s">
        <v>5558</v>
      </c>
      <c r="Q807" s="2" t="s">
        <v>33</v>
      </c>
      <c r="R807" s="2" t="s">
        <v>5559</v>
      </c>
      <c r="S807" s="2" t="s">
        <v>79</v>
      </c>
      <c r="T807" s="5">
        <v>601053680000000</v>
      </c>
      <c r="U807" s="2" t="s">
        <v>79</v>
      </c>
      <c r="V807" s="2" t="s">
        <v>80</v>
      </c>
    </row>
    <row r="808" spans="1:22">
      <c r="A808" s="2" t="s">
        <v>3910</v>
      </c>
      <c r="B808" s="2" t="s">
        <v>5560</v>
      </c>
      <c r="C808" s="2" t="s">
        <v>5561</v>
      </c>
      <c r="D808" s="2">
        <v>2025</v>
      </c>
      <c r="E808" s="3">
        <v>45717</v>
      </c>
      <c r="F808" s="2" t="s">
        <v>2392</v>
      </c>
      <c r="G808" s="2">
        <v>36</v>
      </c>
      <c r="H808" s="2">
        <v>2</v>
      </c>
      <c r="I808" s="2" t="s">
        <v>5562</v>
      </c>
      <c r="J808" s="2" t="s">
        <v>2394</v>
      </c>
      <c r="K808" s="2" t="s">
        <v>392</v>
      </c>
      <c r="L808" s="2" t="s">
        <v>29</v>
      </c>
      <c r="M808" s="2" t="s">
        <v>1948</v>
      </c>
      <c r="N808" s="2" t="s">
        <v>2156</v>
      </c>
      <c r="O808" s="2" t="s">
        <v>3438</v>
      </c>
      <c r="P808" s="2" t="s">
        <v>5563</v>
      </c>
      <c r="Q808" s="2" t="s">
        <v>33</v>
      </c>
      <c r="R808" s="2" t="s">
        <v>5564</v>
      </c>
      <c r="S808" s="2" t="s">
        <v>1681</v>
      </c>
      <c r="T808" s="2" t="s">
        <v>2561</v>
      </c>
      <c r="U808" s="2" t="s">
        <v>2562</v>
      </c>
      <c r="V808" s="2" t="s">
        <v>80</v>
      </c>
    </row>
    <row r="809" spans="1:22">
      <c r="A809" s="2" t="s">
        <v>5565</v>
      </c>
      <c r="B809" s="2" t="s">
        <v>5560</v>
      </c>
      <c r="C809" s="2" t="s">
        <v>5561</v>
      </c>
      <c r="D809" s="2">
        <v>2025</v>
      </c>
      <c r="E809" s="3">
        <v>45717</v>
      </c>
      <c r="F809" s="2" t="s">
        <v>2392</v>
      </c>
      <c r="G809" s="2">
        <v>36</v>
      </c>
      <c r="H809" s="2">
        <v>2</v>
      </c>
      <c r="I809" s="2" t="s">
        <v>5562</v>
      </c>
      <c r="J809" s="2" t="s">
        <v>2394</v>
      </c>
      <c r="K809" s="2" t="s">
        <v>392</v>
      </c>
      <c r="L809" s="2" t="s">
        <v>29</v>
      </c>
      <c r="M809" s="2" t="s">
        <v>1948</v>
      </c>
      <c r="N809" s="2" t="s">
        <v>2156</v>
      </c>
      <c r="O809" s="2" t="s">
        <v>3438</v>
      </c>
      <c r="P809" s="2" t="s">
        <v>5563</v>
      </c>
      <c r="Q809" s="2" t="s">
        <v>33</v>
      </c>
      <c r="R809" s="2" t="s">
        <v>5564</v>
      </c>
      <c r="S809" s="2" t="s">
        <v>1681</v>
      </c>
      <c r="T809" s="2" t="s">
        <v>2561</v>
      </c>
      <c r="U809" s="2" t="s">
        <v>2562</v>
      </c>
      <c r="V809" s="2" t="s">
        <v>80</v>
      </c>
    </row>
    <row r="810" spans="1:22">
      <c r="A810" s="2" t="s">
        <v>3938</v>
      </c>
      <c r="B810" s="2" t="s">
        <v>5560</v>
      </c>
      <c r="C810" s="2" t="s">
        <v>5561</v>
      </c>
      <c r="D810" s="2">
        <v>2025</v>
      </c>
      <c r="E810" s="3">
        <v>45717</v>
      </c>
      <c r="F810" s="2" t="s">
        <v>2392</v>
      </c>
      <c r="G810" s="2">
        <v>36</v>
      </c>
      <c r="H810" s="2">
        <v>2</v>
      </c>
      <c r="I810" s="2" t="s">
        <v>5562</v>
      </c>
      <c r="J810" s="2" t="s">
        <v>2394</v>
      </c>
      <c r="K810" s="2" t="s">
        <v>392</v>
      </c>
      <c r="L810" s="2" t="s">
        <v>29</v>
      </c>
      <c r="M810" s="2" t="s">
        <v>1948</v>
      </c>
      <c r="N810" s="2" t="s">
        <v>2156</v>
      </c>
      <c r="O810" s="2" t="s">
        <v>3438</v>
      </c>
      <c r="P810" s="2" t="s">
        <v>5563</v>
      </c>
      <c r="Q810" s="2" t="s">
        <v>33</v>
      </c>
      <c r="R810" s="2" t="s">
        <v>5564</v>
      </c>
      <c r="S810" s="2" t="s">
        <v>1681</v>
      </c>
      <c r="T810" s="2" t="s">
        <v>2561</v>
      </c>
      <c r="U810" s="2" t="s">
        <v>2562</v>
      </c>
      <c r="V810" s="2" t="s">
        <v>80</v>
      </c>
    </row>
    <row r="811" spans="1:22">
      <c r="A811" s="2" t="s">
        <v>1344</v>
      </c>
      <c r="B811" s="2" t="s">
        <v>5560</v>
      </c>
      <c r="C811" s="2" t="s">
        <v>5561</v>
      </c>
      <c r="D811" s="2">
        <v>2025</v>
      </c>
      <c r="E811" s="3">
        <v>45717</v>
      </c>
      <c r="F811" s="2" t="s">
        <v>2392</v>
      </c>
      <c r="G811" s="2">
        <v>36</v>
      </c>
      <c r="H811" s="2">
        <v>2</v>
      </c>
      <c r="I811" s="2" t="s">
        <v>5562</v>
      </c>
      <c r="J811" s="2" t="s">
        <v>2394</v>
      </c>
      <c r="K811" s="2" t="s">
        <v>392</v>
      </c>
      <c r="L811" s="2" t="s">
        <v>29</v>
      </c>
      <c r="M811" s="2" t="s">
        <v>1948</v>
      </c>
      <c r="N811" s="2" t="s">
        <v>2156</v>
      </c>
      <c r="O811" s="2" t="s">
        <v>3438</v>
      </c>
      <c r="P811" s="2" t="s">
        <v>5563</v>
      </c>
      <c r="Q811" s="2" t="s">
        <v>33</v>
      </c>
      <c r="R811" s="2" t="s">
        <v>5564</v>
      </c>
      <c r="S811" s="2" t="s">
        <v>1681</v>
      </c>
      <c r="T811" s="2" t="s">
        <v>2561</v>
      </c>
      <c r="U811" s="2" t="s">
        <v>2562</v>
      </c>
      <c r="V811" s="2" t="s">
        <v>80</v>
      </c>
    </row>
    <row r="812" spans="1:22">
      <c r="A812" s="2" t="s">
        <v>113</v>
      </c>
      <c r="B812" s="2" t="s">
        <v>5566</v>
      </c>
      <c r="C812" s="2" t="s">
        <v>5567</v>
      </c>
      <c r="D812" s="2">
        <v>2025</v>
      </c>
      <c r="E812" s="3">
        <v>45658</v>
      </c>
      <c r="F812" s="2" t="s">
        <v>5568</v>
      </c>
      <c r="G812" s="2">
        <v>45</v>
      </c>
      <c r="H812" s="2">
        <v>1</v>
      </c>
      <c r="I812" s="2" t="s">
        <v>5569</v>
      </c>
      <c r="J812" s="2" t="s">
        <v>5570</v>
      </c>
      <c r="K812" s="2" t="s">
        <v>5571</v>
      </c>
      <c r="L812" s="2" t="s">
        <v>29</v>
      </c>
      <c r="M812" s="2" t="s">
        <v>393</v>
      </c>
      <c r="N812" s="2" t="s">
        <v>2066</v>
      </c>
      <c r="O812" s="2" t="s">
        <v>5572</v>
      </c>
      <c r="P812" s="2" t="s">
        <v>5573</v>
      </c>
      <c r="Q812" s="2" t="s">
        <v>33</v>
      </c>
      <c r="R812" s="2" t="s">
        <v>5574</v>
      </c>
      <c r="S812" s="2" t="s">
        <v>5575</v>
      </c>
      <c r="T812" s="2" t="s">
        <v>5576</v>
      </c>
      <c r="U812" s="2" t="s">
        <v>5577</v>
      </c>
      <c r="V812" s="2" t="s">
        <v>5578</v>
      </c>
    </row>
    <row r="813" spans="1:22">
      <c r="A813" s="2" t="s">
        <v>5579</v>
      </c>
      <c r="B813" s="2" t="s">
        <v>5580</v>
      </c>
      <c r="C813" s="2" t="s">
        <v>5581</v>
      </c>
      <c r="D813" s="2">
        <v>2024</v>
      </c>
      <c r="E813" s="3">
        <v>45292</v>
      </c>
      <c r="F813" s="2" t="s">
        <v>5582</v>
      </c>
      <c r="G813" s="2" t="s">
        <v>43</v>
      </c>
      <c r="H813" s="2" t="s">
        <v>43</v>
      </c>
      <c r="I813" s="2" t="s">
        <v>5583</v>
      </c>
      <c r="J813" s="2" t="s">
        <v>43</v>
      </c>
      <c r="K813" s="2" t="s">
        <v>4265</v>
      </c>
      <c r="L813" s="2" t="s">
        <v>29</v>
      </c>
      <c r="M813" s="2" t="s">
        <v>43</v>
      </c>
      <c r="N813" s="2" t="s">
        <v>43</v>
      </c>
      <c r="O813" s="2" t="s">
        <v>43</v>
      </c>
      <c r="P813" s="2" t="s">
        <v>5584</v>
      </c>
      <c r="Q813" s="2" t="s">
        <v>1125</v>
      </c>
      <c r="R813" s="2" t="s">
        <v>5585</v>
      </c>
      <c r="S813" s="2" t="s">
        <v>5586</v>
      </c>
      <c r="T813" s="2" t="s">
        <v>5587</v>
      </c>
      <c r="U813" s="2" t="s">
        <v>5588</v>
      </c>
      <c r="V813" s="2" t="s">
        <v>80</v>
      </c>
    </row>
    <row r="814" spans="1:22">
      <c r="A814" s="2" t="s">
        <v>178</v>
      </c>
      <c r="B814" s="2" t="s">
        <v>5589</v>
      </c>
      <c r="C814" s="2" t="s">
        <v>180</v>
      </c>
      <c r="D814" s="2">
        <v>2025</v>
      </c>
      <c r="E814" s="3">
        <v>45809</v>
      </c>
      <c r="F814" s="2" t="s">
        <v>5590</v>
      </c>
      <c r="G814" s="2">
        <v>60</v>
      </c>
      <c r="H814" s="2">
        <v>2</v>
      </c>
      <c r="I814" s="2" t="s">
        <v>43</v>
      </c>
      <c r="J814" s="2" t="s">
        <v>5591</v>
      </c>
      <c r="K814" s="2" t="s">
        <v>119</v>
      </c>
      <c r="L814" s="2" t="s">
        <v>29</v>
      </c>
      <c r="M814" s="2" t="s">
        <v>464</v>
      </c>
      <c r="N814" s="2" t="s">
        <v>1544</v>
      </c>
      <c r="O814" s="4">
        <v>1285</v>
      </c>
      <c r="P814" s="2" t="s">
        <v>5592</v>
      </c>
      <c r="Q814" s="2" t="s">
        <v>33</v>
      </c>
      <c r="R814" s="2" t="s">
        <v>5593</v>
      </c>
      <c r="S814" s="2" t="s">
        <v>398</v>
      </c>
      <c r="T814" s="2" t="s">
        <v>5594</v>
      </c>
      <c r="U814" s="2" t="s">
        <v>5595</v>
      </c>
      <c r="V814" s="2" t="s">
        <v>80</v>
      </c>
    </row>
    <row r="815" spans="1:22">
      <c r="A815" s="2" t="s">
        <v>5596</v>
      </c>
      <c r="B815" s="2" t="s">
        <v>5597</v>
      </c>
      <c r="C815" s="2" t="s">
        <v>5598</v>
      </c>
      <c r="D815" s="2">
        <v>2025</v>
      </c>
      <c r="E815" s="3">
        <v>45845</v>
      </c>
      <c r="F815" s="2" t="s">
        <v>4735</v>
      </c>
      <c r="G815" s="2">
        <v>51</v>
      </c>
      <c r="H815" s="2">
        <v>1</v>
      </c>
      <c r="I815" s="2" t="s">
        <v>5599</v>
      </c>
      <c r="J815" s="2" t="s">
        <v>4737</v>
      </c>
      <c r="K815" s="2" t="s">
        <v>4152</v>
      </c>
      <c r="L815" s="2" t="s">
        <v>773</v>
      </c>
      <c r="M815" s="2" t="s">
        <v>3203</v>
      </c>
      <c r="N815" s="2" t="s">
        <v>3684</v>
      </c>
      <c r="O815" s="2" t="s">
        <v>4177</v>
      </c>
      <c r="P815" s="2" t="s">
        <v>5600</v>
      </c>
      <c r="Q815" s="2" t="s">
        <v>33</v>
      </c>
      <c r="R815" s="2" t="s">
        <v>5601</v>
      </c>
      <c r="S815" s="2" t="s">
        <v>79</v>
      </c>
      <c r="T815" s="5">
        <v>601053680000000</v>
      </c>
      <c r="U815" s="2" t="s">
        <v>79</v>
      </c>
      <c r="V815" s="2" t="s">
        <v>80</v>
      </c>
    </row>
    <row r="816" spans="1:22">
      <c r="A816" s="2" t="s">
        <v>5602</v>
      </c>
      <c r="B816" s="2" t="s">
        <v>5597</v>
      </c>
      <c r="C816" s="2" t="s">
        <v>5598</v>
      </c>
      <c r="D816" s="2">
        <v>2025</v>
      </c>
      <c r="E816" s="3">
        <v>45845</v>
      </c>
      <c r="F816" s="2" t="s">
        <v>4735</v>
      </c>
      <c r="G816" s="2">
        <v>51</v>
      </c>
      <c r="H816" s="2">
        <v>1</v>
      </c>
      <c r="I816" s="2" t="s">
        <v>5599</v>
      </c>
      <c r="J816" s="2" t="s">
        <v>4737</v>
      </c>
      <c r="K816" s="2" t="s">
        <v>4152</v>
      </c>
      <c r="L816" s="2" t="s">
        <v>773</v>
      </c>
      <c r="M816" s="2" t="s">
        <v>3203</v>
      </c>
      <c r="N816" s="2" t="s">
        <v>3684</v>
      </c>
      <c r="O816" s="2" t="s">
        <v>4177</v>
      </c>
      <c r="P816" s="2" t="s">
        <v>5600</v>
      </c>
      <c r="Q816" s="2" t="s">
        <v>33</v>
      </c>
      <c r="R816" s="2" t="s">
        <v>5601</v>
      </c>
      <c r="S816" s="2" t="s">
        <v>79</v>
      </c>
      <c r="T816" s="5">
        <v>601053680000000</v>
      </c>
      <c r="U816" s="2" t="s">
        <v>79</v>
      </c>
      <c r="V816" s="2" t="s">
        <v>80</v>
      </c>
    </row>
    <row r="817" spans="1:22">
      <c r="A817" s="2" t="s">
        <v>3553</v>
      </c>
      <c r="B817" s="2" t="s">
        <v>5603</v>
      </c>
      <c r="C817" s="2" t="s">
        <v>5604</v>
      </c>
      <c r="D817" s="2">
        <v>2025</v>
      </c>
      <c r="E817" s="3">
        <v>45658</v>
      </c>
      <c r="F817" s="2" t="s">
        <v>4357</v>
      </c>
      <c r="G817" s="2" t="s">
        <v>43</v>
      </c>
      <c r="H817" s="2" t="s">
        <v>43</v>
      </c>
      <c r="I817" s="2" t="s">
        <v>43</v>
      </c>
      <c r="J817" s="2" t="s">
        <v>4358</v>
      </c>
      <c r="K817" s="2" t="s">
        <v>2893</v>
      </c>
      <c r="L817" s="2" t="s">
        <v>29</v>
      </c>
      <c r="M817" s="2" t="s">
        <v>43</v>
      </c>
      <c r="N817" s="2" t="s">
        <v>43</v>
      </c>
      <c r="O817" s="2" t="s">
        <v>43</v>
      </c>
      <c r="P817" s="2" t="s">
        <v>5605</v>
      </c>
      <c r="Q817" s="2" t="s">
        <v>2112</v>
      </c>
      <c r="R817" s="2" t="s">
        <v>5606</v>
      </c>
      <c r="S817" s="2" t="s">
        <v>79</v>
      </c>
      <c r="T817" s="5">
        <v>601053680000000</v>
      </c>
      <c r="U817" s="2" t="s">
        <v>79</v>
      </c>
      <c r="V817" s="2" t="s">
        <v>80</v>
      </c>
    </row>
    <row r="818" spans="1:22">
      <c r="A818" s="2" t="s">
        <v>5607</v>
      </c>
      <c r="B818" s="2" t="s">
        <v>5603</v>
      </c>
      <c r="C818" s="2" t="s">
        <v>5604</v>
      </c>
      <c r="D818" s="2">
        <v>2025</v>
      </c>
      <c r="E818" s="3">
        <v>45658</v>
      </c>
      <c r="F818" s="2" t="s">
        <v>4357</v>
      </c>
      <c r="G818" s="2" t="s">
        <v>43</v>
      </c>
      <c r="H818" s="2" t="s">
        <v>43</v>
      </c>
      <c r="I818" s="2" t="s">
        <v>43</v>
      </c>
      <c r="J818" s="2" t="s">
        <v>4358</v>
      </c>
      <c r="K818" s="2" t="s">
        <v>2893</v>
      </c>
      <c r="L818" s="2" t="s">
        <v>29</v>
      </c>
      <c r="M818" s="2" t="s">
        <v>43</v>
      </c>
      <c r="N818" s="2" t="s">
        <v>43</v>
      </c>
      <c r="O818" s="2" t="s">
        <v>43</v>
      </c>
      <c r="P818" s="2" t="s">
        <v>5605</v>
      </c>
      <c r="Q818" s="2" t="s">
        <v>2112</v>
      </c>
      <c r="R818" s="2" t="s">
        <v>5606</v>
      </c>
      <c r="S818" s="2" t="s">
        <v>79</v>
      </c>
      <c r="T818" s="5">
        <v>601053680000000</v>
      </c>
      <c r="U818" s="2" t="s">
        <v>79</v>
      </c>
      <c r="V818" s="2" t="s">
        <v>80</v>
      </c>
    </row>
    <row r="819" spans="1:22">
      <c r="A819" s="2" t="s">
        <v>834</v>
      </c>
      <c r="B819" s="2" t="s">
        <v>5608</v>
      </c>
      <c r="C819" s="2" t="s">
        <v>5609</v>
      </c>
      <c r="D819" s="2">
        <v>2025</v>
      </c>
      <c r="E819" s="3">
        <v>45717</v>
      </c>
      <c r="F819" s="2" t="s">
        <v>389</v>
      </c>
      <c r="G819" s="2">
        <v>100</v>
      </c>
      <c r="H819" s="2">
        <v>2</v>
      </c>
      <c r="I819" s="2" t="s">
        <v>4120</v>
      </c>
      <c r="J819" s="2" t="s">
        <v>391</v>
      </c>
      <c r="K819" s="2" t="s">
        <v>392</v>
      </c>
      <c r="L819" s="2" t="s">
        <v>29</v>
      </c>
      <c r="M819" s="2" t="s">
        <v>1135</v>
      </c>
      <c r="N819" s="2" t="s">
        <v>196</v>
      </c>
      <c r="O819" s="2" t="s">
        <v>5610</v>
      </c>
      <c r="P819" s="2" t="s">
        <v>5611</v>
      </c>
      <c r="Q819" s="2" t="s">
        <v>33</v>
      </c>
      <c r="R819" s="2" t="s">
        <v>5612</v>
      </c>
      <c r="S819" s="2" t="s">
        <v>5613</v>
      </c>
      <c r="T819" s="2" t="s">
        <v>5614</v>
      </c>
      <c r="U819" s="2" t="s">
        <v>5615</v>
      </c>
      <c r="V819" s="2" t="s">
        <v>80</v>
      </c>
    </row>
    <row r="820" spans="1:22" ht="43.2">
      <c r="A820" s="2" t="s">
        <v>493</v>
      </c>
      <c r="B820" s="2" t="s">
        <v>5616</v>
      </c>
      <c r="C820" s="2" t="s">
        <v>495</v>
      </c>
      <c r="D820" s="2">
        <v>2024</v>
      </c>
      <c r="E820" s="3">
        <v>45627</v>
      </c>
      <c r="F820" s="2" t="s">
        <v>496</v>
      </c>
      <c r="G820" s="2">
        <v>10</v>
      </c>
      <c r="H820" s="2">
        <v>1</v>
      </c>
      <c r="I820" s="2" t="s">
        <v>43</v>
      </c>
      <c r="J820" s="2" t="s">
        <v>497</v>
      </c>
      <c r="K820" s="2" t="s">
        <v>220</v>
      </c>
      <c r="L820" s="2" t="s">
        <v>29</v>
      </c>
      <c r="M820" s="2" t="s">
        <v>475</v>
      </c>
      <c r="N820" s="2" t="s">
        <v>498</v>
      </c>
      <c r="O820" s="4">
        <v>2914</v>
      </c>
      <c r="P820" s="2" t="s">
        <v>5617</v>
      </c>
      <c r="Q820" s="2" t="s">
        <v>3843</v>
      </c>
      <c r="R820" s="2" t="s">
        <v>5618</v>
      </c>
      <c r="S820" s="2" t="s">
        <v>501</v>
      </c>
      <c r="T820" s="2" t="s">
        <v>5619</v>
      </c>
      <c r="U820" s="2" t="s">
        <v>5620</v>
      </c>
      <c r="V820" s="2" t="s">
        <v>504</v>
      </c>
    </row>
    <row r="821" spans="1:22" ht="28.8">
      <c r="A821" s="2" t="s">
        <v>727</v>
      </c>
      <c r="B821" s="2" t="s">
        <v>5621</v>
      </c>
      <c r="C821" s="2" t="s">
        <v>5622</v>
      </c>
      <c r="D821" s="2">
        <v>2024</v>
      </c>
      <c r="E821" s="3">
        <v>45292</v>
      </c>
      <c r="F821" s="2" t="s">
        <v>3096</v>
      </c>
      <c r="G821" s="2">
        <v>152</v>
      </c>
      <c r="H821" s="2">
        <v>4</v>
      </c>
      <c r="I821" s="2" t="s">
        <v>5623</v>
      </c>
      <c r="J821" s="2" t="s">
        <v>3098</v>
      </c>
      <c r="K821" s="2" t="s">
        <v>3099</v>
      </c>
      <c r="L821" s="2" t="s">
        <v>1867</v>
      </c>
      <c r="M821" s="2" t="s">
        <v>47</v>
      </c>
      <c r="N821" s="2" t="s">
        <v>2797</v>
      </c>
      <c r="O821" s="2" t="s">
        <v>3100</v>
      </c>
      <c r="P821" s="2" t="s">
        <v>5624</v>
      </c>
      <c r="Q821" s="2" t="s">
        <v>33</v>
      </c>
      <c r="R821" s="2" t="s">
        <v>5625</v>
      </c>
      <c r="S821" s="2" t="s">
        <v>5626</v>
      </c>
      <c r="T821" s="2" t="s">
        <v>5627</v>
      </c>
      <c r="U821" s="2" t="s">
        <v>5628</v>
      </c>
      <c r="V821" s="2" t="s">
        <v>2845</v>
      </c>
    </row>
    <row r="822" spans="1:22">
      <c r="A822" s="2" t="s">
        <v>5629</v>
      </c>
      <c r="B822" s="2" t="s">
        <v>5630</v>
      </c>
      <c r="C822" s="2" t="s">
        <v>5631</v>
      </c>
      <c r="D822" s="2">
        <v>2025</v>
      </c>
      <c r="E822" s="3">
        <v>45658</v>
      </c>
      <c r="F822" s="2" t="s">
        <v>2392</v>
      </c>
      <c r="G822" s="2">
        <v>36</v>
      </c>
      <c r="H822" s="2">
        <v>1</v>
      </c>
      <c r="I822" s="6">
        <v>46363</v>
      </c>
      <c r="J822" s="2" t="s">
        <v>2394</v>
      </c>
      <c r="K822" s="2" t="s">
        <v>392</v>
      </c>
      <c r="L822" s="2" t="s">
        <v>773</v>
      </c>
      <c r="M822" s="2" t="s">
        <v>1948</v>
      </c>
      <c r="N822" s="2" t="s">
        <v>2156</v>
      </c>
      <c r="O822" s="2" t="s">
        <v>3438</v>
      </c>
      <c r="P822" s="2" t="s">
        <v>5632</v>
      </c>
      <c r="Q822" s="2" t="s">
        <v>33</v>
      </c>
      <c r="R822" s="2" t="s">
        <v>5633</v>
      </c>
      <c r="S822" s="2" t="s">
        <v>1681</v>
      </c>
      <c r="T822" s="2" t="s">
        <v>5634</v>
      </c>
      <c r="U822" s="2" t="s">
        <v>5635</v>
      </c>
      <c r="V822" s="2" t="s">
        <v>80</v>
      </c>
    </row>
    <row r="823" spans="1:22">
      <c r="A823" s="2" t="s">
        <v>5636</v>
      </c>
      <c r="B823" s="2" t="s">
        <v>5630</v>
      </c>
      <c r="C823" s="2" t="s">
        <v>5631</v>
      </c>
      <c r="D823" s="2">
        <v>2025</v>
      </c>
      <c r="E823" s="3">
        <v>45658</v>
      </c>
      <c r="F823" s="2" t="s">
        <v>2392</v>
      </c>
      <c r="G823" s="2">
        <v>36</v>
      </c>
      <c r="H823" s="2">
        <v>1</v>
      </c>
      <c r="I823" s="6">
        <v>46363</v>
      </c>
      <c r="J823" s="2" t="s">
        <v>2394</v>
      </c>
      <c r="K823" s="2" t="s">
        <v>392</v>
      </c>
      <c r="L823" s="2" t="s">
        <v>773</v>
      </c>
      <c r="M823" s="2" t="s">
        <v>1948</v>
      </c>
      <c r="N823" s="2" t="s">
        <v>2156</v>
      </c>
      <c r="O823" s="2" t="s">
        <v>3438</v>
      </c>
      <c r="P823" s="2" t="s">
        <v>5632</v>
      </c>
      <c r="Q823" s="2" t="s">
        <v>33</v>
      </c>
      <c r="R823" s="2" t="s">
        <v>5633</v>
      </c>
      <c r="S823" s="2" t="s">
        <v>1681</v>
      </c>
      <c r="T823" s="2" t="s">
        <v>5634</v>
      </c>
      <c r="U823" s="2" t="s">
        <v>5635</v>
      </c>
      <c r="V823" s="2" t="s">
        <v>80</v>
      </c>
    </row>
    <row r="824" spans="1:22">
      <c r="A824" s="2" t="s">
        <v>3903</v>
      </c>
      <c r="B824" s="2" t="s">
        <v>5630</v>
      </c>
      <c r="C824" s="2" t="s">
        <v>5631</v>
      </c>
      <c r="D824" s="2">
        <v>2025</v>
      </c>
      <c r="E824" s="3">
        <v>45658</v>
      </c>
      <c r="F824" s="2" t="s">
        <v>2392</v>
      </c>
      <c r="G824" s="2">
        <v>36</v>
      </c>
      <c r="H824" s="2">
        <v>1</v>
      </c>
      <c r="I824" s="6">
        <v>46363</v>
      </c>
      <c r="J824" s="2" t="s">
        <v>2394</v>
      </c>
      <c r="K824" s="2" t="s">
        <v>392</v>
      </c>
      <c r="L824" s="2" t="s">
        <v>773</v>
      </c>
      <c r="M824" s="2" t="s">
        <v>1948</v>
      </c>
      <c r="N824" s="2" t="s">
        <v>2156</v>
      </c>
      <c r="O824" s="2" t="s">
        <v>3438</v>
      </c>
      <c r="P824" s="2" t="s">
        <v>5632</v>
      </c>
      <c r="Q824" s="2" t="s">
        <v>33</v>
      </c>
      <c r="R824" s="2" t="s">
        <v>5633</v>
      </c>
      <c r="S824" s="2" t="s">
        <v>1681</v>
      </c>
      <c r="T824" s="2" t="s">
        <v>5634</v>
      </c>
      <c r="U824" s="2" t="s">
        <v>5635</v>
      </c>
      <c r="V824" s="2" t="s">
        <v>80</v>
      </c>
    </row>
    <row r="825" spans="1:22">
      <c r="A825" s="2" t="s">
        <v>3892</v>
      </c>
      <c r="B825" s="2" t="s">
        <v>5630</v>
      </c>
      <c r="C825" s="2" t="s">
        <v>5631</v>
      </c>
      <c r="D825" s="2">
        <v>2025</v>
      </c>
      <c r="E825" s="3">
        <v>45658</v>
      </c>
      <c r="F825" s="2" t="s">
        <v>2392</v>
      </c>
      <c r="G825" s="2">
        <v>36</v>
      </c>
      <c r="H825" s="2">
        <v>1</v>
      </c>
      <c r="I825" s="6">
        <v>46363</v>
      </c>
      <c r="J825" s="2" t="s">
        <v>2394</v>
      </c>
      <c r="K825" s="2" t="s">
        <v>392</v>
      </c>
      <c r="L825" s="2" t="s">
        <v>773</v>
      </c>
      <c r="M825" s="2" t="s">
        <v>1948</v>
      </c>
      <c r="N825" s="2" t="s">
        <v>2156</v>
      </c>
      <c r="O825" s="2" t="s">
        <v>3438</v>
      </c>
      <c r="P825" s="2" t="s">
        <v>5632</v>
      </c>
      <c r="Q825" s="2" t="s">
        <v>33</v>
      </c>
      <c r="R825" s="2" t="s">
        <v>5633</v>
      </c>
      <c r="S825" s="2" t="s">
        <v>1681</v>
      </c>
      <c r="T825" s="2" t="s">
        <v>5634</v>
      </c>
      <c r="U825" s="2" t="s">
        <v>5635</v>
      </c>
      <c r="V825" s="2" t="s">
        <v>80</v>
      </c>
    </row>
    <row r="826" spans="1:22">
      <c r="A826" s="2" t="s">
        <v>5637</v>
      </c>
      <c r="B826" s="2" t="s">
        <v>5638</v>
      </c>
      <c r="C826" s="2" t="s">
        <v>5639</v>
      </c>
      <c r="D826" s="2">
        <v>2025</v>
      </c>
      <c r="E826" s="3">
        <v>45748</v>
      </c>
      <c r="F826" s="2" t="s">
        <v>2518</v>
      </c>
      <c r="G826" s="2">
        <v>65</v>
      </c>
      <c r="H826" s="2" t="s">
        <v>43</v>
      </c>
      <c r="I826" s="2" t="s">
        <v>5640</v>
      </c>
      <c r="J826" s="2" t="s">
        <v>2520</v>
      </c>
      <c r="K826" s="2" t="s">
        <v>2521</v>
      </c>
      <c r="L826" s="2" t="s">
        <v>1867</v>
      </c>
      <c r="M826" s="2" t="s">
        <v>1362</v>
      </c>
      <c r="N826" s="2" t="s">
        <v>247</v>
      </c>
      <c r="O826" s="2" t="s">
        <v>2958</v>
      </c>
      <c r="P826" s="2" t="s">
        <v>5641</v>
      </c>
      <c r="Q826" s="2" t="s">
        <v>49</v>
      </c>
      <c r="R826" s="2" t="s">
        <v>5642</v>
      </c>
      <c r="S826" s="2" t="s">
        <v>5643</v>
      </c>
      <c r="T826" s="2" t="s">
        <v>5644</v>
      </c>
      <c r="U826" s="2" t="s">
        <v>5645</v>
      </c>
      <c r="V826" s="2" t="s">
        <v>594</v>
      </c>
    </row>
    <row r="827" spans="1:22">
      <c r="A827" s="2" t="s">
        <v>5646</v>
      </c>
      <c r="B827" s="2" t="s">
        <v>5647</v>
      </c>
      <c r="C827" s="2" t="s">
        <v>5648</v>
      </c>
      <c r="D827" s="2">
        <v>2025</v>
      </c>
      <c r="E827" s="3">
        <v>45992</v>
      </c>
      <c r="F827" s="2" t="s">
        <v>5649</v>
      </c>
      <c r="G827" s="2">
        <v>18</v>
      </c>
      <c r="H827" s="2">
        <v>1</v>
      </c>
      <c r="I827" s="2" t="s">
        <v>5650</v>
      </c>
      <c r="J827" s="2" t="s">
        <v>5651</v>
      </c>
      <c r="K827" s="2" t="s">
        <v>1361</v>
      </c>
      <c r="L827" s="2" t="s">
        <v>29</v>
      </c>
      <c r="M827" s="2" t="s">
        <v>904</v>
      </c>
      <c r="N827" s="2" t="s">
        <v>3684</v>
      </c>
      <c r="O827" s="2" t="s">
        <v>3532</v>
      </c>
      <c r="P827" s="2" t="s">
        <v>5652</v>
      </c>
      <c r="Q827" s="2" t="s">
        <v>33</v>
      </c>
      <c r="R827" s="2" t="s">
        <v>5653</v>
      </c>
      <c r="S827" s="2" t="s">
        <v>682</v>
      </c>
      <c r="T827" s="2" t="s">
        <v>5654</v>
      </c>
      <c r="U827" s="2" t="s">
        <v>5655</v>
      </c>
      <c r="V827" s="2" t="s">
        <v>80</v>
      </c>
    </row>
    <row r="828" spans="1:22">
      <c r="A828" s="2" t="s">
        <v>5656</v>
      </c>
      <c r="B828" s="2" t="s">
        <v>5657</v>
      </c>
      <c r="C828" s="2" t="s">
        <v>5658</v>
      </c>
      <c r="D828" s="2">
        <v>2025</v>
      </c>
      <c r="E828" s="3">
        <v>45901</v>
      </c>
      <c r="F828" s="2" t="s">
        <v>2392</v>
      </c>
      <c r="G828" s="2">
        <v>36</v>
      </c>
      <c r="H828" s="2">
        <v>5</v>
      </c>
      <c r="I828" s="2" t="s">
        <v>43</v>
      </c>
      <c r="J828" s="2" t="s">
        <v>2394</v>
      </c>
      <c r="K828" s="2" t="s">
        <v>392</v>
      </c>
      <c r="L828" s="2" t="s">
        <v>1867</v>
      </c>
      <c r="M828" s="2" t="s">
        <v>1948</v>
      </c>
      <c r="N828" s="2" t="s">
        <v>2156</v>
      </c>
      <c r="O828" s="2" t="s">
        <v>3438</v>
      </c>
      <c r="P828" s="2" t="s">
        <v>5659</v>
      </c>
      <c r="Q828" s="2" t="s">
        <v>3676</v>
      </c>
      <c r="R828" s="2" t="s">
        <v>5660</v>
      </c>
      <c r="S828" s="2" t="s">
        <v>1681</v>
      </c>
      <c r="T828" s="2" t="s">
        <v>2561</v>
      </c>
      <c r="U828" s="2" t="s">
        <v>2562</v>
      </c>
      <c r="V828" s="2" t="s">
        <v>80</v>
      </c>
    </row>
    <row r="829" spans="1:22" ht="57.6">
      <c r="A829" s="2" t="s">
        <v>22</v>
      </c>
      <c r="B829" s="2" t="s">
        <v>5661</v>
      </c>
      <c r="C829" s="2" t="s">
        <v>5662</v>
      </c>
      <c r="D829" s="2">
        <v>2025</v>
      </c>
      <c r="E829" s="3">
        <v>45901</v>
      </c>
      <c r="F829" s="2" t="s">
        <v>357</v>
      </c>
      <c r="G829" s="2">
        <v>20</v>
      </c>
      <c r="H829" s="2">
        <v>9</v>
      </c>
      <c r="I829" s="2" t="s">
        <v>5663</v>
      </c>
      <c r="J829" s="2" t="s">
        <v>359</v>
      </c>
      <c r="K829" s="2" t="s">
        <v>360</v>
      </c>
      <c r="L829" s="2" t="s">
        <v>29</v>
      </c>
      <c r="M829" s="2" t="s">
        <v>361</v>
      </c>
      <c r="N829" s="2" t="s">
        <v>121</v>
      </c>
      <c r="O829" s="4">
        <v>1833</v>
      </c>
      <c r="P829" s="2" t="s">
        <v>5664</v>
      </c>
      <c r="Q829" s="2" t="s">
        <v>3676</v>
      </c>
      <c r="R829" s="2" t="s">
        <v>5665</v>
      </c>
      <c r="S829" s="2" t="s">
        <v>5666</v>
      </c>
      <c r="T829" s="2" t="s">
        <v>5667</v>
      </c>
      <c r="U829" s="2" t="s">
        <v>5668</v>
      </c>
      <c r="V829" s="2" t="s">
        <v>5669</v>
      </c>
    </row>
    <row r="830" spans="1:22">
      <c r="A830" s="2" t="s">
        <v>5670</v>
      </c>
      <c r="B830" s="2" t="s">
        <v>5671</v>
      </c>
      <c r="C830" s="2" t="s">
        <v>5672</v>
      </c>
      <c r="D830" s="2">
        <v>2024</v>
      </c>
      <c r="E830" s="3">
        <v>45597</v>
      </c>
      <c r="F830" s="2" t="s">
        <v>3046</v>
      </c>
      <c r="G830" s="2">
        <v>95</v>
      </c>
      <c r="H830" s="2">
        <v>6</v>
      </c>
      <c r="I830" s="2" t="s">
        <v>5673</v>
      </c>
      <c r="J830" s="2" t="s">
        <v>3048</v>
      </c>
      <c r="K830" s="2" t="s">
        <v>3049</v>
      </c>
      <c r="L830" s="2" t="s">
        <v>1867</v>
      </c>
      <c r="M830" s="2" t="s">
        <v>1948</v>
      </c>
      <c r="N830" s="2" t="s">
        <v>428</v>
      </c>
      <c r="O830" s="2" t="s">
        <v>3685</v>
      </c>
      <c r="P830" s="2" t="s">
        <v>5674</v>
      </c>
      <c r="Q830" s="2" t="s">
        <v>33</v>
      </c>
      <c r="R830" s="2" t="s">
        <v>5675</v>
      </c>
      <c r="S830" s="2" t="s">
        <v>79</v>
      </c>
      <c r="T830" s="2" t="s">
        <v>5676</v>
      </c>
      <c r="U830" s="2" t="s">
        <v>5677</v>
      </c>
      <c r="V830" s="2" t="s">
        <v>1380</v>
      </c>
    </row>
    <row r="831" spans="1:22" ht="28.8">
      <c r="A831" s="2" t="s">
        <v>622</v>
      </c>
      <c r="B831" s="2" t="s">
        <v>5678</v>
      </c>
      <c r="C831" s="2" t="s">
        <v>5679</v>
      </c>
      <c r="D831" s="2">
        <v>2025</v>
      </c>
      <c r="E831" s="3">
        <v>45658</v>
      </c>
      <c r="F831" s="2" t="s">
        <v>5680</v>
      </c>
      <c r="G831" s="2">
        <v>11</v>
      </c>
      <c r="H831" s="2">
        <v>3</v>
      </c>
      <c r="I831" s="2" t="s">
        <v>43</v>
      </c>
      <c r="J831" s="2" t="s">
        <v>5681</v>
      </c>
      <c r="K831" s="2" t="s">
        <v>5682</v>
      </c>
      <c r="L831" s="2" t="s">
        <v>29</v>
      </c>
      <c r="M831" s="2" t="s">
        <v>4498</v>
      </c>
      <c r="N831" s="2" t="s">
        <v>5683</v>
      </c>
      <c r="O831" s="2" t="s">
        <v>5684</v>
      </c>
      <c r="P831" s="2" t="s">
        <v>5685</v>
      </c>
      <c r="Q831" s="2" t="s">
        <v>33</v>
      </c>
      <c r="R831" s="2" t="s">
        <v>5686</v>
      </c>
      <c r="S831" s="2" t="s">
        <v>5687</v>
      </c>
      <c r="T831" s="2" t="s">
        <v>5688</v>
      </c>
      <c r="U831" s="2" t="s">
        <v>5689</v>
      </c>
      <c r="V831" s="2" t="s">
        <v>80</v>
      </c>
    </row>
    <row r="832" spans="1:22" ht="28.8">
      <c r="A832" s="2" t="s">
        <v>5690</v>
      </c>
      <c r="B832" s="2" t="s">
        <v>5691</v>
      </c>
      <c r="C832" s="2" t="s">
        <v>5692</v>
      </c>
      <c r="D832" s="2">
        <v>2025</v>
      </c>
      <c r="E832" s="3">
        <v>45931</v>
      </c>
      <c r="F832" s="2" t="s">
        <v>5693</v>
      </c>
      <c r="G832" s="2">
        <v>13</v>
      </c>
      <c r="H832" s="2">
        <v>5</v>
      </c>
      <c r="I832" s="2" t="s">
        <v>43</v>
      </c>
      <c r="J832" s="2" t="s">
        <v>5694</v>
      </c>
      <c r="K832" s="2" t="s">
        <v>3037</v>
      </c>
      <c r="L832" s="2" t="s">
        <v>29</v>
      </c>
      <c r="M832" s="2" t="s">
        <v>2522</v>
      </c>
      <c r="N832" s="2" t="s">
        <v>854</v>
      </c>
      <c r="O832" s="2" t="s">
        <v>5695</v>
      </c>
      <c r="P832" s="2" t="s">
        <v>5696</v>
      </c>
      <c r="Q832" s="2" t="s">
        <v>33</v>
      </c>
      <c r="R832" s="2" t="s">
        <v>5697</v>
      </c>
      <c r="S832" s="2" t="s">
        <v>5698</v>
      </c>
      <c r="T832" s="2" t="s">
        <v>5699</v>
      </c>
      <c r="U832" s="2" t="s">
        <v>5700</v>
      </c>
      <c r="V832" s="2" t="s">
        <v>5701</v>
      </c>
    </row>
    <row r="833" spans="1:22" ht="28.8">
      <c r="A833" s="2" t="s">
        <v>5702</v>
      </c>
      <c r="B833" s="2" t="s">
        <v>5691</v>
      </c>
      <c r="C833" s="2" t="s">
        <v>5692</v>
      </c>
      <c r="D833" s="2">
        <v>2025</v>
      </c>
      <c r="E833" s="3">
        <v>45931</v>
      </c>
      <c r="F833" s="2" t="s">
        <v>5693</v>
      </c>
      <c r="G833" s="2">
        <v>13</v>
      </c>
      <c r="H833" s="2">
        <v>5</v>
      </c>
      <c r="I833" s="2" t="s">
        <v>43</v>
      </c>
      <c r="J833" s="2" t="s">
        <v>5694</v>
      </c>
      <c r="K833" s="2" t="s">
        <v>3037</v>
      </c>
      <c r="L833" s="2" t="s">
        <v>29</v>
      </c>
      <c r="M833" s="2" t="s">
        <v>2522</v>
      </c>
      <c r="N833" s="2" t="s">
        <v>854</v>
      </c>
      <c r="O833" s="2" t="s">
        <v>5695</v>
      </c>
      <c r="P833" s="2" t="s">
        <v>5696</v>
      </c>
      <c r="Q833" s="2" t="s">
        <v>33</v>
      </c>
      <c r="R833" s="2" t="s">
        <v>5697</v>
      </c>
      <c r="S833" s="2" t="s">
        <v>5698</v>
      </c>
      <c r="T833" s="2" t="s">
        <v>5699</v>
      </c>
      <c r="U833" s="2" t="s">
        <v>5700</v>
      </c>
      <c r="V833" s="2" t="s">
        <v>5701</v>
      </c>
    </row>
    <row r="834" spans="1:22">
      <c r="A834" s="2" t="s">
        <v>5703</v>
      </c>
      <c r="B834" s="2" t="s">
        <v>5704</v>
      </c>
      <c r="C834" s="2" t="s">
        <v>5705</v>
      </c>
      <c r="D834" s="2">
        <v>2025</v>
      </c>
      <c r="E834" s="3">
        <v>45931</v>
      </c>
      <c r="F834" s="2" t="s">
        <v>5706</v>
      </c>
      <c r="G834" s="2">
        <v>30</v>
      </c>
      <c r="H834" s="2">
        <v>4</v>
      </c>
      <c r="I834" s="2" t="s">
        <v>43</v>
      </c>
      <c r="J834" s="2" t="s">
        <v>5707</v>
      </c>
      <c r="K834" s="2" t="s">
        <v>1258</v>
      </c>
      <c r="L834" s="2" t="s">
        <v>29</v>
      </c>
      <c r="M834" s="2" t="s">
        <v>2381</v>
      </c>
      <c r="N834" s="2" t="s">
        <v>2144</v>
      </c>
      <c r="O834" s="2" t="s">
        <v>3300</v>
      </c>
      <c r="P834" s="2" t="s">
        <v>5708</v>
      </c>
      <c r="Q834" s="2" t="s">
        <v>644</v>
      </c>
      <c r="R834" s="2" t="s">
        <v>5709</v>
      </c>
      <c r="S834" s="2" t="s">
        <v>763</v>
      </c>
      <c r="T834" s="2" t="s">
        <v>764</v>
      </c>
      <c r="U834" s="2" t="s">
        <v>765</v>
      </c>
      <c r="V834" s="2" t="s">
        <v>766</v>
      </c>
    </row>
    <row r="835" spans="1:22">
      <c r="A835" s="2" t="s">
        <v>834</v>
      </c>
      <c r="B835" s="2" t="s">
        <v>5710</v>
      </c>
      <c r="C835" s="2" t="s">
        <v>5711</v>
      </c>
      <c r="D835" s="2">
        <v>2025</v>
      </c>
      <c r="E835" s="3">
        <v>45658</v>
      </c>
      <c r="F835" s="2" t="s">
        <v>4161</v>
      </c>
      <c r="G835" s="2">
        <v>40</v>
      </c>
      <c r="H835" s="2">
        <v>1</v>
      </c>
      <c r="I835" s="2" t="s">
        <v>5712</v>
      </c>
      <c r="J835" s="2" t="s">
        <v>4163</v>
      </c>
      <c r="K835" s="2" t="s">
        <v>772</v>
      </c>
      <c r="L835" s="2" t="s">
        <v>5713</v>
      </c>
      <c r="M835" s="2" t="s">
        <v>3416</v>
      </c>
      <c r="N835" s="2" t="s">
        <v>4165</v>
      </c>
      <c r="O835" s="2" t="s">
        <v>5237</v>
      </c>
      <c r="P835" s="2" t="s">
        <v>5714</v>
      </c>
      <c r="Q835" s="2" t="s">
        <v>33</v>
      </c>
      <c r="R835" s="2" t="s">
        <v>5715</v>
      </c>
      <c r="S835" s="2" t="s">
        <v>5240</v>
      </c>
      <c r="T835" s="2" t="s">
        <v>5716</v>
      </c>
      <c r="U835" s="2" t="s">
        <v>5717</v>
      </c>
      <c r="V835" s="2" t="s">
        <v>80</v>
      </c>
    </row>
    <row r="836" spans="1:22">
      <c r="A836" s="2" t="s">
        <v>128</v>
      </c>
      <c r="B836" s="2" t="s">
        <v>5718</v>
      </c>
      <c r="C836" s="2" t="s">
        <v>5719</v>
      </c>
      <c r="D836" s="2">
        <v>2024</v>
      </c>
      <c r="E836" s="3">
        <v>45292</v>
      </c>
      <c r="F836" s="2" t="s">
        <v>1812</v>
      </c>
      <c r="G836" s="2" t="s">
        <v>43</v>
      </c>
      <c r="H836" s="2" t="s">
        <v>43</v>
      </c>
      <c r="I836" s="2" t="s">
        <v>5720</v>
      </c>
      <c r="J836" s="2" t="s">
        <v>43</v>
      </c>
      <c r="K836" s="2" t="s">
        <v>1814</v>
      </c>
      <c r="L836" s="2" t="s">
        <v>29</v>
      </c>
      <c r="M836" s="2" t="s">
        <v>43</v>
      </c>
      <c r="N836" s="2" t="s">
        <v>43</v>
      </c>
      <c r="O836" s="2" t="s">
        <v>43</v>
      </c>
      <c r="P836" s="2" t="s">
        <v>5721</v>
      </c>
      <c r="Q836" s="2" t="s">
        <v>1125</v>
      </c>
      <c r="R836" s="2" t="s">
        <v>5722</v>
      </c>
      <c r="S836" s="2" t="s">
        <v>79</v>
      </c>
      <c r="T836" s="2" t="s">
        <v>3785</v>
      </c>
      <c r="U836" s="2" t="s">
        <v>3786</v>
      </c>
      <c r="V836" s="2" t="s">
        <v>141</v>
      </c>
    </row>
    <row r="837" spans="1:22" ht="72">
      <c r="A837" s="2" t="s">
        <v>560</v>
      </c>
      <c r="B837" s="2" t="s">
        <v>5723</v>
      </c>
      <c r="C837" s="2" t="s">
        <v>5724</v>
      </c>
      <c r="D837" s="2">
        <v>2025</v>
      </c>
      <c r="E837" s="3">
        <v>45748</v>
      </c>
      <c r="F837" s="2" t="s">
        <v>5725</v>
      </c>
      <c r="G837" s="2">
        <v>5</v>
      </c>
      <c r="H837" s="2">
        <v>2</v>
      </c>
      <c r="I837" s="2" t="s">
        <v>5726</v>
      </c>
      <c r="J837" s="2" t="s">
        <v>5727</v>
      </c>
      <c r="K837" s="2" t="s">
        <v>5728</v>
      </c>
      <c r="L837" s="2" t="s">
        <v>29</v>
      </c>
      <c r="M837" s="2" t="s">
        <v>2558</v>
      </c>
      <c r="N837" s="2" t="s">
        <v>234</v>
      </c>
      <c r="O837" s="4">
        <v>1235</v>
      </c>
      <c r="P837" s="2" t="s">
        <v>5729</v>
      </c>
      <c r="Q837" s="2" t="s">
        <v>33</v>
      </c>
      <c r="R837" s="2" t="s">
        <v>5730</v>
      </c>
      <c r="S837" s="2" t="s">
        <v>5731</v>
      </c>
      <c r="T837" s="2" t="s">
        <v>5732</v>
      </c>
      <c r="U837" s="2" t="s">
        <v>5733</v>
      </c>
      <c r="V837" s="2" t="s">
        <v>4715</v>
      </c>
    </row>
    <row r="838" spans="1:22">
      <c r="A838" s="2" t="s">
        <v>5734</v>
      </c>
      <c r="B838" s="2" t="s">
        <v>5735</v>
      </c>
      <c r="C838" s="2" t="s">
        <v>5736</v>
      </c>
      <c r="D838" s="2">
        <v>2025</v>
      </c>
      <c r="E838" s="3">
        <v>45809</v>
      </c>
      <c r="F838" s="2" t="s">
        <v>167</v>
      </c>
      <c r="G838" s="2">
        <v>-2025</v>
      </c>
      <c r="H838" s="2">
        <v>36</v>
      </c>
      <c r="I838" s="2" t="s">
        <v>43</v>
      </c>
      <c r="J838" s="2" t="s">
        <v>5737</v>
      </c>
      <c r="K838" s="2" t="s">
        <v>5738</v>
      </c>
      <c r="L838" s="2" t="s">
        <v>1867</v>
      </c>
      <c r="M838" s="2" t="s">
        <v>2203</v>
      </c>
      <c r="N838" s="2" t="s">
        <v>1520</v>
      </c>
      <c r="O838" s="2" t="s">
        <v>5739</v>
      </c>
      <c r="P838" s="2" t="s">
        <v>5740</v>
      </c>
      <c r="Q838" s="2" t="s">
        <v>33</v>
      </c>
      <c r="R838" s="2" t="s">
        <v>5741</v>
      </c>
      <c r="S838" s="2" t="s">
        <v>79</v>
      </c>
      <c r="T838" s="5">
        <v>601053680000000</v>
      </c>
      <c r="U838" s="2" t="s">
        <v>79</v>
      </c>
      <c r="V838" s="2" t="s">
        <v>80</v>
      </c>
    </row>
    <row r="839" spans="1:22">
      <c r="A839" s="2" t="s">
        <v>5742</v>
      </c>
      <c r="B839" s="2" t="s">
        <v>5743</v>
      </c>
      <c r="C839" s="2" t="s">
        <v>5744</v>
      </c>
      <c r="D839" s="2">
        <v>2025</v>
      </c>
      <c r="E839" s="3">
        <v>45962</v>
      </c>
      <c r="F839" s="2" t="s">
        <v>5745</v>
      </c>
      <c r="G839" s="2">
        <v>70</v>
      </c>
      <c r="H839" s="2" t="s">
        <v>43</v>
      </c>
      <c r="I839" s="2" t="s">
        <v>43</v>
      </c>
      <c r="J839" s="2" t="s">
        <v>5746</v>
      </c>
      <c r="K839" s="2" t="s">
        <v>5747</v>
      </c>
      <c r="L839" s="2" t="s">
        <v>29</v>
      </c>
      <c r="M839" s="2" t="s">
        <v>774</v>
      </c>
      <c r="N839" s="2" t="s">
        <v>2797</v>
      </c>
      <c r="O839" s="2" t="s">
        <v>3600</v>
      </c>
      <c r="P839" s="2" t="s">
        <v>5748</v>
      </c>
      <c r="Q839" s="2" t="s">
        <v>49</v>
      </c>
      <c r="R839" s="2" t="s">
        <v>5749</v>
      </c>
      <c r="S839" s="2" t="s">
        <v>511</v>
      </c>
      <c r="T839" s="2" t="s">
        <v>512</v>
      </c>
      <c r="U839" s="2" t="s">
        <v>511</v>
      </c>
      <c r="V839" s="2" t="s">
        <v>80</v>
      </c>
    </row>
    <row r="840" spans="1:22">
      <c r="A840" s="2" t="s">
        <v>5750</v>
      </c>
      <c r="B840" s="2" t="s">
        <v>5751</v>
      </c>
      <c r="C840" s="2" t="s">
        <v>5752</v>
      </c>
      <c r="D840" s="2">
        <v>2025</v>
      </c>
      <c r="E840" s="3">
        <v>45782</v>
      </c>
      <c r="F840" s="2" t="s">
        <v>5753</v>
      </c>
      <c r="G840" s="2">
        <v>14</v>
      </c>
      <c r="H840" s="2">
        <v>1</v>
      </c>
      <c r="I840" s="2" t="s">
        <v>5754</v>
      </c>
      <c r="J840" s="2" t="s">
        <v>5755</v>
      </c>
      <c r="K840" s="2" t="s">
        <v>4795</v>
      </c>
      <c r="L840" s="2" t="s">
        <v>29</v>
      </c>
      <c r="M840" s="2" t="s">
        <v>3357</v>
      </c>
      <c r="N840" s="2" t="s">
        <v>5756</v>
      </c>
      <c r="O840" s="2" t="s">
        <v>5139</v>
      </c>
      <c r="P840" s="2" t="s">
        <v>5757</v>
      </c>
      <c r="Q840" s="2" t="s">
        <v>33</v>
      </c>
      <c r="R840" s="2" t="s">
        <v>5758</v>
      </c>
      <c r="S840" s="2" t="s">
        <v>79</v>
      </c>
      <c r="T840" s="2" t="s">
        <v>5759</v>
      </c>
      <c r="U840" s="2" t="s">
        <v>5760</v>
      </c>
      <c r="V840" s="2" t="s">
        <v>80</v>
      </c>
    </row>
    <row r="841" spans="1:22">
      <c r="A841" s="2" t="s">
        <v>5761</v>
      </c>
      <c r="B841" s="2" t="s">
        <v>5751</v>
      </c>
      <c r="C841" s="2" t="s">
        <v>5752</v>
      </c>
      <c r="D841" s="2">
        <v>2025</v>
      </c>
      <c r="E841" s="3">
        <v>45782</v>
      </c>
      <c r="F841" s="2" t="s">
        <v>5753</v>
      </c>
      <c r="G841" s="2">
        <v>14</v>
      </c>
      <c r="H841" s="2">
        <v>1</v>
      </c>
      <c r="I841" s="2" t="s">
        <v>5754</v>
      </c>
      <c r="J841" s="2" t="s">
        <v>5755</v>
      </c>
      <c r="K841" s="2" t="s">
        <v>4795</v>
      </c>
      <c r="L841" s="2" t="s">
        <v>29</v>
      </c>
      <c r="M841" s="2" t="s">
        <v>3357</v>
      </c>
      <c r="N841" s="2" t="s">
        <v>5756</v>
      </c>
      <c r="O841" s="2" t="s">
        <v>5139</v>
      </c>
      <c r="P841" s="2" t="s">
        <v>5757</v>
      </c>
      <c r="Q841" s="2" t="s">
        <v>33</v>
      </c>
      <c r="R841" s="2" t="s">
        <v>5758</v>
      </c>
      <c r="S841" s="2" t="s">
        <v>79</v>
      </c>
      <c r="T841" s="2" t="s">
        <v>5759</v>
      </c>
      <c r="U841" s="2" t="s">
        <v>5760</v>
      </c>
      <c r="V841" s="2" t="s">
        <v>80</v>
      </c>
    </row>
    <row r="842" spans="1:22">
      <c r="A842" s="2" t="s">
        <v>5762</v>
      </c>
      <c r="B842" s="2" t="s">
        <v>5751</v>
      </c>
      <c r="C842" s="2" t="s">
        <v>5752</v>
      </c>
      <c r="D842" s="2">
        <v>2025</v>
      </c>
      <c r="E842" s="3">
        <v>45782</v>
      </c>
      <c r="F842" s="2" t="s">
        <v>5753</v>
      </c>
      <c r="G842" s="2">
        <v>14</v>
      </c>
      <c r="H842" s="2">
        <v>1</v>
      </c>
      <c r="I842" s="2" t="s">
        <v>5754</v>
      </c>
      <c r="J842" s="2" t="s">
        <v>5755</v>
      </c>
      <c r="K842" s="2" t="s">
        <v>4795</v>
      </c>
      <c r="L842" s="2" t="s">
        <v>29</v>
      </c>
      <c r="M842" s="2" t="s">
        <v>3357</v>
      </c>
      <c r="N842" s="2" t="s">
        <v>5756</v>
      </c>
      <c r="O842" s="2" t="s">
        <v>5139</v>
      </c>
      <c r="P842" s="2" t="s">
        <v>5757</v>
      </c>
      <c r="Q842" s="2" t="s">
        <v>33</v>
      </c>
      <c r="R842" s="2" t="s">
        <v>5758</v>
      </c>
      <c r="S842" s="2" t="s">
        <v>79</v>
      </c>
      <c r="T842" s="2" t="s">
        <v>5759</v>
      </c>
      <c r="U842" s="2" t="s">
        <v>5760</v>
      </c>
      <c r="V842" s="2" t="s">
        <v>80</v>
      </c>
    </row>
    <row r="843" spans="1:22">
      <c r="A843" s="2" t="s">
        <v>3181</v>
      </c>
      <c r="B843" s="2" t="s">
        <v>5751</v>
      </c>
      <c r="C843" s="2" t="s">
        <v>5752</v>
      </c>
      <c r="D843" s="2">
        <v>2025</v>
      </c>
      <c r="E843" s="3">
        <v>45782</v>
      </c>
      <c r="F843" s="2" t="s">
        <v>5753</v>
      </c>
      <c r="G843" s="2">
        <v>14</v>
      </c>
      <c r="H843" s="2">
        <v>1</v>
      </c>
      <c r="I843" s="2" t="s">
        <v>5754</v>
      </c>
      <c r="J843" s="2" t="s">
        <v>5755</v>
      </c>
      <c r="K843" s="2" t="s">
        <v>4795</v>
      </c>
      <c r="L843" s="2" t="s">
        <v>29</v>
      </c>
      <c r="M843" s="2" t="s">
        <v>3357</v>
      </c>
      <c r="N843" s="2" t="s">
        <v>5756</v>
      </c>
      <c r="O843" s="2" t="s">
        <v>5139</v>
      </c>
      <c r="P843" s="2" t="s">
        <v>5757</v>
      </c>
      <c r="Q843" s="2" t="s">
        <v>33</v>
      </c>
      <c r="R843" s="2" t="s">
        <v>5758</v>
      </c>
      <c r="S843" s="2" t="s">
        <v>79</v>
      </c>
      <c r="T843" s="2" t="s">
        <v>5759</v>
      </c>
      <c r="U843" s="2" t="s">
        <v>5760</v>
      </c>
      <c r="V843" s="2" t="s">
        <v>80</v>
      </c>
    </row>
    <row r="844" spans="1:22">
      <c r="A844" s="2" t="s">
        <v>3141</v>
      </c>
      <c r="B844" s="2" t="s">
        <v>5763</v>
      </c>
      <c r="C844" s="2" t="s">
        <v>5764</v>
      </c>
      <c r="D844" s="2">
        <v>2025</v>
      </c>
      <c r="E844" s="3">
        <v>45931</v>
      </c>
      <c r="F844" s="2" t="s">
        <v>2912</v>
      </c>
      <c r="G844" s="2">
        <v>52</v>
      </c>
      <c r="H844" s="2">
        <v>5</v>
      </c>
      <c r="I844" s="2" t="s">
        <v>5765</v>
      </c>
      <c r="J844" s="2" t="s">
        <v>2914</v>
      </c>
      <c r="K844" s="2" t="s">
        <v>2915</v>
      </c>
      <c r="L844" s="2" t="s">
        <v>1867</v>
      </c>
      <c r="M844" s="2" t="s">
        <v>47</v>
      </c>
      <c r="N844" s="2" t="s">
        <v>2916</v>
      </c>
      <c r="O844" s="2" t="s">
        <v>2917</v>
      </c>
      <c r="P844" s="2" t="s">
        <v>5766</v>
      </c>
      <c r="Q844" s="2" t="s">
        <v>33</v>
      </c>
      <c r="R844" s="2" t="s">
        <v>5767</v>
      </c>
      <c r="S844" s="2" t="s">
        <v>5768</v>
      </c>
      <c r="T844" s="2" t="s">
        <v>5769</v>
      </c>
      <c r="U844" s="2" t="s">
        <v>5770</v>
      </c>
      <c r="V844" s="2" t="s">
        <v>559</v>
      </c>
    </row>
    <row r="845" spans="1:22" ht="28.8">
      <c r="A845" s="2" t="s">
        <v>276</v>
      </c>
      <c r="B845" s="2" t="s">
        <v>5771</v>
      </c>
      <c r="C845" s="2" t="s">
        <v>5772</v>
      </c>
      <c r="D845" s="2">
        <v>2025</v>
      </c>
      <c r="E845" s="3">
        <v>45901</v>
      </c>
      <c r="F845" s="2" t="s">
        <v>1470</v>
      </c>
      <c r="G845" s="2">
        <v>15</v>
      </c>
      <c r="H845" s="2">
        <v>17</v>
      </c>
      <c r="I845" s="2" t="s">
        <v>43</v>
      </c>
      <c r="J845" s="2" t="s">
        <v>1471</v>
      </c>
      <c r="K845" s="2" t="s">
        <v>61</v>
      </c>
      <c r="L845" s="2" t="s">
        <v>29</v>
      </c>
      <c r="M845" s="2" t="s">
        <v>246</v>
      </c>
      <c r="N845" s="2" t="s">
        <v>1581</v>
      </c>
      <c r="O845" s="2" t="s">
        <v>2336</v>
      </c>
      <c r="P845" s="2" t="s">
        <v>5773</v>
      </c>
      <c r="Q845" s="2" t="s">
        <v>49</v>
      </c>
      <c r="R845" s="2" t="s">
        <v>5774</v>
      </c>
      <c r="S845" s="2" t="s">
        <v>5775</v>
      </c>
      <c r="T845" s="2" t="s">
        <v>5776</v>
      </c>
      <c r="U845" s="2" t="s">
        <v>5777</v>
      </c>
      <c r="V845" s="2" t="s">
        <v>2996</v>
      </c>
    </row>
    <row r="846" spans="1:22" ht="28.8">
      <c r="A846" s="2" t="s">
        <v>5778</v>
      </c>
      <c r="B846" s="2" t="s">
        <v>5771</v>
      </c>
      <c r="C846" s="2" t="s">
        <v>5772</v>
      </c>
      <c r="D846" s="2">
        <v>2025</v>
      </c>
      <c r="E846" s="3">
        <v>45901</v>
      </c>
      <c r="F846" s="2" t="s">
        <v>1470</v>
      </c>
      <c r="G846" s="2">
        <v>15</v>
      </c>
      <c r="H846" s="2">
        <v>17</v>
      </c>
      <c r="I846" s="2" t="s">
        <v>43</v>
      </c>
      <c r="J846" s="2" t="s">
        <v>1471</v>
      </c>
      <c r="K846" s="2" t="s">
        <v>61</v>
      </c>
      <c r="L846" s="2" t="s">
        <v>29</v>
      </c>
      <c r="M846" s="2" t="s">
        <v>246</v>
      </c>
      <c r="N846" s="2" t="s">
        <v>1581</v>
      </c>
      <c r="O846" s="2" t="s">
        <v>2336</v>
      </c>
      <c r="P846" s="2" t="s">
        <v>5773</v>
      </c>
      <c r="Q846" s="2" t="s">
        <v>49</v>
      </c>
      <c r="R846" s="2" t="s">
        <v>5774</v>
      </c>
      <c r="S846" s="2" t="s">
        <v>5775</v>
      </c>
      <c r="T846" s="2" t="s">
        <v>5776</v>
      </c>
      <c r="U846" s="2" t="s">
        <v>5777</v>
      </c>
      <c r="V846" s="2" t="s">
        <v>2996</v>
      </c>
    </row>
    <row r="847" spans="1:22" ht="28.8">
      <c r="A847" s="2" t="s">
        <v>5779</v>
      </c>
      <c r="B847" s="2" t="s">
        <v>5771</v>
      </c>
      <c r="C847" s="2" t="s">
        <v>5772</v>
      </c>
      <c r="D847" s="2">
        <v>2025</v>
      </c>
      <c r="E847" s="3">
        <v>45901</v>
      </c>
      <c r="F847" s="2" t="s">
        <v>1470</v>
      </c>
      <c r="G847" s="2">
        <v>15</v>
      </c>
      <c r="H847" s="2">
        <v>17</v>
      </c>
      <c r="I847" s="2" t="s">
        <v>43</v>
      </c>
      <c r="J847" s="2" t="s">
        <v>1471</v>
      </c>
      <c r="K847" s="2" t="s">
        <v>61</v>
      </c>
      <c r="L847" s="2" t="s">
        <v>29</v>
      </c>
      <c r="M847" s="2" t="s">
        <v>246</v>
      </c>
      <c r="N847" s="2" t="s">
        <v>1581</v>
      </c>
      <c r="O847" s="2" t="s">
        <v>2336</v>
      </c>
      <c r="P847" s="2" t="s">
        <v>5773</v>
      </c>
      <c r="Q847" s="2" t="s">
        <v>49</v>
      </c>
      <c r="R847" s="2" t="s">
        <v>5774</v>
      </c>
      <c r="S847" s="2" t="s">
        <v>5775</v>
      </c>
      <c r="T847" s="2" t="s">
        <v>5776</v>
      </c>
      <c r="U847" s="2" t="s">
        <v>5777</v>
      </c>
      <c r="V847" s="2" t="s">
        <v>2996</v>
      </c>
    </row>
    <row r="848" spans="1:22" ht="28.8">
      <c r="A848" s="2" t="s">
        <v>5780</v>
      </c>
      <c r="B848" s="2" t="s">
        <v>5771</v>
      </c>
      <c r="C848" s="2" t="s">
        <v>5772</v>
      </c>
      <c r="D848" s="2">
        <v>2025</v>
      </c>
      <c r="E848" s="3">
        <v>45901</v>
      </c>
      <c r="F848" s="2" t="s">
        <v>1470</v>
      </c>
      <c r="G848" s="2">
        <v>15</v>
      </c>
      <c r="H848" s="2">
        <v>17</v>
      </c>
      <c r="I848" s="2" t="s">
        <v>43</v>
      </c>
      <c r="J848" s="2" t="s">
        <v>1471</v>
      </c>
      <c r="K848" s="2" t="s">
        <v>61</v>
      </c>
      <c r="L848" s="2" t="s">
        <v>29</v>
      </c>
      <c r="M848" s="2" t="s">
        <v>246</v>
      </c>
      <c r="N848" s="2" t="s">
        <v>1581</v>
      </c>
      <c r="O848" s="2" t="s">
        <v>2336</v>
      </c>
      <c r="P848" s="2" t="s">
        <v>5773</v>
      </c>
      <c r="Q848" s="2" t="s">
        <v>49</v>
      </c>
      <c r="R848" s="2" t="s">
        <v>5774</v>
      </c>
      <c r="S848" s="2" t="s">
        <v>5775</v>
      </c>
      <c r="T848" s="2" t="s">
        <v>5776</v>
      </c>
      <c r="U848" s="2" t="s">
        <v>5777</v>
      </c>
      <c r="V848" s="2" t="s">
        <v>2996</v>
      </c>
    </row>
    <row r="849" spans="1:22" ht="28.8">
      <c r="A849" s="2" t="s">
        <v>5781</v>
      </c>
      <c r="B849" s="2" t="s">
        <v>5771</v>
      </c>
      <c r="C849" s="2" t="s">
        <v>5772</v>
      </c>
      <c r="D849" s="2">
        <v>2025</v>
      </c>
      <c r="E849" s="3">
        <v>45901</v>
      </c>
      <c r="F849" s="2" t="s">
        <v>1470</v>
      </c>
      <c r="G849" s="2">
        <v>15</v>
      </c>
      <c r="H849" s="2">
        <v>17</v>
      </c>
      <c r="I849" s="2" t="s">
        <v>43</v>
      </c>
      <c r="J849" s="2" t="s">
        <v>1471</v>
      </c>
      <c r="K849" s="2" t="s">
        <v>61</v>
      </c>
      <c r="L849" s="2" t="s">
        <v>29</v>
      </c>
      <c r="M849" s="2" t="s">
        <v>246</v>
      </c>
      <c r="N849" s="2" t="s">
        <v>1581</v>
      </c>
      <c r="O849" s="2" t="s">
        <v>2336</v>
      </c>
      <c r="P849" s="2" t="s">
        <v>5773</v>
      </c>
      <c r="Q849" s="2" t="s">
        <v>49</v>
      </c>
      <c r="R849" s="2" t="s">
        <v>5774</v>
      </c>
      <c r="S849" s="2" t="s">
        <v>5775</v>
      </c>
      <c r="T849" s="2" t="s">
        <v>5776</v>
      </c>
      <c r="U849" s="2" t="s">
        <v>5777</v>
      </c>
      <c r="V849" s="2" t="s">
        <v>2996</v>
      </c>
    </row>
    <row r="850" spans="1:22" ht="28.8">
      <c r="A850" s="2" t="s">
        <v>5782</v>
      </c>
      <c r="B850" s="2" t="s">
        <v>5771</v>
      </c>
      <c r="C850" s="2" t="s">
        <v>5772</v>
      </c>
      <c r="D850" s="2">
        <v>2025</v>
      </c>
      <c r="E850" s="3">
        <v>45901</v>
      </c>
      <c r="F850" s="2" t="s">
        <v>1470</v>
      </c>
      <c r="G850" s="2">
        <v>15</v>
      </c>
      <c r="H850" s="2">
        <v>17</v>
      </c>
      <c r="I850" s="2" t="s">
        <v>43</v>
      </c>
      <c r="J850" s="2" t="s">
        <v>1471</v>
      </c>
      <c r="K850" s="2" t="s">
        <v>61</v>
      </c>
      <c r="L850" s="2" t="s">
        <v>29</v>
      </c>
      <c r="M850" s="2" t="s">
        <v>246</v>
      </c>
      <c r="N850" s="2" t="s">
        <v>1581</v>
      </c>
      <c r="O850" s="2" t="s">
        <v>2336</v>
      </c>
      <c r="P850" s="2" t="s">
        <v>5773</v>
      </c>
      <c r="Q850" s="2" t="s">
        <v>49</v>
      </c>
      <c r="R850" s="2" t="s">
        <v>5774</v>
      </c>
      <c r="S850" s="2" t="s">
        <v>5775</v>
      </c>
      <c r="T850" s="2" t="s">
        <v>5776</v>
      </c>
      <c r="U850" s="2" t="s">
        <v>5777</v>
      </c>
      <c r="V850" s="2" t="s">
        <v>2996</v>
      </c>
    </row>
    <row r="851" spans="1:22">
      <c r="A851" s="2" t="s">
        <v>5304</v>
      </c>
      <c r="B851" s="2" t="s">
        <v>5783</v>
      </c>
      <c r="C851" s="2" t="s">
        <v>5784</v>
      </c>
      <c r="D851" s="2">
        <v>2025</v>
      </c>
      <c r="E851" s="3">
        <v>45658</v>
      </c>
      <c r="F851" s="2" t="s">
        <v>5785</v>
      </c>
      <c r="G851" s="2">
        <v>25</v>
      </c>
      <c r="H851" s="2" t="s">
        <v>43</v>
      </c>
      <c r="I851" s="6">
        <v>46241</v>
      </c>
      <c r="J851" s="2" t="s">
        <v>5786</v>
      </c>
      <c r="K851" s="2" t="s">
        <v>5787</v>
      </c>
      <c r="L851" s="2" t="s">
        <v>1867</v>
      </c>
      <c r="M851" s="2" t="s">
        <v>3810</v>
      </c>
      <c r="N851" s="2" t="s">
        <v>5042</v>
      </c>
      <c r="O851" s="2" t="s">
        <v>5788</v>
      </c>
      <c r="P851" s="2" t="s">
        <v>43</v>
      </c>
      <c r="Q851" s="2" t="s">
        <v>2904</v>
      </c>
      <c r="R851" s="2" t="s">
        <v>5789</v>
      </c>
      <c r="S851" s="2" t="s">
        <v>79</v>
      </c>
      <c r="T851" s="5">
        <v>601053680000000</v>
      </c>
      <c r="U851" s="2" t="s">
        <v>79</v>
      </c>
      <c r="V851" s="2" t="s">
        <v>80</v>
      </c>
    </row>
    <row r="852" spans="1:22">
      <c r="A852" s="2" t="s">
        <v>5790</v>
      </c>
      <c r="B852" s="2" t="s">
        <v>5791</v>
      </c>
      <c r="C852" s="2" t="s">
        <v>5792</v>
      </c>
      <c r="D852" s="2">
        <v>2025</v>
      </c>
      <c r="E852" s="3">
        <v>45658</v>
      </c>
      <c r="F852" s="2" t="s">
        <v>5793</v>
      </c>
      <c r="G852" s="2">
        <v>25</v>
      </c>
      <c r="H852" s="2">
        <v>1</v>
      </c>
      <c r="I852" s="2" t="s">
        <v>43</v>
      </c>
      <c r="J852" s="2" t="s">
        <v>5794</v>
      </c>
      <c r="K852" s="2" t="s">
        <v>5795</v>
      </c>
      <c r="L852" s="2" t="s">
        <v>29</v>
      </c>
      <c r="M852" s="2" t="s">
        <v>2735</v>
      </c>
      <c r="N852" s="2" t="s">
        <v>2484</v>
      </c>
      <c r="O852" s="2" t="s">
        <v>5796</v>
      </c>
      <c r="P852" s="2" t="s">
        <v>5797</v>
      </c>
      <c r="Q852" s="2" t="s">
        <v>33</v>
      </c>
      <c r="R852" s="2" t="s">
        <v>5798</v>
      </c>
      <c r="S852" s="2" t="s">
        <v>5799</v>
      </c>
      <c r="T852" s="2" t="s">
        <v>5800</v>
      </c>
      <c r="U852" s="2" t="s">
        <v>5801</v>
      </c>
      <c r="V852" s="2" t="s">
        <v>80</v>
      </c>
    </row>
    <row r="853" spans="1:22">
      <c r="A853" s="2" t="s">
        <v>5802</v>
      </c>
      <c r="B853" s="2" t="s">
        <v>5791</v>
      </c>
      <c r="C853" s="2" t="s">
        <v>5792</v>
      </c>
      <c r="D853" s="2">
        <v>2025</v>
      </c>
      <c r="E853" s="3">
        <v>45658</v>
      </c>
      <c r="F853" s="2" t="s">
        <v>5793</v>
      </c>
      <c r="G853" s="2">
        <v>25</v>
      </c>
      <c r="H853" s="2">
        <v>1</v>
      </c>
      <c r="I853" s="2" t="s">
        <v>43</v>
      </c>
      <c r="J853" s="2" t="s">
        <v>5794</v>
      </c>
      <c r="K853" s="2" t="s">
        <v>5795</v>
      </c>
      <c r="L853" s="2" t="s">
        <v>29</v>
      </c>
      <c r="M853" s="2" t="s">
        <v>2735</v>
      </c>
      <c r="N853" s="2" t="s">
        <v>2484</v>
      </c>
      <c r="O853" s="2" t="s">
        <v>5796</v>
      </c>
      <c r="P853" s="2" t="s">
        <v>5797</v>
      </c>
      <c r="Q853" s="2" t="s">
        <v>33</v>
      </c>
      <c r="R853" s="2" t="s">
        <v>5798</v>
      </c>
      <c r="S853" s="2" t="s">
        <v>5799</v>
      </c>
      <c r="T853" s="2" t="s">
        <v>5800</v>
      </c>
      <c r="U853" s="2" t="s">
        <v>5801</v>
      </c>
      <c r="V853" s="2" t="s">
        <v>80</v>
      </c>
    </row>
    <row r="854" spans="1:22">
      <c r="A854" s="2" t="s">
        <v>5803</v>
      </c>
      <c r="B854" s="2" t="s">
        <v>5791</v>
      </c>
      <c r="C854" s="2" t="s">
        <v>5792</v>
      </c>
      <c r="D854" s="2">
        <v>2025</v>
      </c>
      <c r="E854" s="3">
        <v>45658</v>
      </c>
      <c r="F854" s="2" t="s">
        <v>5793</v>
      </c>
      <c r="G854" s="2">
        <v>25</v>
      </c>
      <c r="H854" s="2">
        <v>1</v>
      </c>
      <c r="I854" s="2" t="s">
        <v>43</v>
      </c>
      <c r="J854" s="2" t="s">
        <v>5794</v>
      </c>
      <c r="K854" s="2" t="s">
        <v>5795</v>
      </c>
      <c r="L854" s="2" t="s">
        <v>29</v>
      </c>
      <c r="M854" s="2" t="s">
        <v>2735</v>
      </c>
      <c r="N854" s="2" t="s">
        <v>2484</v>
      </c>
      <c r="O854" s="2" t="s">
        <v>5796</v>
      </c>
      <c r="P854" s="2" t="s">
        <v>5797</v>
      </c>
      <c r="Q854" s="2" t="s">
        <v>33</v>
      </c>
      <c r="R854" s="2" t="s">
        <v>5798</v>
      </c>
      <c r="S854" s="2" t="s">
        <v>5799</v>
      </c>
      <c r="T854" s="2" t="s">
        <v>5800</v>
      </c>
      <c r="U854" s="2" t="s">
        <v>5801</v>
      </c>
      <c r="V854" s="2" t="s">
        <v>80</v>
      </c>
    </row>
    <row r="855" spans="1:22">
      <c r="A855" s="2" t="s">
        <v>5804</v>
      </c>
      <c r="B855" s="2" t="s">
        <v>5791</v>
      </c>
      <c r="C855" s="2" t="s">
        <v>5792</v>
      </c>
      <c r="D855" s="2">
        <v>2025</v>
      </c>
      <c r="E855" s="3">
        <v>45658</v>
      </c>
      <c r="F855" s="2" t="s">
        <v>5793</v>
      </c>
      <c r="G855" s="2">
        <v>25</v>
      </c>
      <c r="H855" s="2">
        <v>1</v>
      </c>
      <c r="I855" s="2" t="s">
        <v>43</v>
      </c>
      <c r="J855" s="2" t="s">
        <v>5794</v>
      </c>
      <c r="K855" s="2" t="s">
        <v>5795</v>
      </c>
      <c r="L855" s="2" t="s">
        <v>29</v>
      </c>
      <c r="M855" s="2" t="s">
        <v>2735</v>
      </c>
      <c r="N855" s="2" t="s">
        <v>2484</v>
      </c>
      <c r="O855" s="2" t="s">
        <v>5796</v>
      </c>
      <c r="P855" s="2" t="s">
        <v>5797</v>
      </c>
      <c r="Q855" s="2" t="s">
        <v>33</v>
      </c>
      <c r="R855" s="2" t="s">
        <v>5798</v>
      </c>
      <c r="S855" s="2" t="s">
        <v>5799</v>
      </c>
      <c r="T855" s="2" t="s">
        <v>5800</v>
      </c>
      <c r="U855" s="2" t="s">
        <v>5801</v>
      </c>
      <c r="V855" s="2" t="s">
        <v>80</v>
      </c>
    </row>
    <row r="856" spans="1:22">
      <c r="A856" s="2" t="s">
        <v>5805</v>
      </c>
      <c r="B856" s="2" t="s">
        <v>5791</v>
      </c>
      <c r="C856" s="2" t="s">
        <v>5792</v>
      </c>
      <c r="D856" s="2">
        <v>2025</v>
      </c>
      <c r="E856" s="3">
        <v>45658</v>
      </c>
      <c r="F856" s="2" t="s">
        <v>5793</v>
      </c>
      <c r="G856" s="2">
        <v>25</v>
      </c>
      <c r="H856" s="2">
        <v>1</v>
      </c>
      <c r="I856" s="2" t="s">
        <v>43</v>
      </c>
      <c r="J856" s="2" t="s">
        <v>5794</v>
      </c>
      <c r="K856" s="2" t="s">
        <v>5795</v>
      </c>
      <c r="L856" s="2" t="s">
        <v>29</v>
      </c>
      <c r="M856" s="2" t="s">
        <v>2735</v>
      </c>
      <c r="N856" s="2" t="s">
        <v>2484</v>
      </c>
      <c r="O856" s="2" t="s">
        <v>5796</v>
      </c>
      <c r="P856" s="2" t="s">
        <v>5797</v>
      </c>
      <c r="Q856" s="2" t="s">
        <v>33</v>
      </c>
      <c r="R856" s="2" t="s">
        <v>5798</v>
      </c>
      <c r="S856" s="2" t="s">
        <v>5799</v>
      </c>
      <c r="T856" s="2" t="s">
        <v>5800</v>
      </c>
      <c r="U856" s="2" t="s">
        <v>5801</v>
      </c>
      <c r="V856" s="2" t="s">
        <v>80</v>
      </c>
    </row>
    <row r="857" spans="1:22" ht="28.8">
      <c r="A857" s="2" t="s">
        <v>276</v>
      </c>
      <c r="B857" s="2" t="s">
        <v>5806</v>
      </c>
      <c r="C857" s="2" t="s">
        <v>5807</v>
      </c>
      <c r="D857" s="2">
        <v>2025</v>
      </c>
      <c r="E857" s="3">
        <v>45992</v>
      </c>
      <c r="F857" s="2" t="s">
        <v>1470</v>
      </c>
      <c r="G857" s="2">
        <v>15</v>
      </c>
      <c r="H857" s="2">
        <v>23</v>
      </c>
      <c r="I857" s="2" t="s">
        <v>43</v>
      </c>
      <c r="J857" s="2" t="s">
        <v>1471</v>
      </c>
      <c r="K857" s="2" t="s">
        <v>61</v>
      </c>
      <c r="L857" s="2" t="s">
        <v>29</v>
      </c>
      <c r="M857" s="2" t="s">
        <v>246</v>
      </c>
      <c r="N857" s="2" t="s">
        <v>1581</v>
      </c>
      <c r="O857" s="2" t="s">
        <v>2336</v>
      </c>
      <c r="P857" s="2" t="s">
        <v>5808</v>
      </c>
      <c r="Q857" s="2" t="s">
        <v>49</v>
      </c>
      <c r="R857" s="2" t="s">
        <v>5809</v>
      </c>
      <c r="S857" s="2" t="s">
        <v>5810</v>
      </c>
      <c r="T857" s="2" t="s">
        <v>5811</v>
      </c>
      <c r="U857" s="2" t="s">
        <v>5812</v>
      </c>
      <c r="V857" s="2" t="s">
        <v>1602</v>
      </c>
    </row>
    <row r="858" spans="1:22">
      <c r="A858" s="2" t="s">
        <v>5813</v>
      </c>
      <c r="B858" s="2" t="s">
        <v>5814</v>
      </c>
      <c r="C858" s="2" t="s">
        <v>5815</v>
      </c>
      <c r="D858" s="2">
        <v>2024</v>
      </c>
      <c r="E858" s="3">
        <v>45597</v>
      </c>
      <c r="F858" s="2" t="s">
        <v>5816</v>
      </c>
      <c r="G858" s="2">
        <v>25</v>
      </c>
      <c r="H858" s="2">
        <v>3</v>
      </c>
      <c r="I858" s="2" t="s">
        <v>5817</v>
      </c>
      <c r="J858" s="2" t="s">
        <v>5818</v>
      </c>
      <c r="K858" s="2" t="s">
        <v>5819</v>
      </c>
      <c r="L858" s="2" t="s">
        <v>29</v>
      </c>
      <c r="M858" s="2" t="s">
        <v>2203</v>
      </c>
      <c r="N858" s="2" t="s">
        <v>3050</v>
      </c>
      <c r="O858" s="2" t="s">
        <v>5820</v>
      </c>
      <c r="P858" s="2" t="s">
        <v>5821</v>
      </c>
      <c r="Q858" s="2" t="s">
        <v>644</v>
      </c>
      <c r="R858" s="2" t="s">
        <v>5822</v>
      </c>
      <c r="S858" s="2" t="s">
        <v>5823</v>
      </c>
      <c r="T858" s="2" t="s">
        <v>5824</v>
      </c>
      <c r="U858" s="2" t="s">
        <v>5825</v>
      </c>
      <c r="V858" s="2" t="s">
        <v>5826</v>
      </c>
    </row>
    <row r="859" spans="1:22">
      <c r="A859" s="2" t="s">
        <v>5827</v>
      </c>
      <c r="B859" s="2" t="s">
        <v>5828</v>
      </c>
      <c r="C859" s="2" t="s">
        <v>5829</v>
      </c>
      <c r="D859" s="2">
        <v>2024</v>
      </c>
      <c r="E859" s="3">
        <v>45292</v>
      </c>
      <c r="F859" s="2" t="s">
        <v>5830</v>
      </c>
      <c r="G859" s="2" t="s">
        <v>43</v>
      </c>
      <c r="H859" s="2">
        <v>32</v>
      </c>
      <c r="I859" s="2" t="s">
        <v>5831</v>
      </c>
      <c r="J859" s="2" t="s">
        <v>5832</v>
      </c>
      <c r="K859" s="2" t="s">
        <v>5833</v>
      </c>
      <c r="L859" s="2" t="s">
        <v>1867</v>
      </c>
      <c r="M859" s="2" t="s">
        <v>3357</v>
      </c>
      <c r="N859" s="2" t="s">
        <v>451</v>
      </c>
      <c r="O859" s="2" t="s">
        <v>5834</v>
      </c>
      <c r="P859" s="2" t="s">
        <v>5835</v>
      </c>
      <c r="Q859" s="2" t="s">
        <v>33</v>
      </c>
      <c r="R859" s="2" t="s">
        <v>5836</v>
      </c>
      <c r="S859" s="2" t="s">
        <v>821</v>
      </c>
      <c r="T859" s="2" t="s">
        <v>5837</v>
      </c>
      <c r="U859" s="2" t="s">
        <v>819</v>
      </c>
      <c r="V859" s="2" t="s">
        <v>80</v>
      </c>
    </row>
    <row r="860" spans="1:22">
      <c r="A860" s="2" t="s">
        <v>3229</v>
      </c>
      <c r="B860" s="2" t="s">
        <v>5838</v>
      </c>
      <c r="C860" s="2" t="s">
        <v>5839</v>
      </c>
      <c r="D860" s="2">
        <v>2024</v>
      </c>
      <c r="E860" s="3">
        <v>45505</v>
      </c>
      <c r="F860" s="2" t="s">
        <v>5840</v>
      </c>
      <c r="G860" s="2">
        <v>16</v>
      </c>
      <c r="H860" s="2">
        <v>3</v>
      </c>
      <c r="I860" s="2" t="s">
        <v>5841</v>
      </c>
      <c r="J860" s="2" t="s">
        <v>5842</v>
      </c>
      <c r="K860" s="2" t="s">
        <v>5843</v>
      </c>
      <c r="L860" s="2" t="s">
        <v>1867</v>
      </c>
      <c r="M860" s="2" t="s">
        <v>3203</v>
      </c>
      <c r="N860" s="2" t="s">
        <v>3235</v>
      </c>
      <c r="O860" s="2" t="s">
        <v>5844</v>
      </c>
      <c r="P860" s="2" t="s">
        <v>5845</v>
      </c>
      <c r="Q860" s="2" t="s">
        <v>33</v>
      </c>
      <c r="R860" s="2" t="s">
        <v>5846</v>
      </c>
      <c r="S860" s="2" t="s">
        <v>5847</v>
      </c>
      <c r="T860" s="2" t="s">
        <v>5848</v>
      </c>
      <c r="U860" s="2" t="s">
        <v>5849</v>
      </c>
      <c r="V860" s="2" t="s">
        <v>80</v>
      </c>
    </row>
    <row r="861" spans="1:22">
      <c r="A861" s="2" t="s">
        <v>5850</v>
      </c>
      <c r="B861" s="2" t="s">
        <v>5851</v>
      </c>
      <c r="C861" s="2" t="s">
        <v>5852</v>
      </c>
      <c r="D861" s="2">
        <v>2024</v>
      </c>
      <c r="E861" s="3">
        <v>45292</v>
      </c>
      <c r="F861" s="2" t="s">
        <v>5853</v>
      </c>
      <c r="G861" s="2">
        <v>61</v>
      </c>
      <c r="H861" s="2" t="s">
        <v>43</v>
      </c>
      <c r="I861" s="2" t="s">
        <v>5854</v>
      </c>
      <c r="J861" s="2" t="s">
        <v>5855</v>
      </c>
      <c r="K861" s="2" t="s">
        <v>5856</v>
      </c>
      <c r="L861" s="2" t="s">
        <v>1867</v>
      </c>
      <c r="M861" s="2" t="s">
        <v>3416</v>
      </c>
      <c r="N861" s="2" t="s">
        <v>3358</v>
      </c>
      <c r="O861" s="2" t="s">
        <v>5857</v>
      </c>
      <c r="P861" s="2" t="s">
        <v>5858</v>
      </c>
      <c r="Q861" s="2" t="s">
        <v>33</v>
      </c>
      <c r="R861" s="2" t="s">
        <v>5859</v>
      </c>
      <c r="S861" s="2" t="s">
        <v>79</v>
      </c>
      <c r="T861" s="5">
        <v>601053680000000</v>
      </c>
      <c r="U861" s="2" t="s">
        <v>79</v>
      </c>
      <c r="V861" s="2" t="s">
        <v>80</v>
      </c>
    </row>
    <row r="862" spans="1:22">
      <c r="A862" s="2" t="s">
        <v>834</v>
      </c>
      <c r="B862" s="2" t="s">
        <v>5860</v>
      </c>
      <c r="C862" s="2" t="s">
        <v>5861</v>
      </c>
      <c r="D862" s="2">
        <v>2025</v>
      </c>
      <c r="E862" s="3">
        <v>45717</v>
      </c>
      <c r="F862" s="2" t="s">
        <v>389</v>
      </c>
      <c r="G862" s="2">
        <v>100</v>
      </c>
      <c r="H862" s="2">
        <v>2</v>
      </c>
      <c r="I862" s="2" t="s">
        <v>5862</v>
      </c>
      <c r="J862" s="2" t="s">
        <v>391</v>
      </c>
      <c r="K862" s="2" t="s">
        <v>392</v>
      </c>
      <c r="L862" s="2" t="s">
        <v>29</v>
      </c>
      <c r="M862" s="2" t="s">
        <v>1135</v>
      </c>
      <c r="N862" s="2" t="s">
        <v>196</v>
      </c>
      <c r="O862" s="2" t="s">
        <v>5610</v>
      </c>
      <c r="P862" s="2" t="s">
        <v>5863</v>
      </c>
      <c r="Q862" s="2" t="s">
        <v>33</v>
      </c>
      <c r="R862" s="2" t="s">
        <v>5864</v>
      </c>
      <c r="S862" s="2" t="s">
        <v>5613</v>
      </c>
      <c r="T862" s="2" t="s">
        <v>5865</v>
      </c>
      <c r="U862" s="2" t="s">
        <v>5866</v>
      </c>
      <c r="V862" s="2" t="s">
        <v>80</v>
      </c>
    </row>
    <row r="863" spans="1:22">
      <c r="A863" s="2" t="s">
        <v>3503</v>
      </c>
      <c r="B863" s="2" t="s">
        <v>5867</v>
      </c>
      <c r="C863" s="2" t="s">
        <v>5868</v>
      </c>
      <c r="D863" s="2">
        <v>2025</v>
      </c>
      <c r="E863" s="3">
        <v>45658</v>
      </c>
      <c r="F863" s="2" t="s">
        <v>4357</v>
      </c>
      <c r="G863" s="2" t="s">
        <v>43</v>
      </c>
      <c r="H863" s="2" t="s">
        <v>43</v>
      </c>
      <c r="I863" s="2" t="s">
        <v>43</v>
      </c>
      <c r="J863" s="2" t="s">
        <v>4358</v>
      </c>
      <c r="K863" s="2" t="s">
        <v>2893</v>
      </c>
      <c r="L863" s="2" t="s">
        <v>29</v>
      </c>
      <c r="M863" s="2" t="s">
        <v>43</v>
      </c>
      <c r="N863" s="2" t="s">
        <v>43</v>
      </c>
      <c r="O863" s="2" t="s">
        <v>43</v>
      </c>
      <c r="P863" s="2" t="s">
        <v>5869</v>
      </c>
      <c r="Q863" s="2" t="s">
        <v>2112</v>
      </c>
      <c r="R863" s="2" t="s">
        <v>5870</v>
      </c>
      <c r="S863" s="2" t="s">
        <v>3709</v>
      </c>
      <c r="T863" s="2" t="s">
        <v>5871</v>
      </c>
      <c r="U863" s="2" t="s">
        <v>5872</v>
      </c>
      <c r="V863" s="2" t="s">
        <v>80</v>
      </c>
    </row>
  </sheetData>
  <pageMargins left="0.75" right="0.75" top="1" bottom="1" header="0.5" footer="0.5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4</vt:i4>
      </vt:variant>
    </vt:vector>
  </HeadingPairs>
  <TitlesOfParts>
    <vt:vector size="12" baseType="lpstr">
      <vt:lpstr>Portada</vt:lpstr>
      <vt:lpstr>Investigadores</vt:lpstr>
      <vt:lpstr>Resumen y gráficos</vt:lpstr>
      <vt:lpstr>Publicaciones unificadas</vt:lpstr>
      <vt:lpstr>Informe Cienciométrico (2)</vt:lpstr>
      <vt:lpstr>Informe Cienciométrico</vt:lpstr>
      <vt:lpstr>Publicaciones_UFT_detalle (2)</vt:lpstr>
      <vt:lpstr>Publicaciones_UFT_detalle</vt:lpstr>
      <vt:lpstr>Investigadores!Área_de_impresión</vt:lpstr>
      <vt:lpstr>Portada!Área_de_impresión</vt:lpstr>
      <vt:lpstr>'Resumen y gráficos'!Área_de_impresión</vt:lpstr>
      <vt:lpstr>Investigadores!Títulos_a_imprimir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Sánchez</dc:creator>
  <cp:lastModifiedBy>Pablo Sánchez</cp:lastModifiedBy>
  <cp:lastPrinted>2026-07-07T21:17:06Z</cp:lastPrinted>
  <dcterms:created xsi:type="dcterms:W3CDTF">2026-07-07T17:57:06Z</dcterms:created>
  <dcterms:modified xsi:type="dcterms:W3CDTF">2026-07-20T21:20:51Z</dcterms:modified>
</cp:coreProperties>
</file>